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tabRatio="665"/>
  </bookViews>
  <sheets>
    <sheet name="Main" sheetId="1" r:id="rId1"/>
    <sheet name="Payroll" sheetId="2" r:id="rId2"/>
    <sheet name="PR by Empl" sheetId="11" r:id="rId3"/>
    <sheet name="Allocation" sheetId="3" r:id="rId4"/>
    <sheet name="Allocated Payroll" sheetId="4" r:id="rId5"/>
    <sheet name="Upload Data" sheetId="5" r:id="rId6"/>
    <sheet name="UploadGuru" sheetId="8" r:id="rId7"/>
    <sheet name="Test" sheetId="10" r:id="rId8"/>
    <sheet name="Config" sheetId="6" r:id="rId9"/>
    <sheet name="Account Groups" sheetId="12" r:id="rId10"/>
    <sheet name="QB Accounts" sheetId="13" r:id="rId11"/>
  </sheets>
  <functionGroups builtInGroupCount="18"/>
  <externalReferences>
    <externalReference r:id="rId12"/>
  </externalReferences>
  <definedNames>
    <definedName name="_xlnm._FilterDatabase" localSheetId="1" hidden="1">Payroll!$A$1:$T$1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85" i="2" l="1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B24" i="12" l="1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E17" i="1" l="1"/>
</calcChain>
</file>

<file path=xl/sharedStrings.xml><?xml version="1.0" encoding="utf-8"?>
<sst xmlns="http://schemas.openxmlformats.org/spreadsheetml/2006/main" count="7939" uniqueCount="1041">
  <si>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</si>
  <si>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</si>
  <si>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</si>
  <si>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</si>
  <si>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</si>
  <si>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</si>
  <si>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</si>
  <si>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</si>
  <si>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</si>
  <si>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</si>
  <si>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</si>
  <si>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</si>
  <si>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</si>
  <si>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</si>
  <si>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</si>
  <si>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</si>
  <si>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</si>
  <si>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</si>
  <si>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</si>
  <si>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</si>
  <si>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</si>
  <si>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</si>
  <si>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</si>
  <si>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</si>
  <si>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</si>
  <si>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</si>
  <si>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</si>
  <si>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</si>
  <si>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</si>
  <si>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</si>
  <si>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</si>
  <si>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</si>
  <si>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</si>
  <si>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</si>
  <si>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</si>
  <si>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</si>
  <si>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</si>
  <si>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</si>
  <si>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</si>
  <si>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</si>
  <si>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</si>
  <si>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</si>
  <si>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</si>
  <si>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</si>
  <si>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</si>
  <si>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</si>
  <si>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</si>
  <si>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</si>
  <si>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</si>
  <si>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</si>
  <si>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</si>
  <si>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</si>
  <si>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</si>
  <si>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</si>
  <si>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</si>
  <si>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</si>
  <si>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</si>
  <si>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</si>
  <si>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</si>
  <si>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</si>
  <si>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</si>
  <si>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</si>
  <si>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</si>
  <si>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</si>
  <si>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</si>
  <si>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</si>
  <si>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</si>
  <si>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</si>
  <si>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</si>
  <si>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JANVIER, JHONNY</t>
  </si>
  <si>
    <t>111A06Q</t>
  </si>
  <si>
    <t>A06Q</t>
  </si>
  <si>
    <t>LOFTIN, NIQUITA</t>
  </si>
  <si>
    <t>111A06R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</si>
  <si>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</si>
  <si>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</si>
  <si>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</si>
  <si>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</si>
  <si>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</si>
  <si>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</si>
  <si>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</si>
  <si>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</si>
  <si>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</si>
  <si>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</si>
  <si>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</si>
  <si>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</si>
  <si>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</si>
  <si>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</si>
  <si>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</si>
  <si>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</si>
  <si>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</si>
  <si>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</si>
  <si>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</si>
  <si>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</si>
  <si>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</si>
  <si>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</si>
  <si>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</si>
  <si>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</si>
  <si>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</si>
  <si>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</si>
  <si>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</si>
  <si>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</si>
  <si>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</si>
  <si>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</si>
  <si>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</si>
  <si>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</si>
  <si>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</si>
  <si>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</si>
  <si>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</si>
  <si>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</si>
  <si>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</si>
  <si>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</si>
  <si>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</si>
  <si>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</si>
  <si>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</si>
  <si>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</si>
  <si>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</si>
  <si>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</si>
  <si>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</si>
  <si>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</si>
  <si>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</si>
  <si>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</si>
  <si>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</si>
  <si>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</si>
  <si>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</si>
  <si>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</si>
  <si>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</si>
  <si>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</si>
  <si>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</si>
  <si>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</si>
  <si>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</si>
  <si>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</si>
  <si>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</si>
  <si>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</si>
  <si>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</si>
  <si>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</si>
  <si>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</si>
  <si>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</si>
  <si>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</si>
  <si>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</si>
  <si>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</si>
  <si>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</si>
  <si>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</si>
  <si>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</si>
  <si>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</si>
  <si>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</si>
  <si>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</si>
  <si>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</si>
  <si>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</si>
  <si>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</si>
  <si>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</si>
  <si>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</si>
  <si>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</si>
  <si>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</si>
  <si>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</si>
  <si>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</si>
  <si>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</si>
  <si>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</si>
  <si>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</si>
  <si>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</si>
  <si>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</si>
  <si>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A01P</t>
  </si>
  <si>
    <t>SERMON, PATRICIA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</si>
  <si>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</si>
  <si>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</si>
  <si>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</si>
  <si>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</si>
  <si>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</si>
  <si>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</si>
  <si>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</si>
  <si>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</si>
  <si>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Net Pay</t>
  </si>
  <si>
    <t>1010</t>
  </si>
  <si>
    <t>Salary Expense</t>
  </si>
  <si>
    <t>7220</t>
  </si>
  <si>
    <t>Tax Liability</t>
  </si>
  <si>
    <t>ULEC Payroll Allocation</t>
  </si>
  <si>
    <t>Payroll Id</t>
  </si>
  <si>
    <t>Name</t>
  </si>
  <si>
    <t>Comment</t>
  </si>
  <si>
    <t>111 Abbott</t>
  </si>
  <si>
    <t>620 CFO</t>
  </si>
  <si>
    <t>MARTINEZ, Joanna</t>
  </si>
  <si>
    <t>MCMILLIAN, Daphne L.</t>
  </si>
  <si>
    <t>RAMBARAN, Sharaini J.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</si>
  <si>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</si>
  <si>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</si>
  <si>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</si>
  <si>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</si>
  <si>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</si>
  <si>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</si>
  <si>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</si>
  <si>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</si>
  <si>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Account In</t>
  </si>
  <si>
    <t>Account Out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</si>
  <si>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</si>
  <si>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</si>
  <si>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</si>
  <si>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</si>
  <si>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</si>
  <si>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</si>
  <si>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</si>
  <si>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</si>
  <si>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</si>
  <si>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</si>
  <si>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</si>
  <si>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</si>
  <si>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</si>
  <si>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</si>
  <si>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</si>
  <si>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</si>
  <si>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</si>
  <si>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</si>
  <si>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</si>
  <si>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</si>
  <si>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</si>
  <si>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United Airlines, Inc.</t>
  </si>
  <si>
    <t>State of NJ -PACE</t>
  </si>
  <si>
    <t>LISC-HUD FOC</t>
  </si>
  <si>
    <t>Wells Fargo Regional Foundation</t>
  </si>
  <si>
    <t>Proof \ Class</t>
  </si>
  <si>
    <t>111A Abbott Other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</si>
  <si>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</si>
  <si>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</si>
  <si>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</si>
  <si>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</si>
  <si>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</si>
  <si>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</si>
  <si>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</si>
  <si>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</si>
  <si>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</si>
  <si>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</si>
  <si>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</si>
  <si>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</si>
  <si>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</si>
  <si>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</si>
  <si>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</si>
  <si>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</si>
  <si>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</si>
  <si>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</si>
  <si>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Bishop-Shakoor, Ayesha</t>
  </si>
  <si>
    <t>Guerra, Karime</t>
  </si>
  <si>
    <t>Robbins, Leonard</t>
  </si>
  <si>
    <t>Opportunity Corp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</si>
  <si>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</si>
  <si>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</si>
  <si>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</si>
  <si>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</si>
  <si>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</si>
  <si>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</si>
  <si>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</si>
  <si>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</si>
  <si>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</si>
  <si>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</si>
  <si>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</si>
  <si>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</si>
  <si>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</si>
  <si>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</si>
  <si>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</si>
  <si>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</si>
  <si>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</si>
  <si>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</si>
  <si>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334F FOC</t>
  </si>
  <si>
    <t>111A06U</t>
  </si>
  <si>
    <t>502A06T</t>
  </si>
  <si>
    <t>620A03Z</t>
  </si>
  <si>
    <t>Debug</t>
  </si>
  <si>
    <t>New payroll record</t>
  </si>
  <si>
    <t>total</t>
  </si>
  <si>
    <t>Rounded</t>
  </si>
  <si>
    <t>Rounded w sign</t>
  </si>
  <si>
    <t>PR Account</t>
  </si>
  <si>
    <t>Employer Expense, Employer Expenses  Payroll Row: 2</t>
  </si>
  <si>
    <t xml:space="preserve"> ==&gt; reference</t>
  </si>
  <si>
    <t>==&gt; Account Description</t>
  </si>
  <si>
    <t>Employer Liability, Deductions  Payroll Row: 4</t>
  </si>
  <si>
    <t>Employer Liability, Payroll Taxes  Payroll Row: 5</t>
  </si>
  <si>
    <t>Net Pay, Cash  Payroll Row: 6</t>
  </si>
  <si>
    <t>Salary Expense, Salaries  Payroll Row: 7</t>
  </si>
  <si>
    <t>Tax Liability, Cash  Payroll Row: 8</t>
  </si>
  <si>
    <t>Tax Liability, Payroll Taxes  Payroll Row: 9</t>
  </si>
  <si>
    <t>Employer Expense, Employer Expenses  Payroll Row: 10</t>
  </si>
  <si>
    <t>Employer Liability, Deductions  Payroll Row: 12</t>
  </si>
  <si>
    <t>Employer Liability, Payroll Taxes  Payroll Row: 13</t>
  </si>
  <si>
    <t>Net Pay, Cash  Payroll Row: 14</t>
  </si>
  <si>
    <t>Salary Expense, Salaries  Payroll Row: 15</t>
  </si>
  <si>
    <t>Tax Liability, Cash  Payroll Row: 16</t>
  </si>
  <si>
    <t>Tax Liability, Payroll Taxes  Payroll Row: 17</t>
  </si>
  <si>
    <t>Final Check</t>
  </si>
  <si>
    <t>HelperCol</t>
  </si>
  <si>
    <t>Social Security</t>
  </si>
  <si>
    <t>Accrued Aflac</t>
  </si>
  <si>
    <t>Fica Tax payable</t>
  </si>
  <si>
    <t>BOA Operating Acct 3973</t>
  </si>
  <si>
    <t>Salaries &amp; Wages</t>
  </si>
  <si>
    <t>CITI / NUL/PNC</t>
  </si>
  <si>
    <t>The Prudential Foundation</t>
  </si>
  <si>
    <t>City of Newark-Home</t>
  </si>
  <si>
    <t>State of NJ NRTC - 2018</t>
  </si>
  <si>
    <t>City of Irvington CDBG</t>
  </si>
  <si>
    <t>Capital One 1</t>
  </si>
  <si>
    <t>State of NJ NRTC - 2019</t>
  </si>
  <si>
    <t>DCA- Coding Program</t>
  </si>
  <si>
    <t>Victoria Hernandez</t>
  </si>
  <si>
    <t>334 NRTC 2018 Grant</t>
  </si>
  <si>
    <t>600 Admin</t>
  </si>
  <si>
    <t>ULEC Opport Corp</t>
  </si>
  <si>
    <t>CSV File Name</t>
  </si>
  <si>
    <t>Version 6</t>
  </si>
  <si>
    <t>111A06G</t>
  </si>
  <si>
    <t>111A06S</t>
  </si>
  <si>
    <t>A06S</t>
  </si>
  <si>
    <t>MITCHELL, FELICIA</t>
  </si>
  <si>
    <t>A06U</t>
  </si>
  <si>
    <t>BISHOP-SHAKOOR, AYESHA</t>
  </si>
  <si>
    <t>339A06P</t>
  </si>
  <si>
    <t>339</t>
  </si>
  <si>
    <t>451A03Z</t>
  </si>
  <si>
    <t>A03Z</t>
  </si>
  <si>
    <t>MARTINEZ, JOANNA</t>
  </si>
  <si>
    <t>454</t>
  </si>
  <si>
    <t xml:space="preserve">Prudential </t>
  </si>
  <si>
    <t>A06T</t>
  </si>
  <si>
    <t>GUERRA, KARIME</t>
  </si>
  <si>
    <t>7222l</t>
  </si>
  <si>
    <t xml:space="preserve">Housing Coordinator </t>
  </si>
  <si>
    <t>Employer Expense, Employer Expenses  Payroll Row: 25</t>
  </si>
  <si>
    <t>Employer Liability, Deductions  Payroll Row: 27</t>
  </si>
  <si>
    <t>Employer Liability, Payroll Taxes  Payroll Row: 28</t>
  </si>
  <si>
    <t>Net Pay, Cash  Payroll Row: 29</t>
  </si>
  <si>
    <t>Salary Expense, Salaries  Payroll Row: 30</t>
  </si>
  <si>
    <t>Tax Liability, Cash  Payroll Row: 31</t>
  </si>
  <si>
    <t>Tax Liability, Payroll Taxes  Payroll Row: 32</t>
  </si>
  <si>
    <t>Employer Expense, Employer Expenses  Payroll Row: 33</t>
  </si>
  <si>
    <t>Employer Liability, Payroll Taxes  Payroll Row: 35</t>
  </si>
  <si>
    <t>Net Pay, Cash  Payroll Row: 36</t>
  </si>
  <si>
    <t>Salary Expense, Salaries  Payroll Row: 37</t>
  </si>
  <si>
    <t>Tax Liability, Cash  Payroll Row: 38</t>
  </si>
  <si>
    <t>Tax Liability, Payroll Taxes  Payroll Row: 39</t>
  </si>
  <si>
    <t>Employer Expense, Employer Expenses  Payroll Row: 40</t>
  </si>
  <si>
    <t>Employer Liability, Payroll Taxes  Payroll Row: 42</t>
  </si>
  <si>
    <t>Net Pay, Cash  Payroll Row: 43</t>
  </si>
  <si>
    <t>Salary Expense, Salaries  Payroll Row: 44</t>
  </si>
  <si>
    <t>Tax Liability, Cash  Payroll Row: 45</t>
  </si>
  <si>
    <t>Tax Liability, Payroll Taxes  Payroll Row: 46</t>
  </si>
  <si>
    <t>Employer Expense, Employer Expenses  Payroll Row: 47</t>
  </si>
  <si>
    <t>Employer Liability, Deductions  Payroll Row: 49</t>
  </si>
  <si>
    <t>Employer Liability, Payroll Taxes  Payroll Row: 50</t>
  </si>
  <si>
    <t>Net Pay, Cash  Payroll Row: 51</t>
  </si>
  <si>
    <t>Salary Expense, Salaries  Payroll Row: 52</t>
  </si>
  <si>
    <t>Tax Liability, Cash  Payroll Row: 53</t>
  </si>
  <si>
    <t>Tax Liability, Payroll Taxes  Payroll Row: 54</t>
  </si>
  <si>
    <t>Employer Expense, Employer Expenses  Payroll Row: 55</t>
  </si>
  <si>
    <t>Employer Liability, Deductions  Payroll Row: 57</t>
  </si>
  <si>
    <t>Employer Liability, Payroll Taxes  Payroll Row: 58</t>
  </si>
  <si>
    <t>Net Pay, Cash  Payroll Row: 59</t>
  </si>
  <si>
    <t>Salary Expense, Salaries  Payroll Row: 60</t>
  </si>
  <si>
    <t>Tax Liability, Cash  Payroll Row: 61</t>
  </si>
  <si>
    <t>Tax Liability, Payroll Taxes  Payroll Row: 62</t>
  </si>
  <si>
    <t>Employer Expense, Employer Expenses  Payroll Row: 70</t>
  </si>
  <si>
    <t>Employer Liability, Payroll Taxes  Payroll Row: 72</t>
  </si>
  <si>
    <t>Net Pay, Cash  Payroll Row: 73</t>
  </si>
  <si>
    <t>Salary Expense, Salaries  Payroll Row: 74</t>
  </si>
  <si>
    <t>Tax Liability, Cash  Payroll Row: 75</t>
  </si>
  <si>
    <t>Tax Liability, Payroll Taxes  Payroll Row: 76</t>
  </si>
  <si>
    <t>Employer Expense, Employer Expenses  Payroll Row: 84</t>
  </si>
  <si>
    <t>Employer Liability, Payroll Taxes  Payroll Row: 86</t>
  </si>
  <si>
    <t>Net Pay, Cash  Payroll Row: 87</t>
  </si>
  <si>
    <t>Salary Expense, Salaries  Payroll Row: 88</t>
  </si>
  <si>
    <t>Tax Liability, Cash  Payroll Row: 89</t>
  </si>
  <si>
    <t>Tax Liability, Payroll Taxes  Payroll Row: 90</t>
  </si>
  <si>
    <t>Employer Expense, Employer Expenses  Payroll Row: 91</t>
  </si>
  <si>
    <t>Employer Liability, Deductions  Payroll Row: 93</t>
  </si>
  <si>
    <t>Employer Liability, Payroll Taxes  Payroll Row: 94</t>
  </si>
  <si>
    <t>Net Pay, Cash  Payroll Row: 95</t>
  </si>
  <si>
    <t>Salary Expense, Salaries  Payroll Row: 96</t>
  </si>
  <si>
    <t>Tax Liability, Cash  Payroll Row: 97</t>
  </si>
  <si>
    <t>Tax Liability, Payroll Taxes  Payroll Row: 98</t>
  </si>
  <si>
    <t>Employer Expense, Employer Expenses  Payroll Row: 99</t>
  </si>
  <si>
    <t>Employer Liability, Payroll Taxes  Payroll Row: 101</t>
  </si>
  <si>
    <t>Net Pay, Cash  Payroll Row: 102</t>
  </si>
  <si>
    <t>Salary Expense, Salaries  Payroll Row: 103</t>
  </si>
  <si>
    <t>Tax Liability, Cash  Payroll Row: 104</t>
  </si>
  <si>
    <t>Tax Liability, Payroll Taxes  Payroll Row: 105</t>
  </si>
  <si>
    <t>Employer Expense, Employer Expenses  Payroll Row: 106</t>
  </si>
  <si>
    <t>Employer Liability, Deductions  Payroll Row: 108</t>
  </si>
  <si>
    <t>Employer Liability, Payroll Taxes  Payroll Row: 109</t>
  </si>
  <si>
    <t>Net Pay, Cash  Payroll Row: 110</t>
  </si>
  <si>
    <t>Salary Expense, Salaries  Payroll Row: 111</t>
  </si>
  <si>
    <t>Tax Liability, Cash  Payroll Row: 112</t>
  </si>
  <si>
    <t>Tax Liability, Payroll Taxes  Payroll Row: 113</t>
  </si>
  <si>
    <t>Employer Expense, Employer Expenses  Payroll Row: 63</t>
  </si>
  <si>
    <t>Employer Liability, Payroll Taxes  Payroll Row: 65</t>
  </si>
  <si>
    <t>Net Pay, Cash  Payroll Row: 66</t>
  </si>
  <si>
    <t>Salary Expense, Salaries  Payroll Row: 67</t>
  </si>
  <si>
    <t>Tax Liability, Cash  Payroll Row: 68</t>
  </si>
  <si>
    <t>Tax Liability, Payroll Taxes  Payroll Row: 69</t>
  </si>
  <si>
    <t>Employer Expense, Employer Expenses  Payroll Row: 77</t>
  </si>
  <si>
    <t>Employer Liability, Payroll Taxes  Payroll Row: 79</t>
  </si>
  <si>
    <t>Net Pay, Cash  Payroll Row: 80</t>
  </si>
  <si>
    <t>Salary Expense, Salaries  Payroll Row: 81</t>
  </si>
  <si>
    <t>Tax Liability, Cash  Payroll Row: 82</t>
  </si>
  <si>
    <t>Tax Liability, Payroll Taxes  Payroll Row: 83</t>
  </si>
  <si>
    <t>ANDREWS, CORA Payroll 8/1/2020</t>
  </si>
  <si>
    <t>GREEN, YOLANDA Payroll 8/1/2020</t>
  </si>
  <si>
    <t>BRYANT, RONI Payroll 8/1/2020</t>
  </si>
  <si>
    <t>WOODRIDGE, ROSALIND Payroll 8/1/2020</t>
  </si>
  <si>
    <t>TYLER, PATRICIA Payroll 8/1/2020</t>
  </si>
  <si>
    <t>DANCE-WILSON, HEATHER Payroll 8/1/2020</t>
  </si>
  <si>
    <t>SIMMONS, BERTRILLA RENEE Payroll 8/1/2020</t>
  </si>
  <si>
    <t>BENNETT, PATRICIA A Payroll 8/1/2020</t>
  </si>
  <si>
    <t>LOFTIN, NIQUITA Payroll 8/1/2020</t>
  </si>
  <si>
    <t>Mitchell, Felicia Payroll 8/1/2020</t>
  </si>
  <si>
    <t>Bishop-Shakoor, Ayesha Payroll 8/1/2020</t>
  </si>
  <si>
    <t>STEWART, ROBIN D Payroll 8/1/2020</t>
  </si>
  <si>
    <t>BROWN, DENYSE Payroll 8/1/2020</t>
  </si>
  <si>
    <t>FITZPATRICK, CYNTHIA ELAINE Payroll 8/1/2020</t>
  </si>
  <si>
    <t>7221f</t>
  </si>
  <si>
    <t>7221g</t>
  </si>
  <si>
    <t>7222d</t>
  </si>
  <si>
    <t>7222e</t>
  </si>
  <si>
    <t>7222f</t>
  </si>
  <si>
    <t>7222g</t>
  </si>
  <si>
    <t>7222o</t>
  </si>
  <si>
    <t>7222TA</t>
  </si>
  <si>
    <t>7224a</t>
  </si>
  <si>
    <t>7224C J</t>
  </si>
  <si>
    <t>VP - Workforce</t>
  </si>
  <si>
    <t>Business Developer</t>
  </si>
  <si>
    <t>Career Coach</t>
  </si>
  <si>
    <t>Financial Coach</t>
  </si>
  <si>
    <t>Executive Director</t>
  </si>
  <si>
    <t>Director Facilities - CAO</t>
  </si>
  <si>
    <t>Director of Operations COO</t>
  </si>
  <si>
    <t>Director of Real Estate</t>
  </si>
  <si>
    <t>Program Director</t>
  </si>
  <si>
    <t>Community Organizer</t>
  </si>
  <si>
    <t>Family Worker</t>
  </si>
  <si>
    <t>Food Worker</t>
  </si>
  <si>
    <t>Security Guard</t>
  </si>
  <si>
    <t>Program Coordinator</t>
  </si>
  <si>
    <t>Housing Counselor</t>
  </si>
  <si>
    <t>Wrap Around Coordinator</t>
  </si>
  <si>
    <t>Teacher Assistants</t>
  </si>
  <si>
    <t>Floating Teacher Assistant</t>
  </si>
  <si>
    <t>Site Coordinator IC</t>
  </si>
  <si>
    <t>Payroll Coordinator</t>
  </si>
  <si>
    <t>Account Number</t>
  </si>
  <si>
    <t>Checking Active</t>
  </si>
  <si>
    <t>Bank of America</t>
  </si>
  <si>
    <t>BOA - Abbott Checking - 9170</t>
  </si>
  <si>
    <t>BOA- NRTC Checking 9183</t>
  </si>
  <si>
    <t>TD Bank - LISC 8958</t>
  </si>
  <si>
    <t>BOA Housing Trust 4343</t>
  </si>
  <si>
    <t>BOA Victoria Challenge 4330</t>
  </si>
  <si>
    <t>Affiliate accounts</t>
  </si>
  <si>
    <t>PayPal</t>
  </si>
  <si>
    <t>PNC Acct 5472- ULEC Funds</t>
  </si>
  <si>
    <t>BOA Young Prof - 9095</t>
  </si>
  <si>
    <t>PNC - 5069 So Ward Newsletter</t>
  </si>
  <si>
    <t>BOA - GUILD 9082</t>
  </si>
  <si>
    <t>PNC Acct 4811- AmeriCorp</t>
  </si>
  <si>
    <t>CNB Acct 2808 - YP ??</t>
  </si>
  <si>
    <t>Bill.com Money In Clearing</t>
  </si>
  <si>
    <t>Bill.com Money Out Clearing</t>
  </si>
  <si>
    <t>BOA - PSEG Savings 9196</t>
  </si>
  <si>
    <t>BOA Victoria Challenge Savings 4356</t>
  </si>
  <si>
    <t>BOA Housing Trust Fund Savings 4246</t>
  </si>
  <si>
    <t>Petty Cash</t>
  </si>
  <si>
    <t>Petty Cash - ThriftWorks</t>
  </si>
  <si>
    <t>Petty Cash - PreSchool</t>
  </si>
  <si>
    <t>Petty Cash - Coding</t>
  </si>
  <si>
    <t>Accounts/ Contributions Receivable</t>
  </si>
  <si>
    <t>Acct Rec - Reclassed</t>
  </si>
  <si>
    <t>Other Current Assets</t>
  </si>
  <si>
    <t>Advances to Staff</t>
  </si>
  <si>
    <t>Prepaid Expenses</t>
  </si>
  <si>
    <t>Prepaid Insurance</t>
  </si>
  <si>
    <t>Prepaid Insurance- WC</t>
  </si>
  <si>
    <t>Security Deposits</t>
  </si>
  <si>
    <t>Allocated Costs - General</t>
  </si>
  <si>
    <t>Due From ULEC Opport Corp</t>
  </si>
  <si>
    <t>Due from Emp'ee - Life Ins</t>
  </si>
  <si>
    <t>Due from Emp'ee - Aflac</t>
  </si>
  <si>
    <t>Grants Receivable</t>
  </si>
  <si>
    <t>Grants Rec - Adjustments</t>
  </si>
  <si>
    <t>Grants Rec - PRFC</t>
  </si>
  <si>
    <t>Grants Rec - NUL Gates</t>
  </si>
  <si>
    <t>Grants Rec - Abbott</t>
  </si>
  <si>
    <t>Grants Rec - Abbott.Benefits</t>
  </si>
  <si>
    <t>Abbott - HVAC</t>
  </si>
  <si>
    <t>Abbott 19-20</t>
  </si>
  <si>
    <t>Grants Rec - EHS</t>
  </si>
  <si>
    <t>Grants Rec - Americorp</t>
  </si>
  <si>
    <t>Grants Rec - Americ 18.19</t>
  </si>
  <si>
    <t>Americorp 18.19</t>
  </si>
  <si>
    <t>Grants Rec - ESG</t>
  </si>
  <si>
    <t>Grants Rec - OICA</t>
  </si>
  <si>
    <t>Grant Rec - USJP</t>
  </si>
  <si>
    <t>Grant Rec - NUL Wells Fargo</t>
  </si>
  <si>
    <t>Grants Rec- CCFP</t>
  </si>
  <si>
    <t>CCFP Reclass</t>
  </si>
  <si>
    <t>Grants Rec - DYFS</t>
  </si>
  <si>
    <t>Grant Rec - NUL - HUD</t>
  </si>
  <si>
    <t>Grants Rec - Wells Fargo</t>
  </si>
  <si>
    <t>Grants Rec - LISC HUD#23</t>
  </si>
  <si>
    <t>Grant Rec.- LISC- FOC 25</t>
  </si>
  <si>
    <t>Grant Rec. LISC FOC #26</t>
  </si>
  <si>
    <t>LISC - NRLA</t>
  </si>
  <si>
    <t>Grant Rec. LISC # 000</t>
  </si>
  <si>
    <t>Grants Rec - PFP</t>
  </si>
  <si>
    <t>Grants Rec - NRTC 16</t>
  </si>
  <si>
    <t>Home Grant</t>
  </si>
  <si>
    <t>LISC</t>
  </si>
  <si>
    <t>DCA - NRTC 16</t>
  </si>
  <si>
    <t>Grants Rec - United Airlines</t>
  </si>
  <si>
    <t>Sales - Thriftworks</t>
  </si>
  <si>
    <t>Parent Co Pays</t>
  </si>
  <si>
    <t>Grants Rec - Housing Trust Fund</t>
  </si>
  <si>
    <t>Grants Rec - SNAP</t>
  </si>
  <si>
    <t>Grants Rec - Newark Alliance</t>
  </si>
  <si>
    <t>Grants Rec - FOC LISC</t>
  </si>
  <si>
    <t>Grants Rec - NRTC 14</t>
  </si>
  <si>
    <t>Grants Rec - MCJ Found</t>
  </si>
  <si>
    <t>Grants Rec - Comm Found</t>
  </si>
  <si>
    <t>Grants Rec - NRTC 18</t>
  </si>
  <si>
    <t>Grant Rec - City of Newark Tech</t>
  </si>
  <si>
    <t>Grant Rec - NRTC 19</t>
  </si>
  <si>
    <t>Grants Rec - Prudential</t>
  </si>
  <si>
    <t>Grant Rec - Capital One</t>
  </si>
  <si>
    <t>Grant Rec - CDBG Irvington</t>
  </si>
  <si>
    <t>Grants Rec - PACE</t>
  </si>
  <si>
    <t>Undeposited Funds</t>
  </si>
  <si>
    <t>Fixed Operating Assets</t>
  </si>
  <si>
    <t>Land</t>
  </si>
  <si>
    <t>Buildings</t>
  </si>
  <si>
    <t>Building Improvements</t>
  </si>
  <si>
    <t>Leasehold Improvements</t>
  </si>
  <si>
    <t>Furniture, Fixtures, Equipment</t>
  </si>
  <si>
    <t>Vehicles</t>
  </si>
  <si>
    <t>Work-In-Progress - Facility Construction</t>
  </si>
  <si>
    <t>Accum Depreciation- Fixed Operating Assets</t>
  </si>
  <si>
    <t>Accum Deprec - Buildings</t>
  </si>
  <si>
    <t>Accum Deprec - Building Improvements</t>
  </si>
  <si>
    <t>Accum Deprec - Leasehold Improvements</t>
  </si>
  <si>
    <t>Accum Deprec - Furniture, Fixtures, Equipment</t>
  </si>
  <si>
    <t>Accum Deprec - Vehicles</t>
  </si>
  <si>
    <t>Accounts Payable</t>
  </si>
  <si>
    <t>Credit Cards</t>
  </si>
  <si>
    <t>Home Depot Credit Card</t>
  </si>
  <si>
    <t>Visa Card-8978</t>
  </si>
  <si>
    <t>VISA Card Adj</t>
  </si>
  <si>
    <t>Due to Ryan HVAC</t>
  </si>
  <si>
    <t>TD Operating Line of Credit x0199</t>
  </si>
  <si>
    <t>TD LOC - Real Estate x9001</t>
  </si>
  <si>
    <t>TD - Real Estate Line of Credit</t>
  </si>
  <si>
    <t>TD Bank LOC 9006 Oper</t>
  </si>
  <si>
    <t>TD Bank LOC 9001 231F</t>
  </si>
  <si>
    <t>TD Bank LOC 9009 152L</t>
  </si>
  <si>
    <t>HERA LOC 99H</t>
  </si>
  <si>
    <t>TD Bank LOC -479-513</t>
  </si>
  <si>
    <t>TD Bank LOC #</t>
  </si>
  <si>
    <t>Accrued Liabilities</t>
  </si>
  <si>
    <t>Accrued Audit Fees Pay</t>
  </si>
  <si>
    <t>Accrued payroll</t>
  </si>
  <si>
    <t>Accrued 403(b) Match</t>
  </si>
  <si>
    <t>403B Loans</t>
  </si>
  <si>
    <t>Accrued Paid Leave</t>
  </si>
  <si>
    <t>Accrued Payroll Taxes</t>
  </si>
  <si>
    <t>Federal Income Tax Payable</t>
  </si>
  <si>
    <t>NJ Withholding Tax Payable</t>
  </si>
  <si>
    <t>NJ SUI Payable</t>
  </si>
  <si>
    <t>Accrued Expenses - Colonial Life</t>
  </si>
  <si>
    <t>Payroll Clearing</t>
  </si>
  <si>
    <t>Garnishments</t>
  </si>
  <si>
    <t>Deferred Revenues</t>
  </si>
  <si>
    <t>Def Revenue - Victoria</t>
  </si>
  <si>
    <t>Def Rev - Prudential</t>
  </si>
  <si>
    <t>Prudential Capacity Grant</t>
  </si>
  <si>
    <t>Prudential Foundation</t>
  </si>
  <si>
    <t>MCJ Foundation</t>
  </si>
  <si>
    <t>Deferred Rev - Turrell Found</t>
  </si>
  <si>
    <t>Wells Fargo Foundation</t>
  </si>
  <si>
    <t>Wells Fargo #2</t>
  </si>
  <si>
    <t>Deferred Rev - United Airlines</t>
  </si>
  <si>
    <t>City of Newark - PSEG Settlement</t>
  </si>
  <si>
    <t>Deferred Rev - YP</t>
  </si>
  <si>
    <t>Deferred Rev - Guild</t>
  </si>
  <si>
    <t>Deferred Rev - Fairmount</t>
  </si>
  <si>
    <t>Deferred Rev. AmeriCorps</t>
  </si>
  <si>
    <t>Deferred Rev - So Ward Newsletter</t>
  </si>
  <si>
    <t>Long Term Liabilities</t>
  </si>
  <si>
    <t>Littleton Notes Payable</t>
  </si>
  <si>
    <t>LISC Loan Payable</t>
  </si>
  <si>
    <t>LISC - Phase 1 Properties</t>
  </si>
  <si>
    <t>LISC - 513 Central #13517</t>
  </si>
  <si>
    <t>Mortgage Pay - TD Bank 504-508</t>
  </si>
  <si>
    <t>Mortgage Pay - 99 Hillside</t>
  </si>
  <si>
    <t>Unrestricted Net Asstes</t>
  </si>
  <si>
    <t>Temporarily Restricted Net Assets</t>
  </si>
  <si>
    <t>Use Restricted Net Assets</t>
  </si>
  <si>
    <t>Time Restricted Net Assets</t>
  </si>
  <si>
    <t>Permanently restricted net assets</t>
  </si>
  <si>
    <t>Revenue from Direct Contributions</t>
  </si>
  <si>
    <t>Individual Contributions</t>
  </si>
  <si>
    <t>Wells Fargo -Regional Foundation</t>
  </si>
  <si>
    <t>Turrell Foundation</t>
  </si>
  <si>
    <t>Fairleigh Dickenson Univ</t>
  </si>
  <si>
    <t>Foundation Contributions</t>
  </si>
  <si>
    <t>Prudential Grant</t>
  </si>
  <si>
    <t>Capital One Foundation</t>
  </si>
  <si>
    <t>Victoria Foundation</t>
  </si>
  <si>
    <t>Victoria Found 2019</t>
  </si>
  <si>
    <t>Victoria Foundation Trust</t>
  </si>
  <si>
    <t>Investors Foundation</t>
  </si>
  <si>
    <t>Corporate Contributions</t>
  </si>
  <si>
    <t>Capital One - Housing</t>
  </si>
  <si>
    <t>Uber Technologies- Coding</t>
  </si>
  <si>
    <t>United Airlines Grant</t>
  </si>
  <si>
    <t>J and J Grant</t>
  </si>
  <si>
    <t>Valley National Bank</t>
  </si>
  <si>
    <t>Whole City Foundation</t>
  </si>
  <si>
    <t>Chase Bank - FOC</t>
  </si>
  <si>
    <t>PSEG Settlement</t>
  </si>
  <si>
    <t>Irvington Housing Grant</t>
  </si>
  <si>
    <t>M and T Foundation-FOC</t>
  </si>
  <si>
    <t>Nonprofit Contributions</t>
  </si>
  <si>
    <t>Prosperity Now-</t>
  </si>
  <si>
    <t>United Way of Essex-VITA</t>
  </si>
  <si>
    <t>LISC Housing 2019</t>
  </si>
  <si>
    <t>Tide Center - Housing</t>
  </si>
  <si>
    <t>Donated Goods &amp; Services Revenue</t>
  </si>
  <si>
    <t>Donated Professional Services</t>
  </si>
  <si>
    <t>Donated Other Services</t>
  </si>
  <si>
    <t>Donated Use of Facilities</t>
  </si>
  <si>
    <t>Gifts In Kind - Goods</t>
  </si>
  <si>
    <t>Revenue from Non-Government Grants</t>
  </si>
  <si>
    <t>Foundation grants</t>
  </si>
  <si>
    <t>Santander Bank</t>
  </si>
  <si>
    <t>Nonprofit Organization Grants</t>
  </si>
  <si>
    <t>Revenue from Government Grants</t>
  </si>
  <si>
    <t>Federal Grants</t>
  </si>
  <si>
    <t>USJP Grant</t>
  </si>
  <si>
    <t>USJP - Payroll Reimb</t>
  </si>
  <si>
    <t>USJP 18.19</t>
  </si>
  <si>
    <t>USJP Billing Adjustments</t>
  </si>
  <si>
    <t>OICA Grant</t>
  </si>
  <si>
    <t>Grant Revenue - HUD PARS</t>
  </si>
  <si>
    <t>NUL - Wells Fargo</t>
  </si>
  <si>
    <t>HUD - LISC</t>
  </si>
  <si>
    <t>OtherGrant- Newark Alliance</t>
  </si>
  <si>
    <t>NUL.Gates Educ Grant</t>
  </si>
  <si>
    <t>State Grants</t>
  </si>
  <si>
    <t>Leaguers</t>
  </si>
  <si>
    <t>Leagues - Other</t>
  </si>
  <si>
    <t>LISC - FOC Govt Grant</t>
  </si>
  <si>
    <t>LISC - FOC #26</t>
  </si>
  <si>
    <t>LISC - NRLA Grant</t>
  </si>
  <si>
    <t>LISC # X</t>
  </si>
  <si>
    <t>DYFS</t>
  </si>
  <si>
    <t>City of Newark</t>
  </si>
  <si>
    <t>Workforce of NJ</t>
  </si>
  <si>
    <t>City of newark - Tech Grant</t>
  </si>
  <si>
    <t>Americorp Grant</t>
  </si>
  <si>
    <t>Americorp</t>
  </si>
  <si>
    <t>NPS - Abbott</t>
  </si>
  <si>
    <t>Abbott Benefit Reimb</t>
  </si>
  <si>
    <t>Abbott Material and Supplies</t>
  </si>
  <si>
    <t>Abbott Technology</t>
  </si>
  <si>
    <t>Abbott Benefit Reimb.2</t>
  </si>
  <si>
    <t>NPS Grant .HVAC</t>
  </si>
  <si>
    <t>RYN Grant</t>
  </si>
  <si>
    <t>Abbott FYE 19-20</t>
  </si>
  <si>
    <t>City of Newark Rental Asst</t>
  </si>
  <si>
    <t>NRTC 2016</t>
  </si>
  <si>
    <t>DCA NRTC 16</t>
  </si>
  <si>
    <t>LISC NRTC 16</t>
  </si>
  <si>
    <t>Home Grant - NRTC 16</t>
  </si>
  <si>
    <t>Local Government Grants</t>
  </si>
  <si>
    <t>NRTC 2018</t>
  </si>
  <si>
    <t>PACE Program</t>
  </si>
  <si>
    <t>NRTC Grant 2019</t>
  </si>
  <si>
    <t>LISC Construction Funding</t>
  </si>
  <si>
    <t>Housing Trust Funds</t>
  </si>
  <si>
    <t>Revenue from Government Agencies</t>
  </si>
  <si>
    <t>Housing Seminars</t>
  </si>
  <si>
    <t>Federal Contracts/Fees</t>
  </si>
  <si>
    <t>State Contracts/PFP Fees</t>
  </si>
  <si>
    <t>Local Government Contracts/Fees</t>
  </si>
  <si>
    <t>CCAFP Income</t>
  </si>
  <si>
    <t>CCFP Adjustments</t>
  </si>
  <si>
    <t>Cash In Lieu CCFP</t>
  </si>
  <si>
    <t>CCFP - 2017</t>
  </si>
  <si>
    <t>CCFP - Adjustments 2017</t>
  </si>
  <si>
    <t>Revenue from Sales &amp; Fees</t>
  </si>
  <si>
    <t>Membership Revenue</t>
  </si>
  <si>
    <t>Social Enterprise Revenue</t>
  </si>
  <si>
    <t>Credit Card Sales</t>
  </si>
  <si>
    <t>Thrift Clothing Drops</t>
  </si>
  <si>
    <t>Pop Up Store Rev</t>
  </si>
  <si>
    <t>Co-Pay Fees</t>
  </si>
  <si>
    <t>Wrap Fees</t>
  </si>
  <si>
    <t>Private Pay Fees</t>
  </si>
  <si>
    <t>Misc Earned Revenue</t>
  </si>
  <si>
    <t>BOA Rewards</t>
  </si>
  <si>
    <t>Revenue from Investments</t>
  </si>
  <si>
    <t>Interest-Savings/ Short-Term Investments</t>
  </si>
  <si>
    <t>Revenue from Other Sources</t>
  </si>
  <si>
    <t>Real Estate</t>
  </si>
  <si>
    <t>LISC - NRTC 2019</t>
  </si>
  <si>
    <t>Misc Revenue</t>
  </si>
  <si>
    <t>Donations - Xmas Tree</t>
  </si>
  <si>
    <t>Donations</t>
  </si>
  <si>
    <t>Board Donation</t>
  </si>
  <si>
    <t>Special Events</t>
  </si>
  <si>
    <t>Special Events - 2018 Golf Outing</t>
  </si>
  <si>
    <t>Golf Sponsors</t>
  </si>
  <si>
    <t>Silent Auction</t>
  </si>
  <si>
    <t>Golf Promos</t>
  </si>
  <si>
    <t>Special Events - Gift Revenue</t>
  </si>
  <si>
    <t>Gala Ads</t>
  </si>
  <si>
    <t>Gala Tickes</t>
  </si>
  <si>
    <t>Gala - Empl Tks</t>
  </si>
  <si>
    <t>Gala Sponsors</t>
  </si>
  <si>
    <t>Gala - Auction proceeds</t>
  </si>
  <si>
    <t>Special Events - Direct Costs</t>
  </si>
  <si>
    <t>Cost of Goods Sold</t>
  </si>
  <si>
    <t>Grants, Contracts &amp; Direct Assistance</t>
  </si>
  <si>
    <t>Grants to Individuals</t>
  </si>
  <si>
    <t>Grants to Other Organizations</t>
  </si>
  <si>
    <t>Participant Salaries &amp; Wages</t>
  </si>
  <si>
    <t>Salaries &amp; Wages- AmeriCorp</t>
  </si>
  <si>
    <t>Participant Wages - USJP</t>
  </si>
  <si>
    <t>USJP Manual Checks</t>
  </si>
  <si>
    <t>Payroll Exp - Fed</t>
  </si>
  <si>
    <t>Payroll Tax - SUI</t>
  </si>
  <si>
    <t>Worker's Compensation - USJP</t>
  </si>
  <si>
    <t>Workers Comp - AmeriCorp</t>
  </si>
  <si>
    <t>Payroll Expenses - Fees</t>
  </si>
  <si>
    <t>Salaries &amp; Related Expenses</t>
  </si>
  <si>
    <t>Directors</t>
  </si>
  <si>
    <t>Assistants</t>
  </si>
  <si>
    <t>Retirement Plan Contributions</t>
  </si>
  <si>
    <t>Employee Benefits</t>
  </si>
  <si>
    <t>Health Insurance</t>
  </si>
  <si>
    <t>Health Insurance - Direct</t>
  </si>
  <si>
    <t>Dental Insurance</t>
  </si>
  <si>
    <t>Life and Dental Insurance</t>
  </si>
  <si>
    <t>Disability Ins</t>
  </si>
  <si>
    <t>Employee Contrib - Health</t>
  </si>
  <si>
    <t>Worker's Compensation Insurance</t>
  </si>
  <si>
    <t>Employee Contrib - Disability</t>
  </si>
  <si>
    <t>Emp-ee Contrib -Dental</t>
  </si>
  <si>
    <t>Allocated W Comp</t>
  </si>
  <si>
    <t>Payroll Taxes, etc.</t>
  </si>
  <si>
    <t>Medicare</t>
  </si>
  <si>
    <t>Unemployment</t>
  </si>
  <si>
    <t>Disability</t>
  </si>
  <si>
    <t>Payroll Service Fees</t>
  </si>
  <si>
    <t>Allocated Payroll Fees</t>
  </si>
  <si>
    <t>Other payroll expenses</t>
  </si>
  <si>
    <t>Contract Service Expenses</t>
  </si>
  <si>
    <t>Fundraising fees</t>
  </si>
  <si>
    <t>IT Support</t>
  </si>
  <si>
    <t>Allocated IT consultants</t>
  </si>
  <si>
    <t>Accounting Fees</t>
  </si>
  <si>
    <t>Allocated Acctg and Audit</t>
  </si>
  <si>
    <t>Allocated Audit Fees</t>
  </si>
  <si>
    <t>Legal fees</t>
  </si>
  <si>
    <t>Instructors/Consultants/Subs</t>
  </si>
  <si>
    <t>Internships &amp; OJT</t>
  </si>
  <si>
    <t>Professional fees - other</t>
  </si>
  <si>
    <t>Temporary help - contract</t>
  </si>
  <si>
    <t>Allocated Consulting Fees</t>
  </si>
  <si>
    <t>Prior Period Adjustment</t>
  </si>
  <si>
    <t>Operating Expenses</t>
  </si>
  <si>
    <t>Program Supplies</t>
  </si>
  <si>
    <t>Supplies</t>
  </si>
  <si>
    <t>Alloc Supplies</t>
  </si>
  <si>
    <t>Gifts</t>
  </si>
  <si>
    <t>Donated Materials &amp; Supplies</t>
  </si>
  <si>
    <t>Telephone &amp; Telecommunications</t>
  </si>
  <si>
    <t>Telephone Maint Contract</t>
  </si>
  <si>
    <t>Cell Phone Services</t>
  </si>
  <si>
    <t>Allocated Cell Phone</t>
  </si>
  <si>
    <t>Verizon</t>
  </si>
  <si>
    <t>Optimum Services</t>
  </si>
  <si>
    <t>Telephone</t>
  </si>
  <si>
    <t>Allocated Telephone</t>
  </si>
  <si>
    <t>Postage &amp; Shipping</t>
  </si>
  <si>
    <t>Alloc Postage</t>
  </si>
  <si>
    <t>Computer Software &amp; Hardware</t>
  </si>
  <si>
    <t>Allocated Comp -Software</t>
  </si>
  <si>
    <t>Printing &amp; Copying</t>
  </si>
  <si>
    <t>Books, Subscriptions, References</t>
  </si>
  <si>
    <t>Internet/Web/Hosting Fees</t>
  </si>
  <si>
    <t>Web Hosting Alloc</t>
  </si>
  <si>
    <t>Workstations</t>
  </si>
  <si>
    <t>Facility &amp; Equipment Expenses</t>
  </si>
  <si>
    <t>Rent, Parking, Other Occupancy</t>
  </si>
  <si>
    <t>Utilities</t>
  </si>
  <si>
    <t>504 Utilities</t>
  </si>
  <si>
    <t>506 Utilities</t>
  </si>
  <si>
    <t>508 Utilities</t>
  </si>
  <si>
    <t>Allocated Utilities</t>
  </si>
  <si>
    <t>Water</t>
  </si>
  <si>
    <t>504 Water</t>
  </si>
  <si>
    <t>506 Water</t>
  </si>
  <si>
    <t>508 Water</t>
  </si>
  <si>
    <t>Allocated Water</t>
  </si>
  <si>
    <t>Equipment Rental, Repair &amp; Maintenance</t>
  </si>
  <si>
    <t>Copier Lease</t>
  </si>
  <si>
    <t>Copy Fees</t>
  </si>
  <si>
    <t>Vehicle Repairs</t>
  </si>
  <si>
    <t>Equipment Rental</t>
  </si>
  <si>
    <t>Postage Lease</t>
  </si>
  <si>
    <t>Allocated Equip Lease</t>
  </si>
  <si>
    <t>Allocated Cost</t>
  </si>
  <si>
    <t>Building Repair &amp; Maintenance</t>
  </si>
  <si>
    <t>Alarm Services</t>
  </si>
  <si>
    <t>Trash Removal</t>
  </si>
  <si>
    <t>Exterminating</t>
  </si>
  <si>
    <t>Permits</t>
  </si>
  <si>
    <t>Alloc Repairs and Maint</t>
  </si>
  <si>
    <t>Maintenance Supplies</t>
  </si>
  <si>
    <t>Mortgage Interest Expense</t>
  </si>
  <si>
    <t>Allocated Mortgage Interest</t>
  </si>
  <si>
    <t>Property Insurance</t>
  </si>
  <si>
    <t>Insurance-New NRTC Real Estate Project</t>
  </si>
  <si>
    <t>General Liab</t>
  </si>
  <si>
    <t>Liability Insurance</t>
  </si>
  <si>
    <t>Other</t>
  </si>
  <si>
    <t>Property Taxes</t>
  </si>
  <si>
    <t>Allocated Insurance</t>
  </si>
  <si>
    <t>W.I. Progress</t>
  </si>
  <si>
    <t>Thrift Store Renovations and Rehab at 506 Central Avenue</t>
  </si>
  <si>
    <t>Depreciation &amp; Amortization</t>
  </si>
  <si>
    <t>Donated Facilities</t>
  </si>
  <si>
    <t>Mortgage Expenses</t>
  </si>
  <si>
    <t>Security Equipment</t>
  </si>
  <si>
    <t>Travel &amp; Meetings Expenses</t>
  </si>
  <si>
    <t>Transportation &amp; Parking</t>
  </si>
  <si>
    <t>Participant Travel</t>
  </si>
  <si>
    <t>Travel</t>
  </si>
  <si>
    <t>Meals</t>
  </si>
  <si>
    <t>Lodging</t>
  </si>
  <si>
    <t>Airfare</t>
  </si>
  <si>
    <t>Conferences, Conventions, Meetings</t>
  </si>
  <si>
    <t>Field Trips</t>
  </si>
  <si>
    <t>Need Based Costs</t>
  </si>
  <si>
    <t>Other Client Specific Expenses</t>
  </si>
  <si>
    <t>Classroom Materials &amp; Supplies</t>
  </si>
  <si>
    <t>Job Developer</t>
  </si>
  <si>
    <t>Classroom Technology</t>
  </si>
  <si>
    <t>Community Service Project</t>
  </si>
  <si>
    <t>Tutoring</t>
  </si>
  <si>
    <t>Expungement Services</t>
  </si>
  <si>
    <t>Job Training</t>
  </si>
  <si>
    <t>GED &amp; ABE Classes</t>
  </si>
  <si>
    <t>Mentoring</t>
  </si>
  <si>
    <t>Food &amp; Related Supplies</t>
  </si>
  <si>
    <t>Program Training</t>
  </si>
  <si>
    <t>Providing Thriftworks Retail Operations Training</t>
  </si>
  <si>
    <t>Construction Trade Job Training Program</t>
  </si>
  <si>
    <t>Housing and Renter Counseling Training</t>
  </si>
  <si>
    <t>Subsidy/ Rental Assistance</t>
  </si>
  <si>
    <t>Client Incentives</t>
  </si>
  <si>
    <t>Client Stipends</t>
  </si>
  <si>
    <t>Food for Classes</t>
  </si>
  <si>
    <t>Background Check</t>
  </si>
  <si>
    <t>Housing Rehabilitation</t>
  </si>
  <si>
    <t>Employee Appreciation</t>
  </si>
  <si>
    <t>Other Expenses</t>
  </si>
  <si>
    <t>Interest Expense - General</t>
  </si>
  <si>
    <t>Insurance - Non-Employee Related</t>
  </si>
  <si>
    <t>Membership Dues - Organization</t>
  </si>
  <si>
    <t>Staff Development/Training</t>
  </si>
  <si>
    <t>Bank fees</t>
  </si>
  <si>
    <t>Processing fees</t>
  </si>
  <si>
    <t>Fines and Penalties</t>
  </si>
  <si>
    <t>Advertising/Marketing Expenses</t>
  </si>
  <si>
    <t>Uncollected Grant Revenue</t>
  </si>
  <si>
    <t>Licenses &amp; Fees</t>
  </si>
  <si>
    <t>Bad Debt Expense</t>
  </si>
  <si>
    <t>Community Outreach</t>
  </si>
  <si>
    <t>Capital Expenditures</t>
  </si>
  <si>
    <t>Housing Development</t>
  </si>
  <si>
    <t>Construction Cost for Multi Family Homes</t>
  </si>
  <si>
    <t>Rehab of Existing Facility</t>
  </si>
  <si>
    <t>Acquisition of Properties</t>
  </si>
  <si>
    <t>Property Improvements Model Block Program</t>
  </si>
  <si>
    <t>Holding Cost</t>
  </si>
  <si>
    <t>Repairs</t>
  </si>
  <si>
    <t>Interest Exp</t>
  </si>
  <si>
    <t>Security Systems</t>
  </si>
  <si>
    <t>Neighborhood Amenities</t>
  </si>
  <si>
    <t>Soft cost</t>
  </si>
  <si>
    <t>Pre Development Cost</t>
  </si>
  <si>
    <t>Computer and Related Equip</t>
  </si>
  <si>
    <t>Housing Counseling-Training</t>
  </si>
  <si>
    <t>Construction Cost</t>
  </si>
  <si>
    <t>Construction in Progress Adj</t>
  </si>
  <si>
    <t>Admin Cost - Allocated</t>
  </si>
  <si>
    <t>Donated Services</t>
  </si>
  <si>
    <t>Donated Services- Match</t>
  </si>
  <si>
    <t>Capital Expansion</t>
  </si>
  <si>
    <t>Payroll Withholdings</t>
  </si>
  <si>
    <t>Unrestricted Net Assets</t>
  </si>
  <si>
    <t>Reconciliation Discrepancies</t>
  </si>
  <si>
    <t>Wells Fargo - Reg Found 2</t>
  </si>
  <si>
    <t>4011A</t>
  </si>
  <si>
    <t>Wells Fargo</t>
  </si>
  <si>
    <t>4011B</t>
  </si>
  <si>
    <t>4011C</t>
  </si>
  <si>
    <t>Verizon Foundation</t>
  </si>
  <si>
    <t>4015A</t>
  </si>
  <si>
    <t>Prudential Success Grant</t>
  </si>
  <si>
    <t>4016A</t>
  </si>
  <si>
    <t>Prudential Capacity 2</t>
  </si>
  <si>
    <t>4016B</t>
  </si>
  <si>
    <t>Non Profit Finance Fund</t>
  </si>
  <si>
    <t>4016C</t>
  </si>
  <si>
    <t>ESG Rental Assistance 2017</t>
  </si>
  <si>
    <t>4538A</t>
  </si>
  <si>
    <t>Director of Development</t>
  </si>
  <si>
    <t>7221d</t>
  </si>
  <si>
    <t>Truck Driver</t>
  </si>
  <si>
    <t>7222i</t>
  </si>
  <si>
    <t>Substitutes</t>
  </si>
  <si>
    <t>7222k</t>
  </si>
  <si>
    <t>Finance Assistance</t>
  </si>
  <si>
    <t>7222m</t>
  </si>
  <si>
    <t>Workforce Trainer</t>
  </si>
  <si>
    <t>7222n</t>
  </si>
  <si>
    <t>Senior Case Manager</t>
  </si>
  <si>
    <t>Data Analyst</t>
  </si>
  <si>
    <t>7222q</t>
  </si>
  <si>
    <t>Benefits Specialist</t>
  </si>
  <si>
    <t>7222r</t>
  </si>
  <si>
    <t>IT – Desktop Assistance</t>
  </si>
  <si>
    <t>7222s</t>
  </si>
  <si>
    <t>Youth Advocate Counselor</t>
  </si>
  <si>
    <t>7222t</t>
  </si>
  <si>
    <t>EHS Caregiver</t>
  </si>
  <si>
    <t>7222u</t>
  </si>
  <si>
    <t>Store Manager</t>
  </si>
  <si>
    <t>7222v</t>
  </si>
  <si>
    <t>Thrift Store Operation Manager</t>
  </si>
  <si>
    <t>7222w</t>
  </si>
  <si>
    <t>Food Worker Assistant</t>
  </si>
  <si>
    <t>Teacher Assistant</t>
  </si>
  <si>
    <t>Housing Counselor Assistant</t>
  </si>
  <si>
    <t>7223d</t>
  </si>
  <si>
    <t>Substitute Asst</t>
  </si>
  <si>
    <t>7223e</t>
  </si>
  <si>
    <t>Site Coordinator AA</t>
  </si>
  <si>
    <t>7224B A</t>
  </si>
  <si>
    <t>Sr Site Coordinator</t>
  </si>
  <si>
    <t>7224E</t>
  </si>
  <si>
    <t>Audit Fees</t>
  </si>
  <si>
    <t>7520A</t>
  </si>
  <si>
    <t>Program Consultant</t>
  </si>
  <si>
    <t>7540A</t>
  </si>
  <si>
    <t>Rental Assistance</t>
  </si>
  <si>
    <t>8455A</t>
  </si>
  <si>
    <t>1440 Allocated Costs - General0</t>
  </si>
  <si>
    <t>2150 Visa Card</t>
  </si>
  <si>
    <t>7510 Contract Service Expenses</t>
  </si>
  <si>
    <t>7515 Contract Service Expenses</t>
  </si>
  <si>
    <t>8108 Operating Expenses</t>
  </si>
  <si>
    <t>8110 Operating Expenses</t>
  </si>
  <si>
    <t>8115 Operating Expenses</t>
  </si>
  <si>
    <t>8133 Operating Expenses</t>
  </si>
  <si>
    <t>8160 Operating Expenses</t>
  </si>
  <si>
    <t>8170 Operating Expenses</t>
  </si>
  <si>
    <t>8180 Operating Expenses</t>
  </si>
  <si>
    <t>8190 Operating Expenses</t>
  </si>
  <si>
    <t>8240 Facility &amp; Equipment Expenses</t>
  </si>
  <si>
    <t>8312 Travel &amp; Meetings Expenses</t>
  </si>
  <si>
    <t>8320 Travel &amp; Meetings Expenses</t>
  </si>
  <si>
    <t>8350 Travel &amp; Meetings Expenses</t>
  </si>
  <si>
    <t>8405 Other Client Specific Expenses</t>
  </si>
  <si>
    <t>8470 Other Client Specific Expenses</t>
  </si>
  <si>
    <t>8480 Other Client Specific Expenses</t>
  </si>
  <si>
    <t>8525 Other Expenses</t>
  </si>
  <si>
    <t>8570 Other Expenses</t>
  </si>
  <si>
    <t>8580 Other Expenses</t>
  </si>
  <si>
    <t>8599 Capital Expenditures</t>
  </si>
  <si>
    <t>Bad Debt</t>
  </si>
  <si>
    <t>Billable Expense Income</t>
  </si>
  <si>
    <t>Copyright © S&amp;A TECHNOLOGIES • 211 Warren Street, Newark New Jersey, 07103 • Tel: 973 733 2225</t>
  </si>
  <si>
    <t>Inventory Asset</t>
  </si>
  <si>
    <t>Markup</t>
  </si>
  <si>
    <t>Other Miscellaneous Expense</t>
  </si>
  <si>
    <t>Purchases</t>
  </si>
  <si>
    <t>Reconciliation Discrepancies-1</t>
  </si>
  <si>
    <t>Sales of Product Income</t>
  </si>
  <si>
    <t>Services</t>
  </si>
  <si>
    <t>Unapplied Cash Bill Payment Expense</t>
  </si>
  <si>
    <t>Unapplied Cash Payment Income</t>
  </si>
  <si>
    <t>Uncategorized Asset</t>
  </si>
  <si>
    <t>Uncategorized Expense</t>
  </si>
  <si>
    <t>Uncategorized Income</t>
  </si>
  <si>
    <t>Mar 2020</t>
  </si>
  <si>
    <t>111B Wrap Fees</t>
  </si>
  <si>
    <t>Abbott,Teacher</t>
  </si>
  <si>
    <t xml:space="preserve">Abbott,Security </t>
  </si>
  <si>
    <t>Abbott, Admin,Custodian</t>
  </si>
  <si>
    <t>Abbott, Admin,Teacher Assistant</t>
  </si>
  <si>
    <t>Wrap,Wrap Worker</t>
  </si>
  <si>
    <t>Abbott,Teacher Assistant</t>
  </si>
  <si>
    <t>111AA009</t>
  </si>
  <si>
    <t>111BA009</t>
  </si>
  <si>
    <t>USJP,Site Coordinator</t>
  </si>
  <si>
    <t>FOC,Program Coordinator</t>
  </si>
  <si>
    <t>Abbott,Program Director</t>
  </si>
  <si>
    <t>EHS/ Toddlers,Teacher</t>
  </si>
  <si>
    <t>Admin,CEO</t>
  </si>
  <si>
    <t>Workforce,VP - Workforce</t>
  </si>
  <si>
    <t>Housing,Housing Coordinator</t>
  </si>
  <si>
    <t>FOC,Financial Coach</t>
  </si>
  <si>
    <t>United Airlines,Job Developer</t>
  </si>
  <si>
    <t>USJP,Teacher</t>
  </si>
  <si>
    <t>NRTC, Housing, PARS, ESG,Housing Coordinator</t>
  </si>
  <si>
    <t>PACE,Program Coordinator</t>
  </si>
  <si>
    <t>USJP,Payroll Coordinator</t>
  </si>
  <si>
    <t>Neigh Revit,Community Organizer</t>
  </si>
  <si>
    <t>Abbott,Family Worker</t>
  </si>
  <si>
    <t>111A</t>
  </si>
  <si>
    <t>USJP,Program Director</t>
  </si>
  <si>
    <t>Abbott,Floater</t>
  </si>
  <si>
    <t>Opportunity Corp,Program Director</t>
  </si>
  <si>
    <t xml:space="preserve"> -   </t>
  </si>
  <si>
    <t>FOC, Housing, OICA, COO,COO</t>
  </si>
  <si>
    <t>Admin, Coding, WF,CAO</t>
  </si>
  <si>
    <t>Abbott,Food Worker</t>
  </si>
  <si>
    <t>Admin,CFO</t>
  </si>
  <si>
    <t>United Airlines, PACE June 30,Career Coach</t>
  </si>
  <si>
    <t>C:\Users\Peter\Documents\Associates\Projects\Townsend\UrbanLeague\Payroll Allocation\2020 03 06 _AdvancedGeneralLedgerReport_a382e1d3.xlsx</t>
  </si>
  <si>
    <t>Period</t>
  </si>
  <si>
    <t>02/16/20 – 02/29/20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</si>
</sst>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  <font>
      <sz val="10"/>
      <color rgb="FF333333"/>
      <name val="Arial"/>
      <family val="2"/>
    </font>
    <font>
      <sz val="7"/>
      <color rgb="FF333333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22222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C6E0B4"/>
        <bgColor rgb="FF000000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8" fillId="0" borderId="0"/>
  </cellStyleXfs>
  <cellXfs count="79">
    <xf numFmtId="0" fontId="0" fillId="0" borderId="0" xfId="0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9" fillId="6" borderId="0" xfId="2" applyFont="1" applyFill="1" applyAlignment="1"/>
    <xf numFmtId="0" fontId="0" fillId="6" borderId="0" xfId="0" applyFill="1"/>
    <xf numFmtId="0" fontId="0" fillId="0" borderId="0" xfId="0" applyFill="1"/>
    <xf numFmtId="0" fontId="1" fillId="9" borderId="0" xfId="0" applyFont="1" applyFill="1"/>
    <xf numFmtId="0" fontId="0" fillId="8" borderId="0" xfId="0" applyFont="1" applyFill="1"/>
    <xf numFmtId="0" fontId="5" fillId="8" borderId="0" xfId="0" applyFont="1" applyFill="1"/>
    <xf numFmtId="0" fontId="0" fillId="6" borderId="0" xfId="0" applyFont="1" applyFill="1"/>
    <xf numFmtId="0" fontId="5" fillId="6" borderId="0" xfId="0" applyFont="1" applyFill="1"/>
    <xf numFmtId="14" fontId="0" fillId="0" borderId="0" xfId="0" applyNumberFormat="1"/>
    <xf numFmtId="0" fontId="0" fillId="6" borderId="0" xfId="0" quotePrefix="1" applyFont="1" applyFill="1"/>
    <xf numFmtId="0" fontId="0" fillId="0" borderId="0" xfId="0" applyFont="1" applyFill="1"/>
    <xf numFmtId="0" fontId="0" fillId="0" borderId="0" xfId="0" applyAlignment="1">
      <alignment horizontal="left"/>
    </xf>
    <xf numFmtId="7" fontId="0" fillId="0" borderId="0" xfId="0" applyNumberFormat="1"/>
    <xf numFmtId="2" fontId="0" fillId="0" borderId="0" xfId="0" applyNumberFormat="1"/>
    <xf numFmtId="0" fontId="6" fillId="6" borderId="0" xfId="0" applyFont="1" applyFill="1" applyAlignment="1">
      <alignment horizontal="left"/>
    </xf>
    <xf numFmtId="0" fontId="5" fillId="6" borderId="0" xfId="0" applyFont="1" applyFill="1" applyAlignment="1">
      <alignment horizontal="left"/>
    </xf>
    <xf numFmtId="0" fontId="6" fillId="6" borderId="0" xfId="0" quotePrefix="1" applyFont="1" applyFill="1" applyAlignment="1">
      <alignment horizontal="left"/>
    </xf>
    <xf numFmtId="0" fontId="5" fillId="6" borderId="0" xfId="0" quotePrefix="1" applyFont="1" applyFill="1" applyAlignment="1">
      <alignment horizontal="left"/>
    </xf>
    <xf numFmtId="2" fontId="5" fillId="6" borderId="0" xfId="0" quotePrefix="1" applyNumberFormat="1" applyFont="1" applyFill="1" applyAlignment="1">
      <alignment horizontal="left"/>
    </xf>
    <xf numFmtId="2" fontId="6" fillId="6" borderId="0" xfId="0" quotePrefix="1" applyNumberFormat="1" applyFont="1" applyFill="1" applyAlignment="1">
      <alignment horizontal="left"/>
    </xf>
    <xf numFmtId="2" fontId="0" fillId="0" borderId="0" xfId="0" applyNumberFormat="1" applyAlignment="1">
      <alignment horizontal="left"/>
    </xf>
    <xf numFmtId="0" fontId="11" fillId="0" borderId="0" xfId="0" applyFont="1"/>
    <xf numFmtId="0" fontId="0" fillId="3" borderId="0" xfId="0" applyFont="1" applyFill="1" applyBorder="1"/>
    <xf numFmtId="16" fontId="0" fillId="4" borderId="0" xfId="0" quotePrefix="1" applyNumberFormat="1" applyFont="1" applyFill="1" applyBorder="1"/>
    <xf numFmtId="0" fontId="0" fillId="4" borderId="0" xfId="0" applyFont="1" applyFill="1" applyBorder="1"/>
    <xf numFmtId="0" fontId="0" fillId="10" borderId="0" xfId="0" applyFont="1" applyFill="1"/>
    <xf numFmtId="0" fontId="7" fillId="0" borderId="0" xfId="0" applyFont="1" applyAlignment="1">
      <alignment horizontal="left"/>
    </xf>
    <xf numFmtId="0" fontId="1" fillId="11" borderId="0" xfId="0" applyFont="1" applyFill="1"/>
    <xf numFmtId="0" fontId="1" fillId="12" borderId="0" xfId="0" applyFont="1" applyFill="1"/>
    <xf numFmtId="17" fontId="0" fillId="3" borderId="0" xfId="0" quotePrefix="1" applyNumberFormat="1" applyFont="1" applyFill="1" applyBorder="1" applyAlignment="1">
      <alignment horizontal="left"/>
    </xf>
    <xf numFmtId="0" fontId="12" fillId="13" borderId="0" xfId="0" applyFont="1" applyFill="1" applyAlignment="1">
      <alignment horizontal="left" vertical="top"/>
    </xf>
    <xf numFmtId="16" fontId="12" fillId="13" borderId="0" xfId="0" applyNumberFormat="1" applyFont="1" applyFill="1" applyAlignment="1">
      <alignment horizontal="left" vertical="top"/>
    </xf>
    <xf numFmtId="0" fontId="12" fillId="13" borderId="1" xfId="0" applyFont="1" applyFill="1" applyBorder="1" applyAlignment="1">
      <alignment horizontal="left" vertical="top"/>
    </xf>
    <xf numFmtId="0" fontId="10" fillId="0" borderId="0" xfId="0" applyFont="1"/>
    <xf numFmtId="0" fontId="12" fillId="0" borderId="0" xfId="0" applyFont="1" applyAlignment="1">
      <alignment vertical="top"/>
    </xf>
    <xf numFmtId="0" fontId="12" fillId="13" borderId="4" xfId="0" applyFont="1" applyFill="1" applyBorder="1" applyAlignment="1">
      <alignment horizontal="left" vertical="top"/>
    </xf>
    <xf numFmtId="0" fontId="7" fillId="13" borderId="4" xfId="0" applyFont="1" applyFill="1" applyBorder="1" applyAlignment="1">
      <alignment horizontal="left" vertical="top"/>
    </xf>
    <xf numFmtId="0" fontId="7" fillId="13" borderId="5" xfId="0" applyFont="1" applyFill="1" applyBorder="1" applyAlignment="1">
      <alignment horizontal="left" vertical="top"/>
    </xf>
    <xf numFmtId="0" fontId="12" fillId="13" borderId="2" xfId="0" applyFont="1" applyFill="1" applyBorder="1" applyAlignment="1">
      <alignment horizontal="left" vertical="top"/>
    </xf>
    <xf numFmtId="0" fontId="7" fillId="13" borderId="2" xfId="0" applyFont="1" applyFill="1" applyBorder="1" applyAlignment="1">
      <alignment horizontal="left" vertical="top"/>
    </xf>
    <xf numFmtId="0" fontId="7" fillId="14" borderId="2" xfId="0" applyFont="1" applyFill="1" applyBorder="1" applyAlignment="1">
      <alignment horizontal="left" vertical="top"/>
    </xf>
    <xf numFmtId="0" fontId="7" fillId="14" borderId="3" xfId="0" applyFont="1" applyFill="1" applyBorder="1" applyAlignment="1">
      <alignment horizontal="left" vertical="top"/>
    </xf>
    <xf numFmtId="0" fontId="12" fillId="15" borderId="2" xfId="0" applyFont="1" applyFill="1" applyBorder="1" applyAlignment="1">
      <alignment vertical="top"/>
    </xf>
    <xf numFmtId="0" fontId="12" fillId="0" borderId="2" xfId="0" applyFont="1" applyBorder="1" applyAlignment="1">
      <alignment vertical="top"/>
    </xf>
    <xf numFmtId="0" fontId="12" fillId="0" borderId="0" xfId="0" applyFont="1"/>
    <xf numFmtId="10" fontId="12" fillId="0" borderId="1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12" fillId="16" borderId="0" xfId="0" applyFont="1" applyFill="1"/>
    <xf numFmtId="0" fontId="12" fillId="17" borderId="0" xfId="0" applyFont="1" applyFill="1"/>
    <xf numFmtId="0" fontId="12" fillId="18" borderId="0" xfId="0" applyFont="1" applyFill="1"/>
    <xf numFmtId="0" fontId="12" fillId="19" borderId="0" xfId="0" applyFont="1" applyFill="1"/>
    <xf numFmtId="0" fontId="12" fillId="20" borderId="0" xfId="0" applyFont="1" applyFill="1"/>
    <xf numFmtId="0" fontId="12" fillId="21" borderId="0" xfId="0" applyFont="1" applyFill="1"/>
    <xf numFmtId="0" fontId="12" fillId="22" borderId="0" xfId="0" applyFont="1" applyFill="1"/>
    <xf numFmtId="2" fontId="12" fillId="0" borderId="1" xfId="0" applyNumberFormat="1" applyFont="1" applyBorder="1" applyAlignment="1">
      <alignment horizontal="left" vertical="top"/>
    </xf>
    <xf numFmtId="2" fontId="12" fillId="0" borderId="0" xfId="0" applyNumberFormat="1" applyFont="1" applyAlignment="1">
      <alignment horizontal="left" vertical="top"/>
    </xf>
    <xf numFmtId="2" fontId="12" fillId="0" borderId="0" xfId="0" applyNumberFormat="1" applyFont="1"/>
    <xf numFmtId="2" fontId="12" fillId="13" borderId="0" xfId="0" applyNumberFormat="1" applyFont="1" applyFill="1" applyAlignment="1">
      <alignment horizontal="left" vertical="top"/>
    </xf>
    <xf numFmtId="2" fontId="12" fillId="16" borderId="0" xfId="0" applyNumberFormat="1" applyFont="1" applyFill="1"/>
    <xf numFmtId="2" fontId="12" fillId="17" borderId="0" xfId="0" applyNumberFormat="1" applyFont="1" applyFill="1"/>
    <xf numFmtId="2" fontId="12" fillId="18" borderId="0" xfId="0" applyNumberFormat="1" applyFont="1" applyFill="1"/>
    <xf numFmtId="2" fontId="12" fillId="19" borderId="0" xfId="0" applyNumberFormat="1" applyFont="1" applyFill="1"/>
    <xf numFmtId="2" fontId="12" fillId="20" borderId="0" xfId="0" applyNumberFormat="1" applyFont="1" applyFill="1"/>
    <xf numFmtId="2" fontId="12" fillId="21" borderId="0" xfId="0" applyNumberFormat="1" applyFont="1" applyFill="1"/>
    <xf numFmtId="2" fontId="12" fillId="22" borderId="0" xfId="0" applyNumberFormat="1" applyFont="1" applyFill="1"/>
    <xf numFmtId="0" fontId="1" fillId="7" borderId="0" xfId="0" applyFont="1" applyFill="1"/>
    <xf numFmtId="0" fontId="13" fillId="7" borderId="0" xfId="0" applyFont="1" applyFill="1" applyAlignment="1">
      <alignment horizontal="left"/>
    </xf>
    <xf numFmtId="0" fontId="5" fillId="7" borderId="0" xfId="0" applyFont="1" applyFill="1"/>
    <xf numFmtId="0" fontId="14" fillId="0" borderId="0" xfId="0" applyFont="1"/>
  </cellXfs>
  <cellStyles count="3">
    <cellStyle name="Comma 5" xfId="1"/>
    <cellStyle name="Normal" xfId="0" builtinId="0"/>
    <cellStyle name="Normal 5" xfId="2"/>
  </cellStyles>
  <dxfs count="20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17</xdr:row>
          <xdr:rowOff>63500</xdr:rowOff>
        </xdr:from>
        <xdr:to>
          <xdr:col>3</xdr:col>
          <xdr:colOff>520700</xdr:colOff>
          <xdr:row>19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1689100</xdr:colOff>
          <xdr:row>14</xdr:row>
          <xdr:rowOff>69850</xdr:rowOff>
        </xdr:from>
        <xdr:to>
          <xdr:col>9</xdr:col>
          <xdr:colOff>914400</xdr:colOff>
          <xdr:row>16</xdr:row>
          <xdr:rowOff>107950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Allocation Rounder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Accounts"/>
    </sheetNames>
    <sheetDataSet>
      <sheetData sheetId="0" refreshError="1"/>
      <sheetData sheetId="1">
        <row r="1">
          <cell r="B1" t="str">
            <v>Account Number</v>
          </cell>
          <cell r="C1" t="str">
            <v>Id</v>
          </cell>
          <cell r="D1" t="str">
            <v>Name</v>
          </cell>
        </row>
        <row r="2">
          <cell r="B2">
            <v>1000</v>
          </cell>
          <cell r="C2">
            <v>47</v>
          </cell>
          <cell r="D2" t="str">
            <v>Cash</v>
          </cell>
        </row>
        <row r="3">
          <cell r="B3">
            <v>1001</v>
          </cell>
          <cell r="C3">
            <v>611</v>
          </cell>
          <cell r="D3" t="str">
            <v>Checking Active</v>
          </cell>
        </row>
        <row r="4">
          <cell r="B4">
            <v>1005</v>
          </cell>
          <cell r="C4">
            <v>605</v>
          </cell>
          <cell r="D4" t="str">
            <v>Bank of America</v>
          </cell>
        </row>
        <row r="5">
          <cell r="B5">
            <v>1010</v>
          </cell>
          <cell r="C5">
            <v>48</v>
          </cell>
          <cell r="D5" t="str">
            <v>BOA Operating Acct 3973</v>
          </cell>
        </row>
        <row r="6">
          <cell r="B6">
            <v>1012</v>
          </cell>
          <cell r="C6">
            <v>727</v>
          </cell>
          <cell r="D6" t="str">
            <v>BOA - Abbott Checking - 9170</v>
          </cell>
        </row>
        <row r="7">
          <cell r="B7">
            <v>1014</v>
          </cell>
          <cell r="C7">
            <v>728</v>
          </cell>
          <cell r="D7" t="str">
            <v>BOA- NRTC Checking 9183</v>
          </cell>
        </row>
        <row r="8">
          <cell r="B8">
            <v>1015</v>
          </cell>
          <cell r="C8">
            <v>369</v>
          </cell>
          <cell r="D8" t="str">
            <v>TD Bank - LISC 8958</v>
          </cell>
        </row>
        <row r="9">
          <cell r="B9">
            <v>1016</v>
          </cell>
          <cell r="C9">
            <v>777</v>
          </cell>
          <cell r="D9" t="str">
            <v>BOA Housing Trust 4343</v>
          </cell>
        </row>
        <row r="10">
          <cell r="B10">
            <v>1017</v>
          </cell>
          <cell r="C10">
            <v>778</v>
          </cell>
          <cell r="D10" t="str">
            <v>BOA Victoria Challenge 4330</v>
          </cell>
        </row>
        <row r="11">
          <cell r="B11">
            <v>1021</v>
          </cell>
          <cell r="C11">
            <v>804</v>
          </cell>
          <cell r="D11" t="str">
            <v>Affiliate accounts</v>
          </cell>
        </row>
        <row r="12">
          <cell r="B12">
            <v>1025</v>
          </cell>
          <cell r="C12">
            <v>373</v>
          </cell>
          <cell r="D12" t="str">
            <v>PayPal</v>
          </cell>
        </row>
        <row r="13">
          <cell r="B13">
            <v>1030</v>
          </cell>
          <cell r="C13">
            <v>50</v>
          </cell>
          <cell r="D13" t="str">
            <v>PNC Acct 5472- ULEC Funds</v>
          </cell>
        </row>
        <row r="14">
          <cell r="B14">
            <v>1035</v>
          </cell>
          <cell r="C14">
            <v>404</v>
          </cell>
          <cell r="D14" t="str">
            <v>BOA Young Prof - 9095</v>
          </cell>
        </row>
        <row r="15">
          <cell r="B15">
            <v>1040</v>
          </cell>
          <cell r="C15">
            <v>148</v>
          </cell>
          <cell r="D15" t="str">
            <v>PNC - 5069 So Ward Newsletter</v>
          </cell>
        </row>
        <row r="16">
          <cell r="B16">
            <v>1045</v>
          </cell>
          <cell r="C16">
            <v>405</v>
          </cell>
          <cell r="D16" t="str">
            <v>BOA - GUILD 9082</v>
          </cell>
        </row>
        <row r="17">
          <cell r="B17">
            <v>1050</v>
          </cell>
          <cell r="C17">
            <v>156</v>
          </cell>
          <cell r="D17" t="str">
            <v>PNC Acct 4811- AmeriCorp</v>
          </cell>
        </row>
        <row r="18">
          <cell r="B18">
            <v>1070</v>
          </cell>
          <cell r="C18">
            <v>167</v>
          </cell>
          <cell r="D18" t="str">
            <v>CNB Acct 2808 - YP ??</v>
          </cell>
        </row>
        <row r="19">
          <cell r="B19">
            <v>1071</v>
          </cell>
          <cell r="C19">
            <v>807</v>
          </cell>
          <cell r="D19" t="str">
            <v>Bill.com Money In Clearing</v>
          </cell>
        </row>
        <row r="20">
          <cell r="B20">
            <v>1072</v>
          </cell>
          <cell r="C20">
            <v>808</v>
          </cell>
          <cell r="D20" t="str">
            <v>Bill.com Money Out Clearing</v>
          </cell>
        </row>
        <row r="21">
          <cell r="B21">
            <v>1085</v>
          </cell>
          <cell r="C21">
            <v>740</v>
          </cell>
          <cell r="D21" t="str">
            <v>BOA - PSEG Savings 9196</v>
          </cell>
        </row>
        <row r="22">
          <cell r="B22">
            <v>1086</v>
          </cell>
          <cell r="C22">
            <v>776</v>
          </cell>
          <cell r="D22" t="str">
            <v>BOA Victoria Challenge Savings 4356</v>
          </cell>
        </row>
        <row r="23">
          <cell r="B23">
            <v>1087</v>
          </cell>
          <cell r="C23">
            <v>779</v>
          </cell>
          <cell r="D23" t="str">
            <v>BOA Housing Trust Fund Savings 4246</v>
          </cell>
        </row>
        <row r="24">
          <cell r="B24">
            <v>1090</v>
          </cell>
          <cell r="C24">
            <v>52</v>
          </cell>
          <cell r="D24" t="str">
            <v>Petty Cash</v>
          </cell>
        </row>
        <row r="25">
          <cell r="B25">
            <v>1091</v>
          </cell>
          <cell r="C25">
            <v>475</v>
          </cell>
          <cell r="D25" t="str">
            <v>Petty Cash - ThriftWorks</v>
          </cell>
        </row>
        <row r="26">
          <cell r="B26">
            <v>1092</v>
          </cell>
          <cell r="C26">
            <v>476</v>
          </cell>
          <cell r="D26" t="str">
            <v>Petty Cash - PreSchool</v>
          </cell>
        </row>
        <row r="27">
          <cell r="B27">
            <v>1093</v>
          </cell>
          <cell r="C27">
            <v>622</v>
          </cell>
          <cell r="D27" t="str">
            <v>Petty Cash - Coding</v>
          </cell>
        </row>
        <row r="28">
          <cell r="B28">
            <v>1100</v>
          </cell>
          <cell r="C28">
            <v>53</v>
          </cell>
          <cell r="D28" t="str">
            <v>Accounts/ Contributions Receivable</v>
          </cell>
        </row>
        <row r="29">
          <cell r="B29">
            <v>1101</v>
          </cell>
          <cell r="C29">
            <v>547</v>
          </cell>
          <cell r="D29" t="str">
            <v>Acct Rec - Reclassed</v>
          </cell>
        </row>
        <row r="30">
          <cell r="B30">
            <v>1400</v>
          </cell>
          <cell r="C30">
            <v>241</v>
          </cell>
          <cell r="D30" t="str">
            <v>Other Current Assets</v>
          </cell>
        </row>
        <row r="31">
          <cell r="B31">
            <v>1410</v>
          </cell>
          <cell r="C31">
            <v>54</v>
          </cell>
          <cell r="D31" t="str">
            <v>Advances to Staff</v>
          </cell>
        </row>
        <row r="32">
          <cell r="B32">
            <v>1420</v>
          </cell>
          <cell r="C32">
            <v>66</v>
          </cell>
          <cell r="D32" t="str">
            <v>Prepaid Expenses</v>
          </cell>
        </row>
        <row r="33">
          <cell r="B33">
            <v>1421</v>
          </cell>
          <cell r="C33">
            <v>445</v>
          </cell>
          <cell r="D33" t="str">
            <v>Prepaid Insurance</v>
          </cell>
        </row>
        <row r="34">
          <cell r="B34">
            <v>1422</v>
          </cell>
          <cell r="C34">
            <v>439</v>
          </cell>
          <cell r="D34" t="str">
            <v>Prepaid Insurance- WC</v>
          </cell>
        </row>
        <row r="35">
          <cell r="B35">
            <v>1430</v>
          </cell>
          <cell r="C35">
            <v>242</v>
          </cell>
          <cell r="D35" t="str">
            <v>Security Deposits</v>
          </cell>
        </row>
        <row r="36">
          <cell r="B36">
            <v>1440</v>
          </cell>
          <cell r="C36">
            <v>401</v>
          </cell>
          <cell r="D36" t="str">
            <v>Allocated Costs - General</v>
          </cell>
        </row>
        <row r="37">
          <cell r="B37">
            <v>1445</v>
          </cell>
          <cell r="C37">
            <v>714</v>
          </cell>
          <cell r="D37" t="str">
            <v>Due From ULEC Opport Corp</v>
          </cell>
        </row>
        <row r="38">
          <cell r="B38">
            <v>1446</v>
          </cell>
          <cell r="C38">
            <v>745</v>
          </cell>
          <cell r="D38" t="str">
            <v>Due from Emp'ee - Life Ins</v>
          </cell>
        </row>
        <row r="39">
          <cell r="B39">
            <v>1447</v>
          </cell>
          <cell r="C39">
            <v>746</v>
          </cell>
          <cell r="D39" t="str">
            <v>Due from Emp'ee - Aflac</v>
          </cell>
        </row>
        <row r="40">
          <cell r="B40">
            <v>1450</v>
          </cell>
          <cell r="C40">
            <v>453</v>
          </cell>
          <cell r="D40" t="str">
            <v>Grants Receivable</v>
          </cell>
        </row>
        <row r="41">
          <cell r="B41">
            <v>1450.1</v>
          </cell>
          <cell r="C41">
            <v>742</v>
          </cell>
          <cell r="D41" t="str">
            <v>Grants Rec - Adjustments</v>
          </cell>
        </row>
        <row r="42">
          <cell r="B42">
            <v>1451</v>
          </cell>
          <cell r="C42">
            <v>500</v>
          </cell>
          <cell r="D42" t="str">
            <v>Grants Rec - PRFC</v>
          </cell>
        </row>
        <row r="43">
          <cell r="B43">
            <v>1451.1</v>
          </cell>
          <cell r="C43">
            <v>580</v>
          </cell>
          <cell r="D43" t="str">
            <v>Grants Rec - NUL Gates</v>
          </cell>
        </row>
        <row r="44">
          <cell r="B44">
            <v>1452</v>
          </cell>
          <cell r="C44">
            <v>533</v>
          </cell>
          <cell r="D44" t="str">
            <v>Grants Rec - Abbott</v>
          </cell>
        </row>
        <row r="45">
          <cell r="B45">
            <v>1452.1</v>
          </cell>
          <cell r="C45">
            <v>546</v>
          </cell>
          <cell r="D45" t="str">
            <v>Grants Rec - Abbott.Benefits</v>
          </cell>
        </row>
        <row r="46">
          <cell r="B46">
            <v>1452.2</v>
          </cell>
          <cell r="C46">
            <v>781</v>
          </cell>
          <cell r="D46" t="str">
            <v>Abbott - HVAC</v>
          </cell>
        </row>
        <row r="47">
          <cell r="B47">
            <v>1452.3</v>
          </cell>
          <cell r="C47">
            <v>782</v>
          </cell>
          <cell r="D47" t="str">
            <v>Abbott 19-20</v>
          </cell>
        </row>
        <row r="48">
          <cell r="B48">
            <v>1453</v>
          </cell>
          <cell r="C48">
            <v>534</v>
          </cell>
          <cell r="D48" t="str">
            <v>Grants Rec - EHS</v>
          </cell>
        </row>
        <row r="49">
          <cell r="B49">
            <v>1454</v>
          </cell>
          <cell r="C49">
            <v>535</v>
          </cell>
          <cell r="D49" t="str">
            <v>Grants Rec - Americorp</v>
          </cell>
        </row>
        <row r="50">
          <cell r="B50">
            <v>1454.1</v>
          </cell>
          <cell r="C50">
            <v>572</v>
          </cell>
          <cell r="D50" t="str">
            <v>Grants Rec - Americ 18.19</v>
          </cell>
        </row>
        <row r="51">
          <cell r="B51">
            <v>1454.2</v>
          </cell>
          <cell r="C51">
            <v>743</v>
          </cell>
          <cell r="D51" t="str">
            <v>Americorp 18.19</v>
          </cell>
        </row>
        <row r="52">
          <cell r="B52">
            <v>1455</v>
          </cell>
          <cell r="C52">
            <v>536</v>
          </cell>
          <cell r="D52" t="str">
            <v>Grants Rec - ESG</v>
          </cell>
        </row>
        <row r="53">
          <cell r="B53">
            <v>1456</v>
          </cell>
          <cell r="C53">
            <v>537</v>
          </cell>
          <cell r="D53" t="str">
            <v>Grants Rec - OICA</v>
          </cell>
        </row>
        <row r="54">
          <cell r="B54">
            <v>1457</v>
          </cell>
          <cell r="C54">
            <v>538</v>
          </cell>
          <cell r="D54" t="str">
            <v>Grant Rec - USJP</v>
          </cell>
        </row>
        <row r="55">
          <cell r="B55">
            <v>1457.1</v>
          </cell>
          <cell r="C55">
            <v>720</v>
          </cell>
          <cell r="D55" t="str">
            <v>Grant Rec - NUL Wells Fargo</v>
          </cell>
        </row>
        <row r="56">
          <cell r="B56">
            <v>1458</v>
          </cell>
          <cell r="C56">
            <v>541</v>
          </cell>
          <cell r="D56" t="str">
            <v>Grants Rec- CCFP</v>
          </cell>
        </row>
        <row r="57">
          <cell r="B57">
            <v>1458.2</v>
          </cell>
          <cell r="C57">
            <v>716</v>
          </cell>
          <cell r="D57" t="str">
            <v>CCFP Reclass</v>
          </cell>
        </row>
        <row r="58">
          <cell r="B58">
            <v>1460</v>
          </cell>
          <cell r="C58">
            <v>540</v>
          </cell>
          <cell r="D58" t="str">
            <v>Grants Rec - DYFS</v>
          </cell>
        </row>
        <row r="59">
          <cell r="B59">
            <v>1461</v>
          </cell>
          <cell r="C59">
            <v>542</v>
          </cell>
          <cell r="D59" t="str">
            <v>Grant Rec - NUL - HUD</v>
          </cell>
        </row>
        <row r="60">
          <cell r="B60">
            <v>1462</v>
          </cell>
          <cell r="C60">
            <v>543</v>
          </cell>
          <cell r="D60" t="str">
            <v>Grants Rec - Wells Fargo</v>
          </cell>
        </row>
        <row r="61">
          <cell r="B61">
            <v>1463</v>
          </cell>
          <cell r="C61">
            <v>544</v>
          </cell>
          <cell r="D61" t="str">
            <v>Grants Rec - LISC HUD#23</v>
          </cell>
        </row>
        <row r="62">
          <cell r="B62">
            <v>1463.1</v>
          </cell>
          <cell r="C62">
            <v>574</v>
          </cell>
          <cell r="D62" t="str">
            <v>Grant Rec.- LISC- FOC 25</v>
          </cell>
        </row>
        <row r="63">
          <cell r="B63">
            <v>1463.2</v>
          </cell>
          <cell r="C63">
            <v>576</v>
          </cell>
          <cell r="D63" t="str">
            <v>Grant Rec. LISC FOC #26</v>
          </cell>
        </row>
        <row r="64">
          <cell r="B64">
            <v>1463.3</v>
          </cell>
          <cell r="C64">
            <v>581</v>
          </cell>
          <cell r="D64" t="str">
            <v>LISC - NRLA</v>
          </cell>
        </row>
        <row r="65">
          <cell r="B65">
            <v>1463.4</v>
          </cell>
          <cell r="C65">
            <v>723</v>
          </cell>
          <cell r="D65" t="str">
            <v>Grant Rec. LISC # 000</v>
          </cell>
        </row>
        <row r="66">
          <cell r="B66">
            <v>1464</v>
          </cell>
          <cell r="C66">
            <v>545</v>
          </cell>
          <cell r="D66" t="str">
            <v>Grants Rec - PFP</v>
          </cell>
        </row>
        <row r="67">
          <cell r="B67">
            <v>1465</v>
          </cell>
          <cell r="C67">
            <v>551</v>
          </cell>
          <cell r="D67" t="str">
            <v>Grants Rec - NRTC 16</v>
          </cell>
        </row>
        <row r="68">
          <cell r="B68">
            <v>1465.1</v>
          </cell>
          <cell r="C68">
            <v>792</v>
          </cell>
          <cell r="D68" t="str">
            <v>Home Grant</v>
          </cell>
        </row>
        <row r="69">
          <cell r="B69">
            <v>1465.2</v>
          </cell>
          <cell r="C69">
            <v>796</v>
          </cell>
          <cell r="D69" t="str">
            <v>LISC</v>
          </cell>
        </row>
        <row r="70">
          <cell r="B70">
            <v>1465.3</v>
          </cell>
          <cell r="C70">
            <v>797</v>
          </cell>
          <cell r="D70" t="str">
            <v>DCA - NRTC 16</v>
          </cell>
        </row>
        <row r="71">
          <cell r="B71">
            <v>1467</v>
          </cell>
          <cell r="C71">
            <v>548</v>
          </cell>
          <cell r="D71" t="str">
            <v>Grants Rec - United Airlines</v>
          </cell>
        </row>
        <row r="72">
          <cell r="B72">
            <v>1468</v>
          </cell>
          <cell r="C72">
            <v>549</v>
          </cell>
          <cell r="D72" t="str">
            <v>Sales - Thriftworks</v>
          </cell>
        </row>
        <row r="73">
          <cell r="B73">
            <v>1469</v>
          </cell>
          <cell r="C73">
            <v>550</v>
          </cell>
          <cell r="D73" t="str">
            <v>Parent Co Pays</v>
          </cell>
        </row>
        <row r="74">
          <cell r="B74">
            <v>1470</v>
          </cell>
          <cell r="C74">
            <v>561</v>
          </cell>
          <cell r="D74" t="str">
            <v>Grants Rec - Housing Trust Fund</v>
          </cell>
        </row>
        <row r="75">
          <cell r="B75">
            <v>1471</v>
          </cell>
          <cell r="C75">
            <v>552</v>
          </cell>
          <cell r="D75" t="str">
            <v>Grants Rec - SNAP</v>
          </cell>
        </row>
        <row r="76">
          <cell r="B76">
            <v>1472</v>
          </cell>
          <cell r="C76">
            <v>751</v>
          </cell>
          <cell r="D76" t="str">
            <v>Grants Rec - Newark Alliance</v>
          </cell>
        </row>
        <row r="77">
          <cell r="B77">
            <v>1473</v>
          </cell>
          <cell r="C77">
            <v>563</v>
          </cell>
          <cell r="D77" t="str">
            <v>Grants Rec - FOC LISC</v>
          </cell>
        </row>
        <row r="78">
          <cell r="B78">
            <v>1474</v>
          </cell>
          <cell r="C78">
            <v>564</v>
          </cell>
          <cell r="D78" t="str">
            <v>Grants Rec - NRTC 14</v>
          </cell>
        </row>
        <row r="79">
          <cell r="B79">
            <v>1475</v>
          </cell>
          <cell r="C79">
            <v>565</v>
          </cell>
          <cell r="D79" t="str">
            <v>Grants Rec - MCJ Found</v>
          </cell>
        </row>
        <row r="80">
          <cell r="B80">
            <v>1476</v>
          </cell>
          <cell r="C80">
            <v>566</v>
          </cell>
          <cell r="D80" t="str">
            <v>Grants Rec - Comm Found</v>
          </cell>
        </row>
        <row r="81">
          <cell r="B81">
            <v>1477</v>
          </cell>
          <cell r="C81">
            <v>567</v>
          </cell>
          <cell r="D81" t="str">
            <v>Grants Rec - NRTC 18</v>
          </cell>
        </row>
        <row r="82">
          <cell r="B82">
            <v>1478</v>
          </cell>
          <cell r="C82">
            <v>591</v>
          </cell>
          <cell r="D82" t="str">
            <v>Grant Rec - City of Newark Tech</v>
          </cell>
        </row>
        <row r="83">
          <cell r="B83">
            <v>1479</v>
          </cell>
          <cell r="C83">
            <v>752</v>
          </cell>
          <cell r="D83" t="str">
            <v>Grant Rec - NRTC 19</v>
          </cell>
        </row>
        <row r="84">
          <cell r="B84">
            <v>1479.1</v>
          </cell>
          <cell r="C84">
            <v>770</v>
          </cell>
          <cell r="D84" t="str">
            <v>Grants Rec - Prudential</v>
          </cell>
        </row>
        <row r="85">
          <cell r="B85">
            <v>1480</v>
          </cell>
          <cell r="C85">
            <v>753</v>
          </cell>
          <cell r="D85" t="str">
            <v>Grant Rec - Capital One</v>
          </cell>
        </row>
        <row r="86">
          <cell r="B86">
            <v>1481</v>
          </cell>
          <cell r="C86">
            <v>754</v>
          </cell>
          <cell r="D86" t="str">
            <v>Grant Rec - CDBG Irvington</v>
          </cell>
        </row>
        <row r="87">
          <cell r="B87">
            <v>1482</v>
          </cell>
          <cell r="C87">
            <v>755</v>
          </cell>
          <cell r="D87" t="str">
            <v>Grants Rec - PACE</v>
          </cell>
        </row>
        <row r="88">
          <cell r="B88">
            <v>1499</v>
          </cell>
          <cell r="C88">
            <v>98</v>
          </cell>
          <cell r="D88" t="str">
            <v>Undeposited Funds</v>
          </cell>
        </row>
        <row r="89">
          <cell r="B89">
            <v>1600</v>
          </cell>
          <cell r="C89">
            <v>4</v>
          </cell>
          <cell r="D89" t="str">
            <v>Fixed Operating Assets</v>
          </cell>
        </row>
        <row r="90">
          <cell r="B90">
            <v>1610</v>
          </cell>
          <cell r="C90">
            <v>55</v>
          </cell>
          <cell r="D90" t="str">
            <v>Land</v>
          </cell>
        </row>
        <row r="91">
          <cell r="B91">
            <v>1620</v>
          </cell>
          <cell r="C91">
            <v>56</v>
          </cell>
          <cell r="D91" t="str">
            <v>Buildings</v>
          </cell>
        </row>
        <row r="92">
          <cell r="B92">
            <v>1630</v>
          </cell>
          <cell r="C92">
            <v>58</v>
          </cell>
          <cell r="D92" t="str">
            <v>Building Improvements</v>
          </cell>
        </row>
        <row r="93">
          <cell r="B93">
            <v>1640</v>
          </cell>
          <cell r="C93">
            <v>168</v>
          </cell>
          <cell r="D93" t="str">
            <v>Leasehold Improvements</v>
          </cell>
        </row>
        <row r="94">
          <cell r="B94">
            <v>1650</v>
          </cell>
          <cell r="C94">
            <v>62</v>
          </cell>
          <cell r="D94" t="str">
            <v>Furniture, Fixtures, Equipment</v>
          </cell>
        </row>
        <row r="95">
          <cell r="B95">
            <v>1660</v>
          </cell>
          <cell r="C95">
            <v>112</v>
          </cell>
          <cell r="D95" t="str">
            <v>Vehicles</v>
          </cell>
        </row>
        <row r="96">
          <cell r="B96">
            <v>1670</v>
          </cell>
          <cell r="C96">
            <v>191</v>
          </cell>
          <cell r="D96" t="str">
            <v>Work-In-Progress - Facility Construction</v>
          </cell>
        </row>
        <row r="97">
          <cell r="B97">
            <v>1700</v>
          </cell>
          <cell r="C97">
            <v>243</v>
          </cell>
          <cell r="D97" t="str">
            <v>Accum Depreciation- Fixed Operating Assets</v>
          </cell>
        </row>
        <row r="98">
          <cell r="B98">
            <v>1720</v>
          </cell>
          <cell r="C98">
            <v>57</v>
          </cell>
          <cell r="D98" t="str">
            <v>Accum Deprec - Buildings</v>
          </cell>
        </row>
        <row r="99">
          <cell r="B99">
            <v>1730</v>
          </cell>
          <cell r="C99">
            <v>59</v>
          </cell>
          <cell r="D99" t="str">
            <v>Accum Deprec - Building Improvements</v>
          </cell>
        </row>
        <row r="100">
          <cell r="B100">
            <v>1740</v>
          </cell>
          <cell r="C100">
            <v>169</v>
          </cell>
          <cell r="D100" t="str">
            <v>Accum Deprec - Leasehold Improvements</v>
          </cell>
        </row>
        <row r="101">
          <cell r="B101">
            <v>1750</v>
          </cell>
          <cell r="C101">
            <v>63</v>
          </cell>
          <cell r="D101" t="str">
            <v>Accum Deprec - Furniture, Fixtures, Equipment</v>
          </cell>
        </row>
        <row r="102">
          <cell r="B102">
            <v>1760</v>
          </cell>
          <cell r="C102">
            <v>113</v>
          </cell>
          <cell r="D102" t="str">
            <v>Accum Deprec - Vehicles</v>
          </cell>
        </row>
        <row r="103">
          <cell r="B103">
            <v>2000</v>
          </cell>
          <cell r="C103">
            <v>67</v>
          </cell>
          <cell r="D103" t="str">
            <v>Accounts Payable</v>
          </cell>
        </row>
        <row r="104">
          <cell r="B104">
            <v>2100</v>
          </cell>
          <cell r="C104">
            <v>769</v>
          </cell>
          <cell r="D104" t="str">
            <v>Credit Cards</v>
          </cell>
        </row>
        <row r="105">
          <cell r="B105">
            <v>2105</v>
          </cell>
          <cell r="C105">
            <v>244</v>
          </cell>
          <cell r="D105" t="str">
            <v>Home Depot Credit Card</v>
          </cell>
        </row>
        <row r="106">
          <cell r="B106">
            <v>2150</v>
          </cell>
          <cell r="C106">
            <v>245</v>
          </cell>
          <cell r="D106" t="str">
            <v>Visa Card-8978</v>
          </cell>
        </row>
        <row r="107">
          <cell r="B107">
            <v>2150.1</v>
          </cell>
          <cell r="C107">
            <v>726</v>
          </cell>
          <cell r="D107" t="str">
            <v>VISA Card Adj</v>
          </cell>
        </row>
        <row r="108">
          <cell r="B108">
            <v>2152</v>
          </cell>
          <cell r="C108">
            <v>789</v>
          </cell>
          <cell r="D108" t="str">
            <v>Due to Ryan HVAC</v>
          </cell>
        </row>
        <row r="109">
          <cell r="B109">
            <v>2156</v>
          </cell>
          <cell r="C109">
            <v>625</v>
          </cell>
          <cell r="D109" t="str">
            <v>TD Operating Line of Credit x0199</v>
          </cell>
        </row>
        <row r="110">
          <cell r="B110">
            <v>2157</v>
          </cell>
          <cell r="C110">
            <v>626</v>
          </cell>
          <cell r="D110" t="str">
            <v>TD LOC - Real Estate x9001</v>
          </cell>
        </row>
        <row r="111">
          <cell r="B111">
            <v>2160</v>
          </cell>
          <cell r="C111">
            <v>624</v>
          </cell>
          <cell r="D111" t="str">
            <v>TD - Real Estate Line of Credit</v>
          </cell>
        </row>
        <row r="112">
          <cell r="B112">
            <v>2161</v>
          </cell>
          <cell r="C112">
            <v>377</v>
          </cell>
          <cell r="D112" t="str">
            <v>TD Bank LOC 9006 Oper</v>
          </cell>
        </row>
        <row r="113">
          <cell r="B113">
            <v>2162</v>
          </cell>
          <cell r="C113">
            <v>733</v>
          </cell>
          <cell r="D113" t="str">
            <v>TD Bank LOC 9001 231F</v>
          </cell>
        </row>
        <row r="114">
          <cell r="B114">
            <v>2163</v>
          </cell>
          <cell r="C114">
            <v>734</v>
          </cell>
          <cell r="D114" t="str">
            <v>TD Bank LOC 9009 152L</v>
          </cell>
        </row>
        <row r="115">
          <cell r="B115">
            <v>2164</v>
          </cell>
          <cell r="C115">
            <v>737</v>
          </cell>
          <cell r="D115" t="str">
            <v>HERA LOC 99H</v>
          </cell>
        </row>
        <row r="116">
          <cell r="B116">
            <v>2165</v>
          </cell>
          <cell r="C116">
            <v>8</v>
          </cell>
          <cell r="D116" t="str">
            <v>TD Bank LOC -479-513</v>
          </cell>
        </row>
        <row r="117">
          <cell r="B117">
            <v>2167</v>
          </cell>
          <cell r="C117">
            <v>749</v>
          </cell>
          <cell r="D117" t="str">
            <v>TD Bank LOC #</v>
          </cell>
        </row>
        <row r="118">
          <cell r="B118">
            <v>2200</v>
          </cell>
          <cell r="C118">
            <v>246</v>
          </cell>
          <cell r="D118" t="str">
            <v>Accrued Liabilities</v>
          </cell>
        </row>
        <row r="119">
          <cell r="B119">
            <v>2201</v>
          </cell>
          <cell r="C119">
            <v>529</v>
          </cell>
          <cell r="D119" t="str">
            <v>Accrued Audit Fees Pay</v>
          </cell>
        </row>
        <row r="120">
          <cell r="B120">
            <v>2210</v>
          </cell>
          <cell r="C120">
            <v>76</v>
          </cell>
          <cell r="D120" t="str">
            <v>Accrued payroll</v>
          </cell>
        </row>
        <row r="121">
          <cell r="B121">
            <v>2220</v>
          </cell>
          <cell r="C121">
            <v>102</v>
          </cell>
          <cell r="D121" t="str">
            <v>Accrued 403(b) Match</v>
          </cell>
        </row>
        <row r="122">
          <cell r="B122">
            <v>2222</v>
          </cell>
          <cell r="C122">
            <v>415</v>
          </cell>
          <cell r="D122" t="str">
            <v>403B Loans</v>
          </cell>
        </row>
        <row r="123">
          <cell r="B123">
            <v>2230</v>
          </cell>
          <cell r="C123">
            <v>247</v>
          </cell>
          <cell r="D123" t="str">
            <v>Accrued Paid Leave</v>
          </cell>
        </row>
        <row r="124">
          <cell r="B124">
            <v>2240</v>
          </cell>
          <cell r="C124">
            <v>93</v>
          </cell>
          <cell r="D124" t="str">
            <v>Accrued Payroll Taxes</v>
          </cell>
        </row>
        <row r="125">
          <cell r="B125">
            <v>2241</v>
          </cell>
          <cell r="C125">
            <v>493</v>
          </cell>
          <cell r="D125" t="str">
            <v>Fica Tax payable</v>
          </cell>
        </row>
        <row r="126">
          <cell r="B126">
            <v>2242</v>
          </cell>
          <cell r="C126">
            <v>494</v>
          </cell>
          <cell r="D126" t="str">
            <v>Federal Income Tax Payable</v>
          </cell>
        </row>
        <row r="127">
          <cell r="B127">
            <v>2243</v>
          </cell>
          <cell r="C127">
            <v>498</v>
          </cell>
          <cell r="D127" t="str">
            <v>NJ Withholding Tax Payable</v>
          </cell>
        </row>
        <row r="128">
          <cell r="B128">
            <v>2244</v>
          </cell>
          <cell r="C128">
            <v>499</v>
          </cell>
          <cell r="D128" t="str">
            <v>NJ SUI Payable</v>
          </cell>
        </row>
        <row r="129">
          <cell r="B129">
            <v>2250</v>
          </cell>
          <cell r="C129">
            <v>77</v>
          </cell>
          <cell r="D129" t="str">
            <v>Accrued Expenses - Colonial Life</v>
          </cell>
        </row>
        <row r="130">
          <cell r="B130">
            <v>2260</v>
          </cell>
          <cell r="C130">
            <v>210</v>
          </cell>
          <cell r="D130" t="str">
            <v>Accrued Aflac</v>
          </cell>
        </row>
        <row r="131">
          <cell r="B131">
            <v>2261</v>
          </cell>
          <cell r="C131">
            <v>617</v>
          </cell>
          <cell r="D131" t="str">
            <v>Payroll Clearing</v>
          </cell>
        </row>
        <row r="132">
          <cell r="B132">
            <v>2270</v>
          </cell>
          <cell r="C132">
            <v>73</v>
          </cell>
          <cell r="D132" t="str">
            <v>Garnishments</v>
          </cell>
        </row>
        <row r="133">
          <cell r="B133">
            <v>2300</v>
          </cell>
          <cell r="C133">
            <v>79</v>
          </cell>
          <cell r="D133" t="str">
            <v>Deferred Revenues</v>
          </cell>
        </row>
        <row r="134">
          <cell r="B134">
            <v>2301</v>
          </cell>
          <cell r="C134">
            <v>458</v>
          </cell>
          <cell r="D134" t="str">
            <v>Def Revenue - Victoria</v>
          </cell>
        </row>
        <row r="135">
          <cell r="B135">
            <v>2302</v>
          </cell>
          <cell r="C135">
            <v>459</v>
          </cell>
          <cell r="D135" t="str">
            <v>Def Rev - Prudential</v>
          </cell>
        </row>
        <row r="136">
          <cell r="B136">
            <v>2302.1</v>
          </cell>
          <cell r="C136">
            <v>492</v>
          </cell>
          <cell r="D136" t="str">
            <v>Prudential Capacity Grant</v>
          </cell>
        </row>
        <row r="137">
          <cell r="B137">
            <v>2302.1999999999998</v>
          </cell>
          <cell r="C137">
            <v>569</v>
          </cell>
          <cell r="D137" t="str">
            <v>Prudential Foundation</v>
          </cell>
        </row>
        <row r="138">
          <cell r="B138">
            <v>2303</v>
          </cell>
          <cell r="C138">
            <v>465</v>
          </cell>
          <cell r="D138" t="str">
            <v>MCJ Foundation</v>
          </cell>
        </row>
        <row r="139">
          <cell r="B139">
            <v>2303.1</v>
          </cell>
          <cell r="C139">
            <v>805</v>
          </cell>
          <cell r="D139" t="str">
            <v>Deferred Rev - Turrell Found</v>
          </cell>
        </row>
        <row r="140">
          <cell r="B140">
            <v>2304</v>
          </cell>
          <cell r="C140">
            <v>467</v>
          </cell>
          <cell r="D140" t="str">
            <v>Wells Fargo Foundation</v>
          </cell>
        </row>
        <row r="141">
          <cell r="B141">
            <v>2304.1</v>
          </cell>
          <cell r="C141">
            <v>514</v>
          </cell>
          <cell r="D141" t="str">
            <v>Wells Fargo #2</v>
          </cell>
        </row>
        <row r="142">
          <cell r="B142">
            <v>2305</v>
          </cell>
          <cell r="C142">
            <v>732</v>
          </cell>
          <cell r="D142" t="str">
            <v>Deferred Rev - United Airlines</v>
          </cell>
        </row>
        <row r="143">
          <cell r="B143">
            <v>2306</v>
          </cell>
          <cell r="C143">
            <v>772</v>
          </cell>
          <cell r="D143" t="str">
            <v>City of Newark - PSEG Settlement</v>
          </cell>
        </row>
        <row r="144">
          <cell r="B144">
            <v>2307</v>
          </cell>
          <cell r="C144">
            <v>786</v>
          </cell>
          <cell r="D144" t="str">
            <v>Deferred Rev - YP</v>
          </cell>
        </row>
        <row r="145">
          <cell r="B145">
            <v>2307.1</v>
          </cell>
          <cell r="C145">
            <v>787</v>
          </cell>
          <cell r="D145" t="str">
            <v>Deferred Rev - Guild</v>
          </cell>
        </row>
        <row r="146">
          <cell r="B146">
            <v>2307.1999999999998</v>
          </cell>
          <cell r="C146">
            <v>788</v>
          </cell>
          <cell r="D146" t="str">
            <v>Deferred Rev - Fairmount</v>
          </cell>
        </row>
        <row r="147">
          <cell r="B147">
            <v>2307.3000000000002</v>
          </cell>
          <cell r="C147">
            <v>790</v>
          </cell>
          <cell r="D147" t="str">
            <v>Deferred Rev. AmeriCorps</v>
          </cell>
        </row>
        <row r="148">
          <cell r="B148">
            <v>2307.4</v>
          </cell>
          <cell r="C148">
            <v>791</v>
          </cell>
          <cell r="D148" t="str">
            <v>Deferred Rev - So Ward Newsletter</v>
          </cell>
        </row>
        <row r="149">
          <cell r="B149">
            <v>2400</v>
          </cell>
          <cell r="C149">
            <v>248</v>
          </cell>
          <cell r="D149" t="str">
            <v>Long Term Liabilities</v>
          </cell>
        </row>
        <row r="150">
          <cell r="B150">
            <v>2410</v>
          </cell>
          <cell r="C150">
            <v>192</v>
          </cell>
          <cell r="D150" t="str">
            <v>Littleton Notes Payable</v>
          </cell>
        </row>
        <row r="151">
          <cell r="B151">
            <v>2428</v>
          </cell>
          <cell r="C151">
            <v>750</v>
          </cell>
          <cell r="D151" t="str">
            <v>LISC Loan Payable</v>
          </cell>
        </row>
        <row r="152">
          <cell r="B152">
            <v>2429</v>
          </cell>
          <cell r="C152">
            <v>739</v>
          </cell>
          <cell r="D152" t="str">
            <v>LISC - Phase 1 Properties</v>
          </cell>
        </row>
        <row r="153">
          <cell r="B153">
            <v>2430</v>
          </cell>
          <cell r="C153">
            <v>214</v>
          </cell>
          <cell r="D153" t="str">
            <v>LISC - 513 Central #13517</v>
          </cell>
        </row>
        <row r="154">
          <cell r="B154">
            <v>2431</v>
          </cell>
          <cell r="C154">
            <v>735</v>
          </cell>
          <cell r="D154" t="str">
            <v>Mortgage Pay - TD Bank 504-508</v>
          </cell>
        </row>
        <row r="155">
          <cell r="B155">
            <v>2432</v>
          </cell>
          <cell r="C155">
            <v>736</v>
          </cell>
          <cell r="D155" t="str">
            <v>Mortgage Pay - 99 Hillside</v>
          </cell>
        </row>
        <row r="156">
          <cell r="B156">
            <v>3000</v>
          </cell>
          <cell r="C156">
            <v>3</v>
          </cell>
          <cell r="D156" t="str">
            <v>Unrestricted Net Asstes</v>
          </cell>
        </row>
        <row r="157">
          <cell r="B157">
            <v>3100</v>
          </cell>
          <cell r="C157">
            <v>44</v>
          </cell>
          <cell r="D157" t="str">
            <v>Temporarily Restricted Net Assets</v>
          </cell>
        </row>
        <row r="158">
          <cell r="B158">
            <v>3110</v>
          </cell>
          <cell r="C158">
            <v>249</v>
          </cell>
          <cell r="D158" t="str">
            <v>Use Restricted Net Assets</v>
          </cell>
        </row>
        <row r="159">
          <cell r="B159">
            <v>3120</v>
          </cell>
          <cell r="C159">
            <v>250</v>
          </cell>
          <cell r="D159" t="str">
            <v>Time Restricted Net Assets</v>
          </cell>
        </row>
        <row r="160">
          <cell r="B160">
            <v>3200</v>
          </cell>
          <cell r="C160">
            <v>45</v>
          </cell>
          <cell r="D160" t="str">
            <v>Permanently restricted net assets</v>
          </cell>
        </row>
        <row r="161">
          <cell r="B161">
            <v>4000</v>
          </cell>
          <cell r="C161">
            <v>9</v>
          </cell>
          <cell r="D161" t="str">
            <v>Revenue from Direct Contributions</v>
          </cell>
        </row>
        <row r="162">
          <cell r="B162">
            <v>4010</v>
          </cell>
          <cell r="C162">
            <v>12</v>
          </cell>
          <cell r="D162" t="str">
            <v>Individual Contributions</v>
          </cell>
        </row>
        <row r="163">
          <cell r="B163">
            <v>4011</v>
          </cell>
          <cell r="C163">
            <v>464</v>
          </cell>
          <cell r="D163" t="str">
            <v>Wells Fargo -Regional Foundation</v>
          </cell>
        </row>
        <row r="164">
          <cell r="B164">
            <v>4012</v>
          </cell>
          <cell r="C164">
            <v>601</v>
          </cell>
          <cell r="D164" t="str">
            <v>Turrell Foundation</v>
          </cell>
        </row>
        <row r="165">
          <cell r="B165">
            <v>4013</v>
          </cell>
          <cell r="C165">
            <v>713</v>
          </cell>
          <cell r="D165" t="str">
            <v>Fairleigh Dickenson Univ</v>
          </cell>
        </row>
        <row r="166">
          <cell r="B166">
            <v>4014</v>
          </cell>
          <cell r="C166">
            <v>466</v>
          </cell>
          <cell r="D166" t="str">
            <v>MCJ Foundation</v>
          </cell>
        </row>
        <row r="167">
          <cell r="B167">
            <v>4015</v>
          </cell>
          <cell r="C167">
            <v>251</v>
          </cell>
          <cell r="D167" t="str">
            <v>Foundation Contributions</v>
          </cell>
        </row>
        <row r="168">
          <cell r="B168">
            <v>4016</v>
          </cell>
          <cell r="C168">
            <v>460</v>
          </cell>
          <cell r="D168" t="str">
            <v>Prudential Grant</v>
          </cell>
        </row>
        <row r="169">
          <cell r="B169">
            <v>4017</v>
          </cell>
          <cell r="C169">
            <v>462</v>
          </cell>
          <cell r="D169" t="str">
            <v>Capital One Foundation</v>
          </cell>
        </row>
        <row r="170">
          <cell r="B170">
            <v>4018</v>
          </cell>
          <cell r="C170">
            <v>461</v>
          </cell>
          <cell r="D170" t="str">
            <v>Victoria Foundation</v>
          </cell>
        </row>
        <row r="171">
          <cell r="B171">
            <v>4018.1</v>
          </cell>
          <cell r="C171">
            <v>632</v>
          </cell>
          <cell r="D171" t="str">
            <v>Victoria Found 2019</v>
          </cell>
        </row>
        <row r="172">
          <cell r="B172">
            <v>4018.2</v>
          </cell>
          <cell r="C172">
            <v>784</v>
          </cell>
          <cell r="D172" t="str">
            <v>Victoria Foundation Trust</v>
          </cell>
        </row>
        <row r="173">
          <cell r="B173">
            <v>4019</v>
          </cell>
          <cell r="C173">
            <v>463</v>
          </cell>
          <cell r="D173" t="str">
            <v>Investors Foundation</v>
          </cell>
        </row>
        <row r="174">
          <cell r="B174">
            <v>4020</v>
          </cell>
          <cell r="C174">
            <v>10</v>
          </cell>
          <cell r="D174" t="str">
            <v>Corporate Contributions</v>
          </cell>
        </row>
        <row r="175">
          <cell r="B175">
            <v>4021</v>
          </cell>
          <cell r="C175">
            <v>471</v>
          </cell>
          <cell r="D175" t="str">
            <v>Capital One - Housing</v>
          </cell>
        </row>
        <row r="176">
          <cell r="B176">
            <v>4022</v>
          </cell>
          <cell r="C176">
            <v>472</v>
          </cell>
          <cell r="D176" t="str">
            <v>Uber Technologies- Coding</v>
          </cell>
        </row>
        <row r="177">
          <cell r="B177">
            <v>4023</v>
          </cell>
          <cell r="C177">
            <v>477</v>
          </cell>
          <cell r="D177" t="str">
            <v>United Airlines Grant</v>
          </cell>
        </row>
        <row r="178">
          <cell r="B178">
            <v>4024</v>
          </cell>
          <cell r="C178">
            <v>478</v>
          </cell>
          <cell r="D178" t="str">
            <v>J and J Grant</v>
          </cell>
        </row>
        <row r="179">
          <cell r="B179">
            <v>4025</v>
          </cell>
          <cell r="C179">
            <v>628</v>
          </cell>
          <cell r="D179" t="str">
            <v>Valley National Bank</v>
          </cell>
        </row>
        <row r="180">
          <cell r="B180">
            <v>4026</v>
          </cell>
          <cell r="C180">
            <v>761</v>
          </cell>
          <cell r="D180" t="str">
            <v>Whole City Foundation</v>
          </cell>
        </row>
        <row r="181">
          <cell r="B181">
            <v>4027</v>
          </cell>
          <cell r="C181">
            <v>762</v>
          </cell>
          <cell r="D181" t="str">
            <v>Chase Bank - FOC</v>
          </cell>
        </row>
        <row r="182">
          <cell r="B182">
            <v>4027.1</v>
          </cell>
          <cell r="C182">
            <v>780</v>
          </cell>
          <cell r="D182" t="str">
            <v>PSEG Settlement</v>
          </cell>
        </row>
        <row r="183">
          <cell r="B183">
            <v>4028</v>
          </cell>
          <cell r="C183">
            <v>763</v>
          </cell>
          <cell r="D183" t="str">
            <v>Irvington Housing Grant</v>
          </cell>
        </row>
        <row r="184">
          <cell r="B184">
            <v>4029</v>
          </cell>
          <cell r="C184">
            <v>773</v>
          </cell>
          <cell r="D184" t="str">
            <v>M and T Foundation-FOC</v>
          </cell>
        </row>
        <row r="185">
          <cell r="B185">
            <v>4070</v>
          </cell>
          <cell r="C185">
            <v>252</v>
          </cell>
          <cell r="D185" t="str">
            <v>Nonprofit Contributions</v>
          </cell>
        </row>
        <row r="186">
          <cell r="B186">
            <v>4071</v>
          </cell>
          <cell r="C186">
            <v>473</v>
          </cell>
          <cell r="D186" t="str">
            <v>Prosperity Now-</v>
          </cell>
        </row>
        <row r="187">
          <cell r="B187">
            <v>4072</v>
          </cell>
          <cell r="C187">
            <v>474</v>
          </cell>
          <cell r="D187" t="str">
            <v>United Way of Essex-VITA</v>
          </cell>
        </row>
        <row r="188">
          <cell r="B188">
            <v>4073</v>
          </cell>
          <cell r="C188">
            <v>764</v>
          </cell>
          <cell r="D188" t="str">
            <v>LISC Housing 2019</v>
          </cell>
        </row>
        <row r="189">
          <cell r="B189">
            <v>4074</v>
          </cell>
          <cell r="C189">
            <v>771</v>
          </cell>
          <cell r="D189" t="str">
            <v>Tide Center - Housing</v>
          </cell>
        </row>
        <row r="190">
          <cell r="B190">
            <v>4100</v>
          </cell>
          <cell r="C190">
            <v>11</v>
          </cell>
          <cell r="D190" t="str">
            <v>Donated Goods &amp; Services Revenue</v>
          </cell>
        </row>
        <row r="191">
          <cell r="B191">
            <v>4110</v>
          </cell>
          <cell r="C191">
            <v>253</v>
          </cell>
          <cell r="D191" t="str">
            <v>Donated Professional Services</v>
          </cell>
        </row>
        <row r="192">
          <cell r="B192">
            <v>4120</v>
          </cell>
          <cell r="C192">
            <v>254</v>
          </cell>
          <cell r="D192" t="str">
            <v>Donated Other Services</v>
          </cell>
        </row>
        <row r="193">
          <cell r="B193">
            <v>4130</v>
          </cell>
          <cell r="C193">
            <v>255</v>
          </cell>
          <cell r="D193" t="str">
            <v>Donated Use of Facilities</v>
          </cell>
        </row>
        <row r="194">
          <cell r="B194">
            <v>4140</v>
          </cell>
          <cell r="C194">
            <v>256</v>
          </cell>
          <cell r="D194" t="str">
            <v>Gifts In Kind - Goods</v>
          </cell>
        </row>
        <row r="195">
          <cell r="B195">
            <v>4200</v>
          </cell>
          <cell r="C195">
            <v>257</v>
          </cell>
          <cell r="D195" t="str">
            <v>Revenue from Non-Government Grants</v>
          </cell>
        </row>
        <row r="196">
          <cell r="B196">
            <v>4210</v>
          </cell>
          <cell r="C196">
            <v>140</v>
          </cell>
          <cell r="D196" t="str">
            <v>Foundation grants</v>
          </cell>
        </row>
        <row r="197">
          <cell r="B197">
            <v>4230</v>
          </cell>
          <cell r="C197">
            <v>258</v>
          </cell>
          <cell r="D197" t="str">
            <v>Santander Bank</v>
          </cell>
        </row>
        <row r="198">
          <cell r="B198">
            <v>4250</v>
          </cell>
          <cell r="C198">
            <v>259</v>
          </cell>
          <cell r="D198" t="str">
            <v>Nonprofit Organization Grants</v>
          </cell>
        </row>
        <row r="199">
          <cell r="B199">
            <v>4500</v>
          </cell>
          <cell r="C199">
            <v>260</v>
          </cell>
          <cell r="D199" t="str">
            <v>Revenue from Government Grants</v>
          </cell>
        </row>
        <row r="200">
          <cell r="B200">
            <v>4520</v>
          </cell>
          <cell r="C200">
            <v>261</v>
          </cell>
          <cell r="D200" t="str">
            <v>Federal Grants</v>
          </cell>
        </row>
        <row r="201">
          <cell r="B201">
            <v>4521</v>
          </cell>
          <cell r="C201">
            <v>416</v>
          </cell>
          <cell r="D201" t="str">
            <v>USJP Grant</v>
          </cell>
        </row>
        <row r="202">
          <cell r="B202">
            <v>4521.1000000000004</v>
          </cell>
          <cell r="C202">
            <v>517</v>
          </cell>
          <cell r="D202" t="str">
            <v>USJP - Payroll Reimb</v>
          </cell>
        </row>
        <row r="203">
          <cell r="B203">
            <v>4521.2</v>
          </cell>
          <cell r="C203">
            <v>583</v>
          </cell>
          <cell r="D203" t="str">
            <v>USJP 18.19</v>
          </cell>
        </row>
        <row r="204">
          <cell r="B204">
            <v>4521.3</v>
          </cell>
          <cell r="C204">
            <v>775</v>
          </cell>
          <cell r="D204" t="str">
            <v>USJP Billing Adjustments</v>
          </cell>
        </row>
        <row r="205">
          <cell r="B205">
            <v>4522</v>
          </cell>
          <cell r="C205">
            <v>417</v>
          </cell>
          <cell r="D205" t="str">
            <v>OICA Grant</v>
          </cell>
        </row>
        <row r="206">
          <cell r="B206">
            <v>4523</v>
          </cell>
          <cell r="C206">
            <v>452</v>
          </cell>
          <cell r="D206" t="str">
            <v>Grant Revenue - HUD PARS</v>
          </cell>
        </row>
        <row r="207">
          <cell r="B207">
            <v>4523.2</v>
          </cell>
          <cell r="C207">
            <v>721</v>
          </cell>
          <cell r="D207" t="str">
            <v>NUL - Wells Fargo</v>
          </cell>
        </row>
        <row r="208">
          <cell r="B208">
            <v>4525</v>
          </cell>
          <cell r="C208">
            <v>515</v>
          </cell>
          <cell r="D208" t="str">
            <v>HUD - LISC</v>
          </cell>
        </row>
        <row r="209">
          <cell r="B209">
            <v>4526</v>
          </cell>
          <cell r="C209">
            <v>516</v>
          </cell>
          <cell r="D209" t="str">
            <v>OtherGrant- Newark Alliance</v>
          </cell>
        </row>
        <row r="210">
          <cell r="B210">
            <v>4526.1000000000004</v>
          </cell>
          <cell r="C210">
            <v>585</v>
          </cell>
          <cell r="D210" t="str">
            <v>NUL.Gates Educ Grant</v>
          </cell>
        </row>
        <row r="211">
          <cell r="B211">
            <v>4530</v>
          </cell>
          <cell r="C211">
            <v>262</v>
          </cell>
          <cell r="D211" t="str">
            <v>State Grants</v>
          </cell>
        </row>
        <row r="212">
          <cell r="B212">
            <v>4531</v>
          </cell>
          <cell r="C212">
            <v>418</v>
          </cell>
          <cell r="D212" t="str">
            <v>Leaguers</v>
          </cell>
        </row>
        <row r="213">
          <cell r="B213">
            <v>4531.1000000000004</v>
          </cell>
          <cell r="C213">
            <v>571</v>
          </cell>
          <cell r="D213" t="str">
            <v>Leagues - Other</v>
          </cell>
        </row>
        <row r="214">
          <cell r="B214">
            <v>4532</v>
          </cell>
          <cell r="C214">
            <v>419</v>
          </cell>
          <cell r="D214" t="str">
            <v>LISC</v>
          </cell>
        </row>
        <row r="215">
          <cell r="B215">
            <v>4532.1000000000004</v>
          </cell>
          <cell r="C215">
            <v>575</v>
          </cell>
          <cell r="D215" t="str">
            <v>LISC - FOC Govt Grant</v>
          </cell>
        </row>
        <row r="216">
          <cell r="B216">
            <v>4532.2</v>
          </cell>
          <cell r="C216">
            <v>577</v>
          </cell>
          <cell r="D216" t="str">
            <v>LISC - FOC #26</v>
          </cell>
        </row>
        <row r="217">
          <cell r="B217">
            <v>4532.3</v>
          </cell>
          <cell r="C217">
            <v>582</v>
          </cell>
          <cell r="D217" t="str">
            <v>LISC - NRLA Grant</v>
          </cell>
        </row>
        <row r="218">
          <cell r="B218">
            <v>4532.3999999999996</v>
          </cell>
          <cell r="C218">
            <v>621</v>
          </cell>
          <cell r="D218" t="str">
            <v>LISC # X</v>
          </cell>
        </row>
        <row r="219">
          <cell r="B219">
            <v>4533</v>
          </cell>
          <cell r="C219">
            <v>420</v>
          </cell>
          <cell r="D219" t="str">
            <v>DYFS</v>
          </cell>
        </row>
        <row r="220">
          <cell r="B220">
            <v>4534</v>
          </cell>
          <cell r="C220">
            <v>421</v>
          </cell>
          <cell r="D220" t="str">
            <v>City of Newark</v>
          </cell>
        </row>
        <row r="221">
          <cell r="B221">
            <v>4534.1000000000004</v>
          </cell>
          <cell r="C221">
            <v>631</v>
          </cell>
          <cell r="D221" t="str">
            <v>Workforce of NJ</v>
          </cell>
        </row>
        <row r="222">
          <cell r="B222">
            <v>4534.2</v>
          </cell>
          <cell r="C222">
            <v>738</v>
          </cell>
          <cell r="D222" t="str">
            <v>City of newark - Tech Grant</v>
          </cell>
        </row>
        <row r="223">
          <cell r="B223">
            <v>4535</v>
          </cell>
          <cell r="C223">
            <v>422</v>
          </cell>
          <cell r="D223" t="str">
            <v>Americorp Grant</v>
          </cell>
        </row>
        <row r="224">
          <cell r="B224">
            <v>4535.1000000000004</v>
          </cell>
          <cell r="C224">
            <v>578</v>
          </cell>
          <cell r="D224" t="str">
            <v>Americorp</v>
          </cell>
        </row>
        <row r="225">
          <cell r="B225">
            <v>4535.2</v>
          </cell>
          <cell r="C225">
            <v>744</v>
          </cell>
          <cell r="D225" t="str">
            <v>Americorp 18.19</v>
          </cell>
        </row>
        <row r="226">
          <cell r="B226">
            <v>4536</v>
          </cell>
          <cell r="C226">
            <v>518</v>
          </cell>
          <cell r="D226" t="str">
            <v>NPS - Abbott</v>
          </cell>
        </row>
        <row r="227">
          <cell r="B227">
            <v>4536.1000000000004</v>
          </cell>
          <cell r="C227">
            <v>519</v>
          </cell>
          <cell r="D227" t="str">
            <v>Abbott Benefit Reimb</v>
          </cell>
        </row>
        <row r="228">
          <cell r="B228">
            <v>4536.2</v>
          </cell>
          <cell r="C228">
            <v>527</v>
          </cell>
          <cell r="D228" t="str">
            <v>Abbott Material and Supplies</v>
          </cell>
        </row>
        <row r="229">
          <cell r="B229">
            <v>4536.3</v>
          </cell>
          <cell r="C229">
            <v>528</v>
          </cell>
          <cell r="D229" t="str">
            <v>Abbott Technology</v>
          </cell>
        </row>
        <row r="230">
          <cell r="B230">
            <v>4536.3999999999996</v>
          </cell>
          <cell r="C230">
            <v>532</v>
          </cell>
          <cell r="D230" t="str">
            <v>Abbott Benefit Reimb.2</v>
          </cell>
        </row>
        <row r="231">
          <cell r="B231">
            <v>4536.5</v>
          </cell>
          <cell r="C231">
            <v>579</v>
          </cell>
          <cell r="D231" t="str">
            <v>NPS Grant .HVAC</v>
          </cell>
        </row>
        <row r="232">
          <cell r="B232">
            <v>4537</v>
          </cell>
          <cell r="C232">
            <v>520</v>
          </cell>
          <cell r="D232" t="str">
            <v>RYN Grant</v>
          </cell>
        </row>
        <row r="233">
          <cell r="B233">
            <v>4537.1000000000004</v>
          </cell>
          <cell r="C233">
            <v>783</v>
          </cell>
          <cell r="D233" t="str">
            <v>Abbott FYE 19-20</v>
          </cell>
        </row>
        <row r="234">
          <cell r="B234">
            <v>4538</v>
          </cell>
          <cell r="C234">
            <v>521</v>
          </cell>
          <cell r="D234" t="str">
            <v>City of Newark Rental Asst</v>
          </cell>
        </row>
        <row r="235">
          <cell r="B235">
            <v>4539</v>
          </cell>
          <cell r="C235">
            <v>522</v>
          </cell>
          <cell r="D235" t="str">
            <v>NRTC 2016</v>
          </cell>
        </row>
        <row r="236">
          <cell r="B236">
            <v>4539.1000000000004</v>
          </cell>
          <cell r="C236">
            <v>793</v>
          </cell>
          <cell r="D236" t="str">
            <v>DCA NRTC 16</v>
          </cell>
        </row>
        <row r="237">
          <cell r="B237">
            <v>4539.2</v>
          </cell>
          <cell r="C237">
            <v>794</v>
          </cell>
          <cell r="D237" t="str">
            <v>LISC NRTC 16</v>
          </cell>
        </row>
        <row r="238">
          <cell r="B238">
            <v>4539.3</v>
          </cell>
          <cell r="C238">
            <v>795</v>
          </cell>
          <cell r="D238" t="str">
            <v>Home Grant - NRTC 16</v>
          </cell>
        </row>
        <row r="239">
          <cell r="B239">
            <v>4540</v>
          </cell>
          <cell r="C239">
            <v>263</v>
          </cell>
          <cell r="D239" t="str">
            <v>Local Government Grants</v>
          </cell>
        </row>
        <row r="240">
          <cell r="B240">
            <v>4541</v>
          </cell>
          <cell r="C240">
            <v>523</v>
          </cell>
          <cell r="D240" t="str">
            <v>NRTC 2018</v>
          </cell>
        </row>
        <row r="241">
          <cell r="B241">
            <v>4542</v>
          </cell>
          <cell r="C241">
            <v>524</v>
          </cell>
          <cell r="D241" t="str">
            <v>NRTC 2016</v>
          </cell>
        </row>
        <row r="242">
          <cell r="B242">
            <v>4543</v>
          </cell>
          <cell r="C242">
            <v>525</v>
          </cell>
          <cell r="D242" t="str">
            <v>PACE Program</v>
          </cell>
        </row>
        <row r="243">
          <cell r="B243">
            <v>4544</v>
          </cell>
          <cell r="C243">
            <v>731</v>
          </cell>
          <cell r="D243" t="str">
            <v>NRTC Grant 2019</v>
          </cell>
        </row>
        <row r="244">
          <cell r="B244">
            <v>4545</v>
          </cell>
          <cell r="C244">
            <v>757</v>
          </cell>
          <cell r="D244" t="str">
            <v>LISC Construction Funding</v>
          </cell>
        </row>
        <row r="245">
          <cell r="B245">
            <v>4546</v>
          </cell>
          <cell r="C245">
            <v>799</v>
          </cell>
          <cell r="D245" t="str">
            <v>Housing Trust Funds</v>
          </cell>
        </row>
        <row r="246">
          <cell r="B246">
            <v>5000</v>
          </cell>
          <cell r="C246">
            <v>264</v>
          </cell>
          <cell r="D246" t="str">
            <v>Revenue from Government Agencies</v>
          </cell>
        </row>
        <row r="247">
          <cell r="B247">
            <v>5015</v>
          </cell>
          <cell r="C247">
            <v>613</v>
          </cell>
          <cell r="D247" t="str">
            <v>Housing Seminars</v>
          </cell>
        </row>
        <row r="248">
          <cell r="B248">
            <v>5020</v>
          </cell>
          <cell r="C248">
            <v>265</v>
          </cell>
          <cell r="D248" t="str">
            <v>Federal Contracts/Fees</v>
          </cell>
        </row>
        <row r="249">
          <cell r="B249">
            <v>5030</v>
          </cell>
          <cell r="C249">
            <v>266</v>
          </cell>
          <cell r="D249" t="str">
            <v>State Contracts/PFP Fees</v>
          </cell>
        </row>
        <row r="250">
          <cell r="B250">
            <v>5040</v>
          </cell>
          <cell r="C250">
            <v>267</v>
          </cell>
          <cell r="D250" t="str">
            <v>Local Government Contracts/Fees</v>
          </cell>
        </row>
        <row r="251">
          <cell r="B251">
            <v>5050</v>
          </cell>
          <cell r="C251">
            <v>399</v>
          </cell>
          <cell r="D251" t="str">
            <v>CCAFP Income</v>
          </cell>
        </row>
        <row r="252">
          <cell r="B252">
            <v>5051</v>
          </cell>
          <cell r="C252">
            <v>615</v>
          </cell>
          <cell r="D252" t="str">
            <v>CCFP Adjustments</v>
          </cell>
        </row>
        <row r="253">
          <cell r="B253">
            <v>5052</v>
          </cell>
          <cell r="C253">
            <v>616</v>
          </cell>
          <cell r="D253" t="str">
            <v>Cash In Lieu CCFP</v>
          </cell>
        </row>
        <row r="254">
          <cell r="B254">
            <v>5053</v>
          </cell>
          <cell r="C254">
            <v>711</v>
          </cell>
          <cell r="D254" t="str">
            <v>CCFP - 2017</v>
          </cell>
        </row>
        <row r="255">
          <cell r="B255">
            <v>5054</v>
          </cell>
          <cell r="C255">
            <v>712</v>
          </cell>
          <cell r="D255" t="str">
            <v>CCFP - Adjustments 2017</v>
          </cell>
        </row>
        <row r="256">
          <cell r="B256">
            <v>5100</v>
          </cell>
          <cell r="C256">
            <v>268</v>
          </cell>
          <cell r="D256" t="str">
            <v>Revenue from Sales &amp; Fees</v>
          </cell>
        </row>
        <row r="257">
          <cell r="B257">
            <v>5110</v>
          </cell>
          <cell r="C257">
            <v>18</v>
          </cell>
          <cell r="D257" t="str">
            <v>Membership Revenue</v>
          </cell>
        </row>
        <row r="258">
          <cell r="B258">
            <v>5120</v>
          </cell>
          <cell r="C258">
            <v>208</v>
          </cell>
          <cell r="D258" t="str">
            <v>Social Enterprise Revenue</v>
          </cell>
        </row>
        <row r="259">
          <cell r="B259">
            <v>5121</v>
          </cell>
          <cell r="C259">
            <v>592</v>
          </cell>
          <cell r="D259" t="str">
            <v>Credit Card Sales</v>
          </cell>
        </row>
        <row r="260">
          <cell r="B260">
            <v>5122</v>
          </cell>
          <cell r="C260">
            <v>560</v>
          </cell>
          <cell r="D260" t="str">
            <v>Thrift Clothing Drops</v>
          </cell>
        </row>
        <row r="261">
          <cell r="B261">
            <v>5123</v>
          </cell>
          <cell r="C261">
            <v>610</v>
          </cell>
          <cell r="D261" t="str">
            <v>Pop Up Store Rev</v>
          </cell>
        </row>
        <row r="262">
          <cell r="B262">
            <v>5130</v>
          </cell>
          <cell r="C262">
            <v>269</v>
          </cell>
          <cell r="D262" t="str">
            <v>Co-Pay Fees</v>
          </cell>
        </row>
        <row r="263">
          <cell r="B263">
            <v>5131</v>
          </cell>
          <cell r="C263">
            <v>488</v>
          </cell>
          <cell r="D263" t="str">
            <v>Wrap Fees</v>
          </cell>
        </row>
        <row r="264">
          <cell r="B264">
            <v>5132</v>
          </cell>
          <cell r="C264">
            <v>491</v>
          </cell>
          <cell r="D264" t="str">
            <v>Private Pay Fees</v>
          </cell>
        </row>
        <row r="265">
          <cell r="B265">
            <v>5190</v>
          </cell>
          <cell r="C265">
            <v>270</v>
          </cell>
          <cell r="D265" t="str">
            <v>Misc Earned Revenue</v>
          </cell>
        </row>
        <row r="266">
          <cell r="B266">
            <v>5191</v>
          </cell>
          <cell r="C266">
            <v>490</v>
          </cell>
          <cell r="D266" t="str">
            <v>BOA Rewards</v>
          </cell>
        </row>
        <row r="267">
          <cell r="B267">
            <v>5300</v>
          </cell>
          <cell r="C267">
            <v>271</v>
          </cell>
          <cell r="D267" t="str">
            <v>Revenue from Investments</v>
          </cell>
        </row>
        <row r="268">
          <cell r="B268">
            <v>5310</v>
          </cell>
          <cell r="C268">
            <v>272</v>
          </cell>
          <cell r="D268" t="str">
            <v>Interest-Savings/ Short-Term Investments</v>
          </cell>
        </row>
        <row r="269">
          <cell r="B269">
            <v>5400</v>
          </cell>
          <cell r="C269">
            <v>273</v>
          </cell>
          <cell r="D269" t="str">
            <v>Revenue from Other Sources</v>
          </cell>
        </row>
        <row r="270">
          <cell r="B270">
            <v>5410</v>
          </cell>
          <cell r="C270">
            <v>228</v>
          </cell>
          <cell r="D270" t="str">
            <v>Real Estate</v>
          </cell>
        </row>
        <row r="271">
          <cell r="B271">
            <v>5412</v>
          </cell>
          <cell r="C271">
            <v>774</v>
          </cell>
          <cell r="D271" t="str">
            <v>LISC - NRTC 2019</v>
          </cell>
        </row>
        <row r="272">
          <cell r="B272">
            <v>5490</v>
          </cell>
          <cell r="C272">
            <v>99</v>
          </cell>
          <cell r="D272" t="str">
            <v>Misc Revenue</v>
          </cell>
        </row>
        <row r="273">
          <cell r="B273">
            <v>5491</v>
          </cell>
          <cell r="C273">
            <v>586</v>
          </cell>
          <cell r="D273" t="str">
            <v>Donations - Xmas Tree</v>
          </cell>
        </row>
        <row r="274">
          <cell r="B274">
            <v>5492</v>
          </cell>
          <cell r="C274">
            <v>559</v>
          </cell>
          <cell r="D274" t="str">
            <v>Donations</v>
          </cell>
        </row>
        <row r="275">
          <cell r="B275">
            <v>5493</v>
          </cell>
          <cell r="C275">
            <v>730</v>
          </cell>
          <cell r="D275" t="str">
            <v>Board Donation</v>
          </cell>
        </row>
        <row r="276">
          <cell r="B276">
            <v>5800</v>
          </cell>
          <cell r="C276">
            <v>118</v>
          </cell>
          <cell r="D276" t="str">
            <v>Special Events</v>
          </cell>
        </row>
        <row r="277">
          <cell r="B277">
            <v>5810</v>
          </cell>
          <cell r="C277">
            <v>274</v>
          </cell>
          <cell r="D277" t="str">
            <v>Special Events - 2018 Golf Outing</v>
          </cell>
        </row>
        <row r="278">
          <cell r="B278">
            <v>5811</v>
          </cell>
          <cell r="C278">
            <v>505</v>
          </cell>
          <cell r="D278" t="str">
            <v>Golf Sponsors</v>
          </cell>
        </row>
        <row r="279">
          <cell r="B279">
            <v>5812</v>
          </cell>
          <cell r="C279">
            <v>506</v>
          </cell>
          <cell r="D279" t="str">
            <v>Silent Auction</v>
          </cell>
        </row>
        <row r="280">
          <cell r="B280">
            <v>5813</v>
          </cell>
          <cell r="C280">
            <v>507</v>
          </cell>
          <cell r="D280" t="str">
            <v>Golf Promos</v>
          </cell>
        </row>
        <row r="281">
          <cell r="B281">
            <v>5820</v>
          </cell>
          <cell r="C281">
            <v>275</v>
          </cell>
          <cell r="D281" t="str">
            <v>Special Events - Gift Revenue</v>
          </cell>
        </row>
        <row r="282">
          <cell r="B282">
            <v>5821</v>
          </cell>
          <cell r="C282">
            <v>501</v>
          </cell>
          <cell r="D282" t="str">
            <v>Gala Ads</v>
          </cell>
        </row>
        <row r="283">
          <cell r="B283">
            <v>5822</v>
          </cell>
          <cell r="C283">
            <v>502</v>
          </cell>
          <cell r="D283" t="str">
            <v>Gala Tickes</v>
          </cell>
        </row>
        <row r="284">
          <cell r="B284">
            <v>5823</v>
          </cell>
          <cell r="C284">
            <v>503</v>
          </cell>
          <cell r="D284" t="str">
            <v>Gala - Empl Tks</v>
          </cell>
        </row>
        <row r="285">
          <cell r="B285">
            <v>5824</v>
          </cell>
          <cell r="C285">
            <v>504</v>
          </cell>
          <cell r="D285" t="str">
            <v>Gala Sponsors</v>
          </cell>
        </row>
        <row r="286">
          <cell r="B286">
            <v>5825</v>
          </cell>
          <cell r="C286">
            <v>573</v>
          </cell>
          <cell r="D286" t="str">
            <v>Gala - Auction proceeds</v>
          </cell>
        </row>
        <row r="287">
          <cell r="B287">
            <v>5830</v>
          </cell>
          <cell r="C287">
            <v>276</v>
          </cell>
          <cell r="D287" t="str">
            <v>Special Events - Direct Costs</v>
          </cell>
        </row>
        <row r="288">
          <cell r="B288">
            <v>6000</v>
          </cell>
          <cell r="C288">
            <v>336</v>
          </cell>
          <cell r="D288" t="str">
            <v>Cost of Goods Sold</v>
          </cell>
        </row>
        <row r="289">
          <cell r="B289">
            <v>7000</v>
          </cell>
          <cell r="C289">
            <v>374</v>
          </cell>
          <cell r="D289" t="str">
            <v>Grants, Contracts &amp; Direct Assistance</v>
          </cell>
        </row>
        <row r="290">
          <cell r="B290">
            <v>7010</v>
          </cell>
          <cell r="C290">
            <v>375</v>
          </cell>
          <cell r="D290" t="str">
            <v>Grants to Individuals</v>
          </cell>
        </row>
        <row r="291">
          <cell r="B291">
            <v>7020</v>
          </cell>
          <cell r="C291">
            <v>376</v>
          </cell>
          <cell r="D291" t="str">
            <v>Grants to Other Organizations</v>
          </cell>
        </row>
        <row r="292">
          <cell r="B292">
            <v>7100</v>
          </cell>
          <cell r="C292">
            <v>347</v>
          </cell>
          <cell r="D292" t="str">
            <v>Participant Salaries &amp; Wages</v>
          </cell>
        </row>
        <row r="293">
          <cell r="B293">
            <v>7110</v>
          </cell>
          <cell r="C293">
            <v>348</v>
          </cell>
          <cell r="D293" t="str">
            <v>Salaries &amp; Wages- AmeriCorp</v>
          </cell>
        </row>
        <row r="294">
          <cell r="B294">
            <v>7112</v>
          </cell>
          <cell r="C294">
            <v>530</v>
          </cell>
          <cell r="D294" t="str">
            <v>Participant Wages - USJP</v>
          </cell>
        </row>
        <row r="295">
          <cell r="B295">
            <v>7112.1</v>
          </cell>
          <cell r="C295">
            <v>614</v>
          </cell>
          <cell r="D295" t="str">
            <v>USJP Manual Checks</v>
          </cell>
        </row>
        <row r="296">
          <cell r="B296">
            <v>7120</v>
          </cell>
          <cell r="C296">
            <v>349</v>
          </cell>
          <cell r="D296" t="str">
            <v>Payroll Taxes</v>
          </cell>
        </row>
        <row r="297">
          <cell r="B297">
            <v>7121</v>
          </cell>
          <cell r="C297">
            <v>604</v>
          </cell>
          <cell r="D297" t="str">
            <v>Payroll Exp - Fed</v>
          </cell>
        </row>
        <row r="298">
          <cell r="B298">
            <v>7125</v>
          </cell>
          <cell r="C298">
            <v>431</v>
          </cell>
          <cell r="D298" t="str">
            <v>Payroll Tax - SUI</v>
          </cell>
        </row>
        <row r="299">
          <cell r="B299">
            <v>7130</v>
          </cell>
          <cell r="C299">
            <v>350</v>
          </cell>
          <cell r="D299" t="str">
            <v>Worker's Compensation - USJP</v>
          </cell>
        </row>
        <row r="300">
          <cell r="B300">
            <v>7131</v>
          </cell>
          <cell r="C300">
            <v>584</v>
          </cell>
          <cell r="D300" t="str">
            <v>Workers Comp - AmeriCorp</v>
          </cell>
        </row>
        <row r="301">
          <cell r="B301">
            <v>7132</v>
          </cell>
          <cell r="C301">
            <v>489</v>
          </cell>
          <cell r="D301" t="str">
            <v>Payroll Expenses - Fees</v>
          </cell>
        </row>
        <row r="302">
          <cell r="B302">
            <v>7200</v>
          </cell>
          <cell r="C302">
            <v>141</v>
          </cell>
          <cell r="D302" t="str">
            <v>Salaries &amp; Related Expenses</v>
          </cell>
        </row>
        <row r="303">
          <cell r="B303">
            <v>7220</v>
          </cell>
          <cell r="C303">
            <v>234</v>
          </cell>
          <cell r="D303" t="str">
            <v>Salaries &amp; Wages</v>
          </cell>
        </row>
        <row r="304">
          <cell r="B304">
            <v>7221</v>
          </cell>
          <cell r="C304">
            <v>277</v>
          </cell>
          <cell r="D304" t="str">
            <v>Directors</v>
          </cell>
        </row>
        <row r="305">
          <cell r="B305">
            <v>7222</v>
          </cell>
          <cell r="C305">
            <v>283</v>
          </cell>
          <cell r="D305" t="str">
            <v>Staff</v>
          </cell>
        </row>
        <row r="306">
          <cell r="B306">
            <v>7223</v>
          </cell>
          <cell r="C306">
            <v>292</v>
          </cell>
          <cell r="D306" t="str">
            <v>Assistants</v>
          </cell>
        </row>
        <row r="307">
          <cell r="B307">
            <v>7225</v>
          </cell>
          <cell r="C307">
            <v>765</v>
          </cell>
          <cell r="D307" t="str">
            <v>VP - Workforce</v>
          </cell>
        </row>
        <row r="308">
          <cell r="B308">
            <v>7226</v>
          </cell>
          <cell r="C308">
            <v>766</v>
          </cell>
          <cell r="D308" t="str">
            <v>Business Developer</v>
          </cell>
        </row>
        <row r="309">
          <cell r="B309">
            <v>7227</v>
          </cell>
          <cell r="C309">
            <v>767</v>
          </cell>
          <cell r="D309" t="str">
            <v>Career Coach</v>
          </cell>
        </row>
        <row r="310">
          <cell r="B310">
            <v>7228</v>
          </cell>
          <cell r="C310">
            <v>768</v>
          </cell>
          <cell r="D310" t="str">
            <v>Financial Coach</v>
          </cell>
        </row>
        <row r="311">
          <cell r="B311">
            <v>7230</v>
          </cell>
          <cell r="C311">
            <v>196</v>
          </cell>
          <cell r="D311" t="str">
            <v>Retirement Plan Contributions</v>
          </cell>
        </row>
        <row r="312">
          <cell r="B312">
            <v>7240</v>
          </cell>
          <cell r="C312">
            <v>142</v>
          </cell>
          <cell r="D312" t="str">
            <v>Employee Benefits</v>
          </cell>
        </row>
        <row r="313">
          <cell r="B313">
            <v>7241</v>
          </cell>
          <cell r="C313">
            <v>413</v>
          </cell>
          <cell r="D313" t="str">
            <v>Health Insurance</v>
          </cell>
        </row>
        <row r="314">
          <cell r="B314">
            <v>7241.1</v>
          </cell>
          <cell r="C314">
            <v>570</v>
          </cell>
          <cell r="D314" t="str">
            <v>Health Insurance - Direct</v>
          </cell>
        </row>
        <row r="315">
          <cell r="B315">
            <v>7241.2</v>
          </cell>
          <cell r="C315">
            <v>719</v>
          </cell>
          <cell r="D315" t="str">
            <v>Dental Insurance</v>
          </cell>
        </row>
        <row r="316">
          <cell r="B316">
            <v>7242</v>
          </cell>
          <cell r="C316">
            <v>412</v>
          </cell>
          <cell r="D316" t="str">
            <v>Life and Dental Insurance</v>
          </cell>
        </row>
        <row r="317">
          <cell r="B317">
            <v>7243</v>
          </cell>
          <cell r="C317">
            <v>414</v>
          </cell>
          <cell r="D317" t="str">
            <v>Disability Ins</v>
          </cell>
        </row>
        <row r="318">
          <cell r="B318">
            <v>7244</v>
          </cell>
          <cell r="C318">
            <v>424</v>
          </cell>
          <cell r="D318" t="str">
            <v>Employee Contrib - Health</v>
          </cell>
        </row>
        <row r="319">
          <cell r="B319">
            <v>7245</v>
          </cell>
          <cell r="C319">
            <v>406</v>
          </cell>
          <cell r="D319" t="str">
            <v>Worker's Compensation Insurance</v>
          </cell>
        </row>
        <row r="320">
          <cell r="B320">
            <v>7246</v>
          </cell>
          <cell r="C320">
            <v>425</v>
          </cell>
          <cell r="D320" t="str">
            <v>Employee Contrib - Disability</v>
          </cell>
        </row>
        <row r="321">
          <cell r="B321">
            <v>7247</v>
          </cell>
          <cell r="C321">
            <v>457</v>
          </cell>
          <cell r="D321" t="str">
            <v>Emp-ee Contrib -Dental</v>
          </cell>
        </row>
        <row r="322">
          <cell r="B322">
            <v>7248</v>
          </cell>
          <cell r="C322">
            <v>593</v>
          </cell>
          <cell r="D322" t="str">
            <v>Allocated W Comp</v>
          </cell>
        </row>
        <row r="323">
          <cell r="B323">
            <v>7250</v>
          </cell>
          <cell r="C323">
            <v>230</v>
          </cell>
          <cell r="D323" t="str">
            <v>Payroll Taxes, etc.</v>
          </cell>
        </row>
        <row r="324">
          <cell r="B324">
            <v>7251</v>
          </cell>
          <cell r="C324">
            <v>313</v>
          </cell>
          <cell r="D324" t="str">
            <v>Social Security</v>
          </cell>
        </row>
        <row r="325">
          <cell r="B325">
            <v>7252</v>
          </cell>
          <cell r="C325">
            <v>314</v>
          </cell>
          <cell r="D325" t="str">
            <v>Medicare</v>
          </cell>
        </row>
        <row r="326">
          <cell r="B326">
            <v>7253</v>
          </cell>
          <cell r="C326">
            <v>315</v>
          </cell>
          <cell r="D326" t="str">
            <v>Unemployment</v>
          </cell>
        </row>
        <row r="327">
          <cell r="B327">
            <v>7254</v>
          </cell>
          <cell r="C327">
            <v>316</v>
          </cell>
          <cell r="D327" t="str">
            <v>Disability</v>
          </cell>
        </row>
        <row r="328">
          <cell r="B328">
            <v>7260</v>
          </cell>
          <cell r="C328">
            <v>96</v>
          </cell>
          <cell r="D328" t="str">
            <v>Payroll Service Fees</v>
          </cell>
        </row>
        <row r="329">
          <cell r="B329">
            <v>7260.1</v>
          </cell>
          <cell r="C329">
            <v>629</v>
          </cell>
          <cell r="D329" t="str">
            <v>Allocated Payroll Fees</v>
          </cell>
        </row>
        <row r="330">
          <cell r="B330">
            <v>7270</v>
          </cell>
          <cell r="C330">
            <v>317</v>
          </cell>
          <cell r="D330" t="str">
            <v>Other payroll expenses</v>
          </cell>
        </row>
        <row r="331">
          <cell r="B331">
            <v>7500</v>
          </cell>
          <cell r="C331">
            <v>21</v>
          </cell>
          <cell r="D331" t="str">
            <v>Contract Service Expenses</v>
          </cell>
        </row>
        <row r="332">
          <cell r="B332">
            <v>7510</v>
          </cell>
          <cell r="C332">
            <v>318</v>
          </cell>
          <cell r="D332" t="str">
            <v>Fundraising fees</v>
          </cell>
        </row>
        <row r="333">
          <cell r="B333">
            <v>7515</v>
          </cell>
          <cell r="C333">
            <v>450</v>
          </cell>
          <cell r="D333" t="str">
            <v>IT Support</v>
          </cell>
        </row>
        <row r="334">
          <cell r="B334">
            <v>7515.5</v>
          </cell>
          <cell r="C334">
            <v>589</v>
          </cell>
          <cell r="D334" t="str">
            <v>Allocated IT consultants</v>
          </cell>
        </row>
        <row r="335">
          <cell r="B335">
            <v>7520</v>
          </cell>
          <cell r="C335">
            <v>22</v>
          </cell>
          <cell r="D335" t="str">
            <v>Accounting Fees</v>
          </cell>
        </row>
        <row r="336">
          <cell r="B336">
            <v>7521</v>
          </cell>
          <cell r="C336">
            <v>510</v>
          </cell>
          <cell r="D336" t="str">
            <v>Allocated Acctg and Audit</v>
          </cell>
        </row>
        <row r="337">
          <cell r="B337">
            <v>7522</v>
          </cell>
          <cell r="C337">
            <v>590</v>
          </cell>
          <cell r="D337" t="str">
            <v>Allocated Audit Fees</v>
          </cell>
        </row>
        <row r="338">
          <cell r="B338">
            <v>7530</v>
          </cell>
          <cell r="C338">
            <v>23</v>
          </cell>
          <cell r="D338" t="str">
            <v>Legal fees</v>
          </cell>
        </row>
        <row r="339">
          <cell r="B339">
            <v>7540</v>
          </cell>
          <cell r="C339">
            <v>121</v>
          </cell>
          <cell r="D339" t="str">
            <v>Instructors/Consultants/Subs</v>
          </cell>
        </row>
        <row r="340">
          <cell r="B340">
            <v>7550</v>
          </cell>
          <cell r="C340">
            <v>223</v>
          </cell>
          <cell r="D340" t="str">
            <v>Internships &amp; OJT</v>
          </cell>
        </row>
        <row r="341">
          <cell r="B341">
            <v>7560</v>
          </cell>
          <cell r="C341">
            <v>24</v>
          </cell>
          <cell r="D341" t="str">
            <v>Professional fees - other</v>
          </cell>
        </row>
        <row r="342">
          <cell r="B342">
            <v>7570</v>
          </cell>
          <cell r="C342">
            <v>319</v>
          </cell>
          <cell r="D342" t="str">
            <v>Temporary help - contract</v>
          </cell>
        </row>
        <row r="343">
          <cell r="B343">
            <v>7580</v>
          </cell>
          <cell r="C343">
            <v>320</v>
          </cell>
          <cell r="D343" t="str">
            <v>Donated Professional Services</v>
          </cell>
        </row>
        <row r="344">
          <cell r="B344">
            <v>7590</v>
          </cell>
          <cell r="C344">
            <v>509</v>
          </cell>
          <cell r="D344" t="str">
            <v>Allocated Consulting Fees</v>
          </cell>
        </row>
        <row r="345">
          <cell r="B345">
            <v>8000</v>
          </cell>
          <cell r="C345">
            <v>358</v>
          </cell>
          <cell r="D345" t="str">
            <v>Prior Period Adjustment</v>
          </cell>
        </row>
        <row r="346">
          <cell r="B346">
            <v>8100</v>
          </cell>
          <cell r="C346">
            <v>321</v>
          </cell>
          <cell r="D346" t="str">
            <v>Operating Expenses</v>
          </cell>
        </row>
        <row r="347">
          <cell r="B347">
            <v>8108</v>
          </cell>
          <cell r="C347">
            <v>599</v>
          </cell>
          <cell r="D347" t="str">
            <v>Program Supplies</v>
          </cell>
        </row>
        <row r="348">
          <cell r="B348">
            <v>8110</v>
          </cell>
          <cell r="C348">
            <v>35</v>
          </cell>
          <cell r="D348" t="str">
            <v>Supplies</v>
          </cell>
        </row>
        <row r="349">
          <cell r="B349">
            <v>8112</v>
          </cell>
          <cell r="C349">
            <v>441</v>
          </cell>
          <cell r="D349" t="str">
            <v>Alloc Supplies</v>
          </cell>
        </row>
        <row r="350">
          <cell r="B350">
            <v>8115</v>
          </cell>
          <cell r="C350">
            <v>411</v>
          </cell>
          <cell r="D350" t="str">
            <v>Gifts</v>
          </cell>
        </row>
        <row r="351">
          <cell r="B351">
            <v>8120</v>
          </cell>
          <cell r="C351">
            <v>154</v>
          </cell>
          <cell r="D351" t="str">
            <v>Donated Materials &amp; Supplies</v>
          </cell>
        </row>
        <row r="352">
          <cell r="B352">
            <v>8130</v>
          </cell>
          <cell r="C352">
            <v>36</v>
          </cell>
          <cell r="D352" t="str">
            <v>Telephone &amp; Telecommunications</v>
          </cell>
        </row>
        <row r="353">
          <cell r="B353">
            <v>8131</v>
          </cell>
          <cell r="C353">
            <v>447</v>
          </cell>
          <cell r="D353" t="str">
            <v>Telephone Maint Contract</v>
          </cell>
        </row>
        <row r="354">
          <cell r="B354">
            <v>8132</v>
          </cell>
          <cell r="C354">
            <v>432</v>
          </cell>
          <cell r="D354" t="str">
            <v>Cell Phone Services</v>
          </cell>
        </row>
        <row r="355">
          <cell r="B355">
            <v>8132.1</v>
          </cell>
          <cell r="C355">
            <v>630</v>
          </cell>
          <cell r="D355" t="str">
            <v>Allocated Cell Phone</v>
          </cell>
        </row>
        <row r="356">
          <cell r="B356">
            <v>8133</v>
          </cell>
          <cell r="C356">
            <v>448</v>
          </cell>
          <cell r="D356" t="str">
            <v>Verizon</v>
          </cell>
        </row>
        <row r="357">
          <cell r="B357">
            <v>8134</v>
          </cell>
          <cell r="C357">
            <v>449</v>
          </cell>
          <cell r="D357" t="str">
            <v>Optimum Services</v>
          </cell>
        </row>
        <row r="358">
          <cell r="B358">
            <v>8135</v>
          </cell>
          <cell r="C358">
            <v>444</v>
          </cell>
          <cell r="D358" t="str">
            <v>Telephone</v>
          </cell>
        </row>
        <row r="359">
          <cell r="B359">
            <v>8135.5</v>
          </cell>
          <cell r="C359">
            <v>588</v>
          </cell>
          <cell r="D359" t="str">
            <v>Allocated Telephone</v>
          </cell>
        </row>
        <row r="360">
          <cell r="B360">
            <v>8140</v>
          </cell>
          <cell r="C360">
            <v>87</v>
          </cell>
          <cell r="D360" t="str">
            <v>Postage &amp; Shipping</v>
          </cell>
        </row>
        <row r="361">
          <cell r="B361">
            <v>8141</v>
          </cell>
          <cell r="C361">
            <v>513</v>
          </cell>
          <cell r="D361" t="str">
            <v>Alloc Postage</v>
          </cell>
        </row>
        <row r="362">
          <cell r="B362">
            <v>8160</v>
          </cell>
          <cell r="C362">
            <v>322</v>
          </cell>
          <cell r="D362" t="str">
            <v>Computer Software &amp; Hardware</v>
          </cell>
        </row>
        <row r="363">
          <cell r="B363">
            <v>8161</v>
          </cell>
          <cell r="C363">
            <v>511</v>
          </cell>
          <cell r="D363" t="str">
            <v>Allocated Comp -Software</v>
          </cell>
        </row>
        <row r="364">
          <cell r="B364">
            <v>8170</v>
          </cell>
          <cell r="C364">
            <v>34</v>
          </cell>
          <cell r="D364" t="str">
            <v>Printing &amp; Copying</v>
          </cell>
        </row>
        <row r="365">
          <cell r="B365">
            <v>8180</v>
          </cell>
          <cell r="C365">
            <v>323</v>
          </cell>
          <cell r="D365" t="str">
            <v>Books, Subscriptions, References</v>
          </cell>
        </row>
        <row r="366">
          <cell r="B366">
            <v>8190</v>
          </cell>
          <cell r="C366">
            <v>324</v>
          </cell>
          <cell r="D366" t="str">
            <v>Internet/Web/Hosting Fees</v>
          </cell>
        </row>
        <row r="367">
          <cell r="B367">
            <v>8191</v>
          </cell>
          <cell r="C367">
            <v>747</v>
          </cell>
          <cell r="D367" t="str">
            <v>Web Hosting Alloc</v>
          </cell>
        </row>
        <row r="368">
          <cell r="B368">
            <v>8199</v>
          </cell>
          <cell r="C368">
            <v>364</v>
          </cell>
          <cell r="D368" t="str">
            <v>Workstations</v>
          </cell>
        </row>
        <row r="369">
          <cell r="B369">
            <v>8200</v>
          </cell>
          <cell r="C369">
            <v>25</v>
          </cell>
          <cell r="D369" t="str">
            <v>Facility &amp; Equipment Expenses</v>
          </cell>
        </row>
        <row r="370">
          <cell r="B370">
            <v>8205</v>
          </cell>
          <cell r="C370">
            <v>30</v>
          </cell>
          <cell r="D370" t="str">
            <v>Rent, Parking, Other Occupancy</v>
          </cell>
        </row>
        <row r="371">
          <cell r="B371">
            <v>8210</v>
          </cell>
          <cell r="C371">
            <v>84</v>
          </cell>
          <cell r="D371" t="str">
            <v>Utilities</v>
          </cell>
        </row>
        <row r="372">
          <cell r="B372">
            <v>8210.1</v>
          </cell>
          <cell r="C372">
            <v>556</v>
          </cell>
          <cell r="D372" t="str">
            <v>504 Utilities</v>
          </cell>
        </row>
        <row r="373">
          <cell r="B373">
            <v>8210.2000000000007</v>
          </cell>
          <cell r="C373">
            <v>557</v>
          </cell>
          <cell r="D373" t="str">
            <v>506 Utilities</v>
          </cell>
        </row>
        <row r="374">
          <cell r="B374">
            <v>8210.2999999999993</v>
          </cell>
          <cell r="C374">
            <v>558</v>
          </cell>
          <cell r="D374" t="str">
            <v>508 Utilities</v>
          </cell>
        </row>
        <row r="375">
          <cell r="B375">
            <v>8210.5</v>
          </cell>
          <cell r="C375">
            <v>443</v>
          </cell>
          <cell r="D375" t="str">
            <v>Allocated Utilities</v>
          </cell>
        </row>
        <row r="376">
          <cell r="B376">
            <v>8211</v>
          </cell>
          <cell r="C376">
            <v>430</v>
          </cell>
          <cell r="D376" t="str">
            <v>Water</v>
          </cell>
        </row>
        <row r="377">
          <cell r="B377">
            <v>8211.1</v>
          </cell>
          <cell r="C377">
            <v>553</v>
          </cell>
          <cell r="D377" t="str">
            <v>504 Water</v>
          </cell>
        </row>
        <row r="378">
          <cell r="B378">
            <v>8211.2000000000007</v>
          </cell>
          <cell r="C378">
            <v>554</v>
          </cell>
          <cell r="D378" t="str">
            <v>506 Water</v>
          </cell>
        </row>
        <row r="379">
          <cell r="B379">
            <v>8211.2999999999993</v>
          </cell>
          <cell r="C379">
            <v>555</v>
          </cell>
          <cell r="D379" t="str">
            <v>508 Water</v>
          </cell>
        </row>
        <row r="380">
          <cell r="B380">
            <v>8211.5</v>
          </cell>
          <cell r="C380">
            <v>627</v>
          </cell>
          <cell r="D380" t="str">
            <v>Allocated Water</v>
          </cell>
        </row>
        <row r="381">
          <cell r="B381">
            <v>8220</v>
          </cell>
          <cell r="C381">
            <v>86</v>
          </cell>
          <cell r="D381" t="str">
            <v>Equipment Rental, Repair &amp; Maintenance</v>
          </cell>
        </row>
        <row r="382">
          <cell r="B382">
            <v>8221</v>
          </cell>
          <cell r="C382">
            <v>426</v>
          </cell>
          <cell r="D382" t="str">
            <v>Copier Lease</v>
          </cell>
        </row>
        <row r="383">
          <cell r="B383">
            <v>8222</v>
          </cell>
          <cell r="C383">
            <v>427</v>
          </cell>
          <cell r="D383" t="str">
            <v>Copy Fees</v>
          </cell>
        </row>
        <row r="384">
          <cell r="B384">
            <v>8223</v>
          </cell>
          <cell r="C384">
            <v>531</v>
          </cell>
          <cell r="D384" t="str">
            <v>Vehicles</v>
          </cell>
        </row>
        <row r="385">
          <cell r="B385">
            <v>8224</v>
          </cell>
          <cell r="C385">
            <v>429</v>
          </cell>
          <cell r="D385" t="str">
            <v>Vehicle Repairs</v>
          </cell>
        </row>
        <row r="386">
          <cell r="B386">
            <v>8227</v>
          </cell>
          <cell r="C386">
            <v>428</v>
          </cell>
          <cell r="D386" t="str">
            <v>Equipment Rental</v>
          </cell>
        </row>
        <row r="387">
          <cell r="B387">
            <v>8228</v>
          </cell>
          <cell r="C387">
            <v>438</v>
          </cell>
          <cell r="D387" t="str">
            <v>Postage Lease</v>
          </cell>
        </row>
        <row r="388">
          <cell r="B388">
            <v>8229</v>
          </cell>
          <cell r="C388">
            <v>508</v>
          </cell>
          <cell r="D388" t="str">
            <v>Allocated Equip Lease</v>
          </cell>
        </row>
        <row r="389">
          <cell r="B389">
            <v>8229.1</v>
          </cell>
          <cell r="C389">
            <v>440</v>
          </cell>
          <cell r="D389" t="str">
            <v>Allocated Cost</v>
          </cell>
        </row>
        <row r="390">
          <cell r="B390">
            <v>8230</v>
          </cell>
          <cell r="C390">
            <v>85</v>
          </cell>
          <cell r="D390" t="str">
            <v>Building Repair &amp; Maintenance</v>
          </cell>
        </row>
        <row r="391">
          <cell r="B391">
            <v>8231</v>
          </cell>
          <cell r="C391">
            <v>436</v>
          </cell>
          <cell r="D391" t="str">
            <v>Alarm Services</v>
          </cell>
        </row>
        <row r="392">
          <cell r="B392">
            <v>8233</v>
          </cell>
          <cell r="C392">
            <v>437</v>
          </cell>
          <cell r="D392" t="str">
            <v>Trash Removal</v>
          </cell>
        </row>
        <row r="393">
          <cell r="B393">
            <v>8235</v>
          </cell>
          <cell r="C393">
            <v>446</v>
          </cell>
          <cell r="D393" t="str">
            <v>Exterminating</v>
          </cell>
        </row>
        <row r="394">
          <cell r="B394">
            <v>8236</v>
          </cell>
          <cell r="C394">
            <v>455</v>
          </cell>
          <cell r="D394" t="str">
            <v>Permits</v>
          </cell>
        </row>
        <row r="395">
          <cell r="B395">
            <v>8239</v>
          </cell>
          <cell r="C395">
            <v>512</v>
          </cell>
          <cell r="D395" t="str">
            <v>Alloc Repairs and Maint</v>
          </cell>
        </row>
        <row r="396">
          <cell r="B396">
            <v>8240</v>
          </cell>
          <cell r="C396">
            <v>83</v>
          </cell>
          <cell r="D396" t="str">
            <v>Maintenance Supplies</v>
          </cell>
        </row>
        <row r="397">
          <cell r="B397">
            <v>8250</v>
          </cell>
          <cell r="C397">
            <v>28</v>
          </cell>
          <cell r="D397" t="str">
            <v>Mortgage Interest Expense</v>
          </cell>
        </row>
        <row r="398">
          <cell r="B398">
            <v>8250.1</v>
          </cell>
          <cell r="C398">
            <v>803</v>
          </cell>
          <cell r="D398" t="str">
            <v>Allocated Mortgage Interest</v>
          </cell>
        </row>
        <row r="399">
          <cell r="B399">
            <v>8260</v>
          </cell>
          <cell r="C399">
            <v>29</v>
          </cell>
          <cell r="D399" t="str">
            <v>Property Insurance</v>
          </cell>
        </row>
        <row r="400">
          <cell r="B400">
            <v>8261</v>
          </cell>
          <cell r="C400">
            <v>398</v>
          </cell>
          <cell r="D400" t="str">
            <v>Insurance-New NRTC Real Estate Project</v>
          </cell>
        </row>
        <row r="401">
          <cell r="B401">
            <v>8262</v>
          </cell>
          <cell r="C401">
            <v>433</v>
          </cell>
          <cell r="D401" t="str">
            <v>General Liab</v>
          </cell>
        </row>
        <row r="402">
          <cell r="B402">
            <v>8263</v>
          </cell>
          <cell r="C402">
            <v>434</v>
          </cell>
          <cell r="D402" t="str">
            <v>Liability Insurance</v>
          </cell>
        </row>
        <row r="403">
          <cell r="B403">
            <v>8264</v>
          </cell>
          <cell r="C403">
            <v>435</v>
          </cell>
          <cell r="D403" t="str">
            <v>Other</v>
          </cell>
        </row>
        <row r="404">
          <cell r="B404">
            <v>8265</v>
          </cell>
          <cell r="C404">
            <v>454</v>
          </cell>
          <cell r="D404" t="str">
            <v>Property Taxes</v>
          </cell>
        </row>
        <row r="405">
          <cell r="B405">
            <v>8266</v>
          </cell>
          <cell r="C405">
            <v>587</v>
          </cell>
          <cell r="D405" t="str">
            <v>Allocated Insurance</v>
          </cell>
        </row>
        <row r="406">
          <cell r="B406">
            <v>8270</v>
          </cell>
          <cell r="C406">
            <v>161</v>
          </cell>
          <cell r="D406" t="str">
            <v>W.I. Progress</v>
          </cell>
        </row>
        <row r="407">
          <cell r="B407">
            <v>8271</v>
          </cell>
          <cell r="C407">
            <v>394</v>
          </cell>
          <cell r="D407" t="str">
            <v>Thrift Store Renovations and Rehab at 506 Central Avenue</v>
          </cell>
        </row>
        <row r="408">
          <cell r="B408">
            <v>8280</v>
          </cell>
          <cell r="C408">
            <v>26</v>
          </cell>
          <cell r="D408" t="str">
            <v>Depreciation &amp; Amortization</v>
          </cell>
        </row>
        <row r="409">
          <cell r="B409">
            <v>8290</v>
          </cell>
          <cell r="C409">
            <v>27</v>
          </cell>
          <cell r="D409" t="str">
            <v>Donated Facilities</v>
          </cell>
        </row>
        <row r="410">
          <cell r="B410">
            <v>8295</v>
          </cell>
          <cell r="C410">
            <v>379</v>
          </cell>
          <cell r="D410" t="str">
            <v>Mortgage Expenses</v>
          </cell>
        </row>
        <row r="411">
          <cell r="B411">
            <v>8299</v>
          </cell>
          <cell r="C411">
            <v>365</v>
          </cell>
          <cell r="D411" t="str">
            <v>Security Equipment</v>
          </cell>
        </row>
        <row r="412">
          <cell r="B412">
            <v>8300</v>
          </cell>
          <cell r="C412">
            <v>39</v>
          </cell>
          <cell r="D412" t="str">
            <v>Travel &amp; Meetings Expenses</v>
          </cell>
        </row>
        <row r="413">
          <cell r="B413">
            <v>8310</v>
          </cell>
          <cell r="C413">
            <v>41</v>
          </cell>
          <cell r="D413" t="str">
            <v>Transportation &amp; Parking</v>
          </cell>
        </row>
        <row r="414">
          <cell r="B414">
            <v>8311</v>
          </cell>
          <cell r="C414">
            <v>366</v>
          </cell>
          <cell r="D414" t="str">
            <v>Participant Travel</v>
          </cell>
        </row>
        <row r="415">
          <cell r="B415">
            <v>8312</v>
          </cell>
          <cell r="C415">
            <v>384</v>
          </cell>
          <cell r="D415" t="str">
            <v>Travel</v>
          </cell>
        </row>
        <row r="416">
          <cell r="B416">
            <v>8320</v>
          </cell>
          <cell r="C416">
            <v>108</v>
          </cell>
          <cell r="D416" t="str">
            <v>Meals</v>
          </cell>
        </row>
        <row r="417">
          <cell r="B417">
            <v>8330</v>
          </cell>
          <cell r="C417">
            <v>325</v>
          </cell>
          <cell r="D417" t="str">
            <v>Lodging</v>
          </cell>
        </row>
        <row r="418">
          <cell r="B418">
            <v>8340</v>
          </cell>
          <cell r="C418">
            <v>326</v>
          </cell>
          <cell r="D418" t="str">
            <v>Airfare</v>
          </cell>
        </row>
        <row r="419">
          <cell r="B419">
            <v>8350</v>
          </cell>
          <cell r="C419">
            <v>40</v>
          </cell>
          <cell r="D419" t="str">
            <v>Conferences, Conventions, Meetings</v>
          </cell>
        </row>
        <row r="420">
          <cell r="B420">
            <v>8360</v>
          </cell>
          <cell r="C420">
            <v>362</v>
          </cell>
          <cell r="D420" t="str">
            <v>Field Trips</v>
          </cell>
        </row>
        <row r="421">
          <cell r="B421">
            <v>8370</v>
          </cell>
          <cell r="C421">
            <v>363</v>
          </cell>
          <cell r="D421" t="str">
            <v>Need Based Costs</v>
          </cell>
        </row>
        <row r="422">
          <cell r="B422">
            <v>8400</v>
          </cell>
          <cell r="C422">
            <v>327</v>
          </cell>
          <cell r="D422" t="str">
            <v>Other Client Specific Expenses</v>
          </cell>
        </row>
        <row r="423">
          <cell r="B423">
            <v>8405</v>
          </cell>
          <cell r="C423">
            <v>32</v>
          </cell>
          <cell r="D423" t="str">
            <v>Classroom Materials &amp; Supplies</v>
          </cell>
        </row>
        <row r="424">
          <cell r="B424">
            <v>8406</v>
          </cell>
          <cell r="C424">
            <v>600</v>
          </cell>
          <cell r="D424" t="str">
            <v>Job Developer</v>
          </cell>
        </row>
        <row r="425">
          <cell r="B425">
            <v>8410</v>
          </cell>
          <cell r="C425">
            <v>80</v>
          </cell>
          <cell r="D425" t="str">
            <v>Classroom Technology</v>
          </cell>
        </row>
        <row r="426">
          <cell r="B426">
            <v>8415</v>
          </cell>
          <cell r="C426">
            <v>217</v>
          </cell>
          <cell r="D426" t="str">
            <v>Community Service Project</v>
          </cell>
        </row>
        <row r="427">
          <cell r="B427">
            <v>8420</v>
          </cell>
          <cell r="C427">
            <v>218</v>
          </cell>
          <cell r="D427" t="str">
            <v>Tutoring</v>
          </cell>
        </row>
        <row r="428">
          <cell r="B428">
            <v>8425</v>
          </cell>
          <cell r="C428">
            <v>219</v>
          </cell>
          <cell r="D428" t="str">
            <v>Expungement Services</v>
          </cell>
        </row>
        <row r="429">
          <cell r="B429">
            <v>8430</v>
          </cell>
          <cell r="C429">
            <v>220</v>
          </cell>
          <cell r="D429" t="str">
            <v>Job Training</v>
          </cell>
        </row>
        <row r="430">
          <cell r="B430">
            <v>8435</v>
          </cell>
          <cell r="C430">
            <v>221</v>
          </cell>
          <cell r="D430" t="str">
            <v>GED &amp; ABE Classes</v>
          </cell>
        </row>
        <row r="431">
          <cell r="B431">
            <v>8440</v>
          </cell>
          <cell r="C431">
            <v>222</v>
          </cell>
          <cell r="D431" t="str">
            <v>Mentoring</v>
          </cell>
        </row>
        <row r="432">
          <cell r="B432">
            <v>8445</v>
          </cell>
          <cell r="C432">
            <v>163</v>
          </cell>
          <cell r="D432" t="str">
            <v>Food &amp; Related Supplies</v>
          </cell>
        </row>
        <row r="433">
          <cell r="B433">
            <v>8450</v>
          </cell>
          <cell r="C433">
            <v>226</v>
          </cell>
          <cell r="D433" t="str">
            <v>Program Training</v>
          </cell>
        </row>
        <row r="434">
          <cell r="B434">
            <v>8451</v>
          </cell>
          <cell r="C434">
            <v>395</v>
          </cell>
          <cell r="D434" t="str">
            <v>Providing Thriftworks Retail Operations Training</v>
          </cell>
        </row>
        <row r="435">
          <cell r="B435">
            <v>8452</v>
          </cell>
          <cell r="C435">
            <v>396</v>
          </cell>
          <cell r="D435" t="str">
            <v>Construction Trade Job Training Program</v>
          </cell>
        </row>
        <row r="436">
          <cell r="B436">
            <v>8453</v>
          </cell>
          <cell r="C436">
            <v>397</v>
          </cell>
          <cell r="D436" t="str">
            <v>Housing and Renter Counseling Training</v>
          </cell>
        </row>
        <row r="437">
          <cell r="B437">
            <v>8455</v>
          </cell>
          <cell r="C437">
            <v>215</v>
          </cell>
          <cell r="D437" t="str">
            <v>Subsidy/ Rental Assistance</v>
          </cell>
        </row>
        <row r="438">
          <cell r="B438">
            <v>8460</v>
          </cell>
          <cell r="C438">
            <v>147</v>
          </cell>
          <cell r="D438" t="str">
            <v>Client Incentives</v>
          </cell>
        </row>
        <row r="439">
          <cell r="B439">
            <v>8462</v>
          </cell>
          <cell r="C439">
            <v>748</v>
          </cell>
          <cell r="D439" t="str">
            <v>Client Stipends</v>
          </cell>
        </row>
        <row r="440">
          <cell r="B440">
            <v>8470</v>
          </cell>
          <cell r="C440">
            <v>328</v>
          </cell>
          <cell r="D440" t="str">
            <v>Food for Classes</v>
          </cell>
        </row>
        <row r="441">
          <cell r="B441">
            <v>8480</v>
          </cell>
          <cell r="C441">
            <v>368</v>
          </cell>
          <cell r="D441" t="str">
            <v>Background Check</v>
          </cell>
        </row>
        <row r="442">
          <cell r="B442">
            <v>8490</v>
          </cell>
          <cell r="C442">
            <v>372</v>
          </cell>
          <cell r="D442" t="str">
            <v>Housing Rehabilitation</v>
          </cell>
        </row>
        <row r="443">
          <cell r="B443">
            <v>8495</v>
          </cell>
          <cell r="C443">
            <v>378</v>
          </cell>
          <cell r="D443" t="str">
            <v>Employee Appreciation</v>
          </cell>
        </row>
        <row r="444">
          <cell r="B444">
            <v>8500</v>
          </cell>
          <cell r="C444">
            <v>329</v>
          </cell>
          <cell r="D444" t="str">
            <v>Other Expenses</v>
          </cell>
        </row>
        <row r="445">
          <cell r="B445">
            <v>8510</v>
          </cell>
          <cell r="C445">
            <v>330</v>
          </cell>
          <cell r="D445" t="str">
            <v>Interest Expense - General</v>
          </cell>
        </row>
        <row r="446">
          <cell r="B446">
            <v>8520</v>
          </cell>
          <cell r="C446">
            <v>37</v>
          </cell>
          <cell r="D446" t="str">
            <v>Insurance - Non-Employee Related</v>
          </cell>
        </row>
        <row r="447">
          <cell r="B447">
            <v>8525</v>
          </cell>
          <cell r="C447">
            <v>423</v>
          </cell>
          <cell r="D447" t="str">
            <v>Special Events</v>
          </cell>
        </row>
        <row r="448">
          <cell r="B448">
            <v>8530</v>
          </cell>
          <cell r="C448">
            <v>89</v>
          </cell>
          <cell r="D448" t="str">
            <v>Membership Dues - Organization</v>
          </cell>
        </row>
        <row r="449">
          <cell r="B449">
            <v>8540</v>
          </cell>
          <cell r="C449">
            <v>103</v>
          </cell>
          <cell r="D449" t="str">
            <v>Staff Development/Training</v>
          </cell>
        </row>
        <row r="450">
          <cell r="B450">
            <v>8550</v>
          </cell>
          <cell r="C450">
            <v>88</v>
          </cell>
          <cell r="D450" t="str">
            <v>Bank fees</v>
          </cell>
        </row>
        <row r="451">
          <cell r="B451">
            <v>8560</v>
          </cell>
          <cell r="C451">
            <v>331</v>
          </cell>
          <cell r="D451" t="str">
            <v>Processing fees</v>
          </cell>
        </row>
        <row r="452">
          <cell r="B452">
            <v>8565</v>
          </cell>
          <cell r="C452">
            <v>722</v>
          </cell>
          <cell r="D452" t="str">
            <v>Fines and Penalties</v>
          </cell>
        </row>
        <row r="453">
          <cell r="B453">
            <v>8570</v>
          </cell>
          <cell r="C453">
            <v>90</v>
          </cell>
          <cell r="D453" t="str">
            <v>Advertising/Marketing Expenses</v>
          </cell>
        </row>
        <row r="454">
          <cell r="B454">
            <v>8575</v>
          </cell>
          <cell r="C454">
            <v>402</v>
          </cell>
          <cell r="D454" t="str">
            <v>Uncollected Grant Revenue</v>
          </cell>
        </row>
        <row r="455">
          <cell r="B455">
            <v>8580</v>
          </cell>
          <cell r="C455">
            <v>91</v>
          </cell>
          <cell r="D455" t="str">
            <v>Licenses &amp; Fees</v>
          </cell>
        </row>
        <row r="456">
          <cell r="B456">
            <v>8585</v>
          </cell>
          <cell r="C456">
            <v>184</v>
          </cell>
          <cell r="D456" t="str">
            <v>Bad Debt Expense</v>
          </cell>
        </row>
        <row r="457">
          <cell r="B457">
            <v>8590</v>
          </cell>
          <cell r="C457">
            <v>92</v>
          </cell>
          <cell r="D457" t="str">
            <v>Other Expenses</v>
          </cell>
        </row>
        <row r="458">
          <cell r="B458">
            <v>8595</v>
          </cell>
          <cell r="C458">
            <v>400</v>
          </cell>
          <cell r="D458" t="str">
            <v>Community Outreach</v>
          </cell>
        </row>
        <row r="459">
          <cell r="B459">
            <v>8599</v>
          </cell>
          <cell r="C459">
            <v>568</v>
          </cell>
          <cell r="D459" t="str">
            <v>Capital Expenditures</v>
          </cell>
        </row>
        <row r="460">
          <cell r="B460">
            <v>8600</v>
          </cell>
          <cell r="C460">
            <v>385</v>
          </cell>
          <cell r="D460" t="str">
            <v>Housing Development</v>
          </cell>
        </row>
        <row r="461">
          <cell r="B461">
            <v>8601</v>
          </cell>
          <cell r="C461">
            <v>387</v>
          </cell>
          <cell r="D461" t="str">
            <v>Construction Cost for Multi Family Homes</v>
          </cell>
        </row>
        <row r="462">
          <cell r="B462">
            <v>8602</v>
          </cell>
          <cell r="C462">
            <v>386</v>
          </cell>
          <cell r="D462" t="str">
            <v>Rehab of Existing Facility</v>
          </cell>
        </row>
        <row r="463">
          <cell r="B463">
            <v>8603</v>
          </cell>
          <cell r="C463">
            <v>388</v>
          </cell>
          <cell r="D463" t="str">
            <v>Acquisition of Properties</v>
          </cell>
        </row>
        <row r="464">
          <cell r="B464">
            <v>8604</v>
          </cell>
          <cell r="C464">
            <v>389</v>
          </cell>
          <cell r="D464" t="str">
            <v>Property Improvements Model Block Program</v>
          </cell>
        </row>
        <row r="465">
          <cell r="B465">
            <v>8605</v>
          </cell>
          <cell r="C465">
            <v>390</v>
          </cell>
          <cell r="D465" t="str">
            <v>Holding Cost</v>
          </cell>
        </row>
        <row r="466">
          <cell r="B466">
            <v>8606</v>
          </cell>
          <cell r="C466">
            <v>391</v>
          </cell>
          <cell r="D466" t="str">
            <v>Property Taxes</v>
          </cell>
        </row>
        <row r="467">
          <cell r="B467">
            <v>8606.1</v>
          </cell>
          <cell r="C467">
            <v>633</v>
          </cell>
          <cell r="D467" t="str">
            <v>Property Insurance</v>
          </cell>
        </row>
        <row r="468">
          <cell r="B468">
            <v>8606.2000000000007</v>
          </cell>
          <cell r="C468">
            <v>634</v>
          </cell>
          <cell r="D468" t="str">
            <v>Repairs</v>
          </cell>
        </row>
        <row r="469">
          <cell r="B469">
            <v>8606.2999999999993</v>
          </cell>
          <cell r="C469">
            <v>635</v>
          </cell>
          <cell r="D469" t="str">
            <v>Utilities</v>
          </cell>
        </row>
        <row r="470">
          <cell r="B470">
            <v>8606.4</v>
          </cell>
          <cell r="C470">
            <v>636</v>
          </cell>
          <cell r="D470" t="str">
            <v>Interest Exp</v>
          </cell>
        </row>
        <row r="471">
          <cell r="B471">
            <v>8606.5</v>
          </cell>
          <cell r="C471">
            <v>718</v>
          </cell>
          <cell r="D471" t="str">
            <v>Security Systems</v>
          </cell>
        </row>
        <row r="472">
          <cell r="B472">
            <v>8606.6</v>
          </cell>
          <cell r="C472">
            <v>717</v>
          </cell>
          <cell r="D472" t="str">
            <v>Water</v>
          </cell>
        </row>
        <row r="473">
          <cell r="B473">
            <v>8606.9</v>
          </cell>
          <cell r="C473">
            <v>729</v>
          </cell>
          <cell r="D473" t="str">
            <v>Neighborhood Amenities</v>
          </cell>
        </row>
        <row r="474">
          <cell r="B474">
            <v>8607</v>
          </cell>
          <cell r="C474">
            <v>392</v>
          </cell>
          <cell r="D474" t="str">
            <v>Soft cost</v>
          </cell>
        </row>
        <row r="475">
          <cell r="B475">
            <v>8608</v>
          </cell>
          <cell r="C475">
            <v>393</v>
          </cell>
          <cell r="D475" t="str">
            <v>Pre Development Cost</v>
          </cell>
        </row>
        <row r="476">
          <cell r="B476">
            <v>8609</v>
          </cell>
          <cell r="C476">
            <v>637</v>
          </cell>
          <cell r="D476" t="str">
            <v>Job Training</v>
          </cell>
        </row>
        <row r="477">
          <cell r="B477">
            <v>8610</v>
          </cell>
          <cell r="C477">
            <v>756</v>
          </cell>
          <cell r="D477" t="str">
            <v>Computer and Related Equip</v>
          </cell>
        </row>
        <row r="478">
          <cell r="B478">
            <v>8611</v>
          </cell>
          <cell r="C478">
            <v>409</v>
          </cell>
          <cell r="D478" t="str">
            <v>Housing Counseling-Training</v>
          </cell>
        </row>
        <row r="479">
          <cell r="B479">
            <v>8612</v>
          </cell>
          <cell r="C479">
            <v>410</v>
          </cell>
          <cell r="D479" t="str">
            <v>Construction Cost</v>
          </cell>
        </row>
        <row r="480">
          <cell r="B480">
            <v>8612.1</v>
          </cell>
          <cell r="C480">
            <v>806</v>
          </cell>
          <cell r="D480" t="str">
            <v>Construction in Progress Adj</v>
          </cell>
        </row>
        <row r="481">
          <cell r="B481">
            <v>8700</v>
          </cell>
          <cell r="C481">
            <v>487</v>
          </cell>
          <cell r="D481" t="str">
            <v>Admin Cost - Allocated</v>
          </cell>
        </row>
        <row r="482">
          <cell r="B482">
            <v>8800</v>
          </cell>
          <cell r="C482">
            <v>495</v>
          </cell>
          <cell r="D482" t="str">
            <v>Donated Services</v>
          </cell>
        </row>
        <row r="483">
          <cell r="B483">
            <v>8850</v>
          </cell>
          <cell r="C483">
            <v>496</v>
          </cell>
          <cell r="D483" t="str">
            <v>Donated Services- Match</v>
          </cell>
        </row>
        <row r="484">
          <cell r="B484">
            <v>8900</v>
          </cell>
          <cell r="C484">
            <v>351</v>
          </cell>
          <cell r="D484" t="str">
            <v>Capital Expansion</v>
          </cell>
        </row>
        <row r="485">
          <cell r="B485">
            <v>24000</v>
          </cell>
          <cell r="C485">
            <v>46</v>
          </cell>
          <cell r="D485" t="str">
            <v>Payroll Withholdings</v>
          </cell>
        </row>
        <row r="486">
          <cell r="B486">
            <v>32000</v>
          </cell>
          <cell r="C486">
            <v>43</v>
          </cell>
          <cell r="D486" t="str">
            <v>Unrestricted Net Assets</v>
          </cell>
        </row>
        <row r="487">
          <cell r="B487">
            <v>66900</v>
          </cell>
          <cell r="C487">
            <v>117</v>
          </cell>
          <cell r="D487" t="str">
            <v>Reconciliation Discrepancies</v>
          </cell>
        </row>
        <row r="488">
          <cell r="B488" t="str">
            <v>4011A</v>
          </cell>
          <cell r="C488">
            <v>469</v>
          </cell>
          <cell r="D488" t="str">
            <v>Wells Fargo - Reg Found 2</v>
          </cell>
        </row>
        <row r="489">
          <cell r="B489" t="str">
            <v>4011B</v>
          </cell>
          <cell r="C489">
            <v>526</v>
          </cell>
          <cell r="D489" t="str">
            <v>Wells Fargo</v>
          </cell>
        </row>
        <row r="490">
          <cell r="B490" t="str">
            <v>4011C</v>
          </cell>
          <cell r="C490">
            <v>802</v>
          </cell>
          <cell r="D490" t="str">
            <v>Wells Fargo Foundation</v>
          </cell>
        </row>
        <row r="491">
          <cell r="B491" t="str">
            <v>4015A</v>
          </cell>
          <cell r="C491">
            <v>801</v>
          </cell>
          <cell r="D491" t="str">
            <v>Verizon Foundation</v>
          </cell>
        </row>
        <row r="492">
          <cell r="B492" t="str">
            <v>4016A</v>
          </cell>
          <cell r="C492">
            <v>468</v>
          </cell>
          <cell r="D492" t="str">
            <v>Prudential Success Grant</v>
          </cell>
        </row>
        <row r="493">
          <cell r="B493" t="str">
            <v>4016B</v>
          </cell>
          <cell r="C493">
            <v>602</v>
          </cell>
          <cell r="D493" t="str">
            <v>Prudential Capacity 2</v>
          </cell>
        </row>
        <row r="494">
          <cell r="B494" t="str">
            <v>4016C</v>
          </cell>
          <cell r="C494">
            <v>603</v>
          </cell>
          <cell r="D494" t="str">
            <v>Non Profit Finance Fund</v>
          </cell>
        </row>
        <row r="495">
          <cell r="B495" t="str">
            <v>4538A</v>
          </cell>
          <cell r="C495">
            <v>620</v>
          </cell>
          <cell r="D495" t="str">
            <v>ESG Rental Assistance 2017</v>
          </cell>
        </row>
        <row r="496">
          <cell r="B496" t="str">
            <v>7221a</v>
          </cell>
          <cell r="C496">
            <v>278</v>
          </cell>
          <cell r="D496" t="str">
            <v>Executive Director</v>
          </cell>
        </row>
        <row r="497">
          <cell r="B497" t="str">
            <v>7221b</v>
          </cell>
          <cell r="C497">
            <v>279</v>
          </cell>
          <cell r="D497" t="str">
            <v>Director Facilities - CAO</v>
          </cell>
        </row>
        <row r="498">
          <cell r="B498" t="str">
            <v>7221c</v>
          </cell>
          <cell r="C498">
            <v>280</v>
          </cell>
          <cell r="D498" t="str">
            <v>Director of Operations COO</v>
          </cell>
        </row>
        <row r="499">
          <cell r="B499" t="str">
            <v>7221d</v>
          </cell>
          <cell r="C499">
            <v>281</v>
          </cell>
          <cell r="D499" t="str">
            <v>Director of Development</v>
          </cell>
        </row>
        <row r="500">
          <cell r="B500" t="str">
            <v>7221e</v>
          </cell>
          <cell r="C500">
            <v>342</v>
          </cell>
          <cell r="D500" t="str">
            <v>Director of Finance</v>
          </cell>
        </row>
        <row r="501">
          <cell r="B501" t="str">
            <v>7221f</v>
          </cell>
          <cell r="C501">
            <v>343</v>
          </cell>
          <cell r="D501" t="str">
            <v>Director of Real Estate</v>
          </cell>
        </row>
        <row r="502">
          <cell r="B502" t="str">
            <v>7221g</v>
          </cell>
          <cell r="C502">
            <v>800</v>
          </cell>
          <cell r="D502" t="str">
            <v>Program Director</v>
          </cell>
        </row>
        <row r="503">
          <cell r="B503" t="str">
            <v>7222b</v>
          </cell>
          <cell r="C503">
            <v>285</v>
          </cell>
          <cell r="D503" t="str">
            <v>Clerical</v>
          </cell>
        </row>
        <row r="504">
          <cell r="B504" t="str">
            <v>7222c</v>
          </cell>
          <cell r="C504">
            <v>286</v>
          </cell>
          <cell r="D504" t="str">
            <v>Custodian</v>
          </cell>
        </row>
        <row r="505">
          <cell r="B505" t="str">
            <v>7222d</v>
          </cell>
          <cell r="C505">
            <v>345</v>
          </cell>
          <cell r="D505" t="str">
            <v>Community Organizer</v>
          </cell>
        </row>
        <row r="506">
          <cell r="B506" t="str">
            <v>7222e</v>
          </cell>
          <cell r="C506">
            <v>288</v>
          </cell>
          <cell r="D506" t="str">
            <v>Family Worker</v>
          </cell>
        </row>
        <row r="507">
          <cell r="B507" t="str">
            <v>7222f</v>
          </cell>
          <cell r="C507">
            <v>289</v>
          </cell>
          <cell r="D507" t="str">
            <v>Food Worker</v>
          </cell>
        </row>
        <row r="508">
          <cell r="B508" t="str">
            <v>7222g</v>
          </cell>
          <cell r="C508">
            <v>290</v>
          </cell>
          <cell r="D508" t="str">
            <v>Security Guard</v>
          </cell>
        </row>
        <row r="509">
          <cell r="B509" t="str">
            <v>7222h</v>
          </cell>
          <cell r="C509">
            <v>291</v>
          </cell>
          <cell r="D509" t="str">
            <v>Teacher</v>
          </cell>
        </row>
        <row r="510">
          <cell r="B510" t="str">
            <v>7222i</v>
          </cell>
          <cell r="C510">
            <v>339</v>
          </cell>
          <cell r="D510" t="str">
            <v>Truck Driver</v>
          </cell>
        </row>
        <row r="511">
          <cell r="B511" t="str">
            <v>7222j</v>
          </cell>
          <cell r="C511">
            <v>282</v>
          </cell>
          <cell r="D511" t="str">
            <v>Program Coordinator</v>
          </cell>
        </row>
        <row r="512">
          <cell r="B512" t="str">
            <v>7222k</v>
          </cell>
          <cell r="C512">
            <v>608</v>
          </cell>
          <cell r="D512" t="str">
            <v>Substitutes</v>
          </cell>
        </row>
        <row r="513">
          <cell r="B513" t="str">
            <v>7222l</v>
          </cell>
          <cell r="C513">
            <v>340</v>
          </cell>
          <cell r="D513" t="str">
            <v>Housing Counselor</v>
          </cell>
        </row>
        <row r="514">
          <cell r="B514" t="str">
            <v>7222m</v>
          </cell>
          <cell r="C514">
            <v>341</v>
          </cell>
          <cell r="D514" t="str">
            <v>Finance Assistance</v>
          </cell>
        </row>
        <row r="515">
          <cell r="B515" t="str">
            <v>7222n</v>
          </cell>
          <cell r="C515">
            <v>346</v>
          </cell>
          <cell r="D515" t="str">
            <v>Workforce Trainer</v>
          </cell>
        </row>
        <row r="516">
          <cell r="B516" t="str">
            <v>7222o</v>
          </cell>
          <cell r="C516">
            <v>287</v>
          </cell>
          <cell r="D516" t="str">
            <v>Wrap Around Coordinator</v>
          </cell>
        </row>
        <row r="517">
          <cell r="B517" t="str">
            <v>7222p</v>
          </cell>
          <cell r="C517">
            <v>360</v>
          </cell>
          <cell r="D517" t="str">
            <v>Senior Case Manager</v>
          </cell>
        </row>
        <row r="518">
          <cell r="B518" t="str">
            <v>7222q</v>
          </cell>
          <cell r="C518">
            <v>361</v>
          </cell>
          <cell r="D518" t="str">
            <v>Data Analyst</v>
          </cell>
        </row>
        <row r="519">
          <cell r="B519" t="str">
            <v>7222r</v>
          </cell>
          <cell r="C519">
            <v>367</v>
          </cell>
          <cell r="D519" t="str">
            <v>Benefits Specialist</v>
          </cell>
        </row>
        <row r="520">
          <cell r="B520" t="str">
            <v>7222s</v>
          </cell>
          <cell r="C520">
            <v>370</v>
          </cell>
          <cell r="D520" t="str">
            <v>IT – Desktop Assistance</v>
          </cell>
        </row>
        <row r="521">
          <cell r="B521" t="str">
            <v>7222t</v>
          </cell>
          <cell r="C521">
            <v>371</v>
          </cell>
          <cell r="D521" t="str">
            <v>Youth Advocate Counselor</v>
          </cell>
        </row>
        <row r="522">
          <cell r="B522" t="str">
            <v>7222TA</v>
          </cell>
          <cell r="C522">
            <v>707</v>
          </cell>
          <cell r="D522" t="str">
            <v>Teacher Assistants</v>
          </cell>
        </row>
        <row r="523">
          <cell r="B523" t="str">
            <v>7222u</v>
          </cell>
          <cell r="C523">
            <v>380</v>
          </cell>
          <cell r="D523" t="str">
            <v>EHS Caregiver</v>
          </cell>
        </row>
        <row r="524">
          <cell r="B524" t="str">
            <v>7222v</v>
          </cell>
          <cell r="C524">
            <v>381</v>
          </cell>
          <cell r="D524" t="str">
            <v>Store Manager</v>
          </cell>
        </row>
        <row r="525">
          <cell r="B525" t="str">
            <v>7222w</v>
          </cell>
          <cell r="C525">
            <v>382</v>
          </cell>
          <cell r="D525" t="str">
            <v>Thrift Store Operation Manager</v>
          </cell>
        </row>
        <row r="526">
          <cell r="B526" t="str">
            <v>7223a</v>
          </cell>
          <cell r="C526">
            <v>293</v>
          </cell>
          <cell r="D526" t="str">
            <v>Food Worker Assistant</v>
          </cell>
        </row>
        <row r="527">
          <cell r="B527" t="str">
            <v>7223b</v>
          </cell>
          <cell r="C527">
            <v>294</v>
          </cell>
          <cell r="D527" t="str">
            <v>Teacher Assistant</v>
          </cell>
        </row>
        <row r="528">
          <cell r="B528" t="str">
            <v>7223c</v>
          </cell>
          <cell r="C528">
            <v>338</v>
          </cell>
          <cell r="D528" t="str">
            <v>Floating Teacher Assistant</v>
          </cell>
        </row>
        <row r="529">
          <cell r="B529" t="str">
            <v>7223d</v>
          </cell>
          <cell r="C529">
            <v>344</v>
          </cell>
          <cell r="D529" t="str">
            <v>Housing Counselor Assistant</v>
          </cell>
        </row>
        <row r="530">
          <cell r="B530" t="str">
            <v>7223e</v>
          </cell>
          <cell r="C530">
            <v>609</v>
          </cell>
          <cell r="D530" t="str">
            <v>Substitute Asst</v>
          </cell>
        </row>
        <row r="531">
          <cell r="B531" t="str">
            <v>7224a</v>
          </cell>
          <cell r="C531">
            <v>595</v>
          </cell>
          <cell r="D531" t="str">
            <v>Site Coordinator IC</v>
          </cell>
        </row>
        <row r="532">
          <cell r="B532" t="str">
            <v>7224B A</v>
          </cell>
          <cell r="C532">
            <v>596</v>
          </cell>
          <cell r="D532" t="str">
            <v>Site Coordinator AA</v>
          </cell>
        </row>
        <row r="533">
          <cell r="B533" t="str">
            <v>7224C J</v>
          </cell>
          <cell r="C533">
            <v>597</v>
          </cell>
          <cell r="D533" t="str">
            <v>Payroll Coordinator</v>
          </cell>
        </row>
        <row r="534">
          <cell r="B534" t="str">
            <v>7224E</v>
          </cell>
          <cell r="C534">
            <v>598</v>
          </cell>
          <cell r="D534" t="str">
            <v>Sr Site Coordinator</v>
          </cell>
        </row>
        <row r="535">
          <cell r="B535" t="str">
            <v>7520A</v>
          </cell>
          <cell r="C535">
            <v>809</v>
          </cell>
          <cell r="D535" t="str">
            <v>Audit Fees</v>
          </cell>
        </row>
        <row r="536">
          <cell r="B536" t="str">
            <v>7540A</v>
          </cell>
          <cell r="C536">
            <v>482</v>
          </cell>
          <cell r="D536" t="str">
            <v>Program Consultant</v>
          </cell>
        </row>
        <row r="537">
          <cell r="B537" t="str">
            <v>8455A</v>
          </cell>
          <cell r="C537">
            <v>619</v>
          </cell>
          <cell r="D537" t="str">
            <v>Rental Assistance</v>
          </cell>
        </row>
        <row r="538">
          <cell r="C538">
            <v>724</v>
          </cell>
          <cell r="D538">
            <v>1463.4</v>
          </cell>
        </row>
        <row r="539">
          <cell r="C539">
            <v>694</v>
          </cell>
          <cell r="D539">
            <v>7510</v>
          </cell>
        </row>
        <row r="540">
          <cell r="C540">
            <v>692</v>
          </cell>
          <cell r="D540">
            <v>7515</v>
          </cell>
        </row>
        <row r="541">
          <cell r="C541">
            <v>688</v>
          </cell>
          <cell r="D541">
            <v>8108</v>
          </cell>
        </row>
        <row r="542">
          <cell r="C542">
            <v>689</v>
          </cell>
          <cell r="D542">
            <v>8110</v>
          </cell>
        </row>
        <row r="543">
          <cell r="C543">
            <v>698</v>
          </cell>
          <cell r="D543">
            <v>8115</v>
          </cell>
        </row>
        <row r="544">
          <cell r="C544">
            <v>687</v>
          </cell>
          <cell r="D544">
            <v>8133</v>
          </cell>
        </row>
        <row r="545">
          <cell r="C545">
            <v>690</v>
          </cell>
          <cell r="D545">
            <v>8160</v>
          </cell>
        </row>
        <row r="546">
          <cell r="C546">
            <v>691</v>
          </cell>
          <cell r="D546">
            <v>8170</v>
          </cell>
        </row>
        <row r="547">
          <cell r="C547">
            <v>686</v>
          </cell>
          <cell r="D547">
            <v>8180</v>
          </cell>
        </row>
        <row r="548">
          <cell r="C548">
            <v>683</v>
          </cell>
          <cell r="D548">
            <v>8190</v>
          </cell>
        </row>
        <row r="549">
          <cell r="C549">
            <v>701</v>
          </cell>
          <cell r="D549">
            <v>8231</v>
          </cell>
        </row>
        <row r="550">
          <cell r="C550">
            <v>705</v>
          </cell>
          <cell r="D550">
            <v>8240</v>
          </cell>
        </row>
        <row r="551">
          <cell r="C551">
            <v>695</v>
          </cell>
          <cell r="D551">
            <v>8312</v>
          </cell>
        </row>
        <row r="552">
          <cell r="C552">
            <v>697</v>
          </cell>
          <cell r="D552">
            <v>8320</v>
          </cell>
        </row>
        <row r="553">
          <cell r="C553">
            <v>696</v>
          </cell>
          <cell r="D553">
            <v>8350</v>
          </cell>
        </row>
        <row r="554">
          <cell r="C554">
            <v>700</v>
          </cell>
          <cell r="D554">
            <v>8405</v>
          </cell>
        </row>
        <row r="555">
          <cell r="C555">
            <v>760</v>
          </cell>
          <cell r="D555">
            <v>8430</v>
          </cell>
        </row>
        <row r="556">
          <cell r="C556">
            <v>699</v>
          </cell>
          <cell r="D556">
            <v>8445</v>
          </cell>
        </row>
        <row r="557">
          <cell r="C557">
            <v>704</v>
          </cell>
          <cell r="D557">
            <v>8470</v>
          </cell>
        </row>
        <row r="558">
          <cell r="C558">
            <v>703</v>
          </cell>
          <cell r="D558">
            <v>8480</v>
          </cell>
        </row>
        <row r="559">
          <cell r="C559">
            <v>693</v>
          </cell>
          <cell r="D559">
            <v>8525</v>
          </cell>
        </row>
        <row r="560">
          <cell r="C560">
            <v>684</v>
          </cell>
          <cell r="D560">
            <v>8570</v>
          </cell>
        </row>
        <row r="561">
          <cell r="C561">
            <v>685</v>
          </cell>
          <cell r="D561">
            <v>8580</v>
          </cell>
        </row>
        <row r="562">
          <cell r="C562">
            <v>706</v>
          </cell>
          <cell r="D562">
            <v>8590</v>
          </cell>
        </row>
        <row r="563">
          <cell r="C563">
            <v>702</v>
          </cell>
          <cell r="D563">
            <v>8599</v>
          </cell>
        </row>
        <row r="564">
          <cell r="C564">
            <v>403</v>
          </cell>
          <cell r="D564" t="str">
            <v>1440 Allocated Costs - General0</v>
          </cell>
        </row>
        <row r="565">
          <cell r="C565">
            <v>759</v>
          </cell>
          <cell r="D565" t="str">
            <v>2150 Visa Card</v>
          </cell>
        </row>
        <row r="566">
          <cell r="C566">
            <v>677</v>
          </cell>
          <cell r="D566" t="str">
            <v>7510 Contract Service Expenses</v>
          </cell>
        </row>
        <row r="567">
          <cell r="C567">
            <v>675</v>
          </cell>
          <cell r="D567" t="str">
            <v>7515 Contract Service Expenses</v>
          </cell>
        </row>
        <row r="568">
          <cell r="C568">
            <v>653</v>
          </cell>
          <cell r="D568" t="str">
            <v>8108 Operating Expenses</v>
          </cell>
        </row>
        <row r="569">
          <cell r="C569">
            <v>657</v>
          </cell>
          <cell r="D569" t="str">
            <v>8110 Operating Expenses</v>
          </cell>
        </row>
        <row r="570">
          <cell r="C570">
            <v>666</v>
          </cell>
          <cell r="D570" t="str">
            <v>8115 Operating Expenses</v>
          </cell>
        </row>
        <row r="571">
          <cell r="C571">
            <v>668</v>
          </cell>
          <cell r="D571" t="str">
            <v>8133 Operating Expenses</v>
          </cell>
        </row>
        <row r="572">
          <cell r="C572">
            <v>643</v>
          </cell>
          <cell r="D572" t="str">
            <v>8160 Operating Expenses</v>
          </cell>
        </row>
        <row r="573">
          <cell r="C573">
            <v>645</v>
          </cell>
          <cell r="D573" t="str">
            <v>8170 Operating Expenses</v>
          </cell>
        </row>
        <row r="574">
          <cell r="C574">
            <v>641</v>
          </cell>
          <cell r="D574" t="str">
            <v>8180 Operating Expenses</v>
          </cell>
        </row>
        <row r="575">
          <cell r="C575">
            <v>663</v>
          </cell>
          <cell r="D575" t="str">
            <v>8190 Operating Expenses</v>
          </cell>
        </row>
        <row r="576">
          <cell r="C576">
            <v>661</v>
          </cell>
          <cell r="D576" t="str">
            <v>8240 Facility &amp; Equipment Expenses</v>
          </cell>
        </row>
        <row r="577">
          <cell r="C577">
            <v>639</v>
          </cell>
          <cell r="D577" t="str">
            <v>8312 Travel &amp; Meetings Expenses</v>
          </cell>
        </row>
        <row r="578">
          <cell r="C578">
            <v>655</v>
          </cell>
          <cell r="D578" t="str">
            <v>8320 Travel &amp; Meetings Expenses</v>
          </cell>
        </row>
        <row r="579">
          <cell r="C579">
            <v>651</v>
          </cell>
          <cell r="D579" t="str">
            <v>8350 Travel &amp; Meetings Expenses</v>
          </cell>
        </row>
        <row r="580">
          <cell r="C580">
            <v>649</v>
          </cell>
          <cell r="D580" t="str">
            <v>8405 Other Client Specific Expenses</v>
          </cell>
        </row>
        <row r="581">
          <cell r="C581">
            <v>679</v>
          </cell>
          <cell r="D581" t="str">
            <v>8470 Other Client Specific Expenses</v>
          </cell>
        </row>
        <row r="582">
          <cell r="C582">
            <v>673</v>
          </cell>
          <cell r="D582" t="str">
            <v>8480 Other Client Specific Expenses</v>
          </cell>
        </row>
        <row r="583">
          <cell r="C583">
            <v>647</v>
          </cell>
          <cell r="D583" t="str">
            <v>8525 Other Expenses</v>
          </cell>
        </row>
        <row r="584">
          <cell r="C584">
            <v>659</v>
          </cell>
          <cell r="D584" t="str">
            <v>8570 Other Expenses</v>
          </cell>
        </row>
        <row r="585">
          <cell r="C585">
            <v>671</v>
          </cell>
          <cell r="D585" t="str">
            <v>8580 Other Expenses</v>
          </cell>
        </row>
        <row r="586">
          <cell r="C586">
            <v>665</v>
          </cell>
          <cell r="D586" t="str">
            <v>8599 Capital Expenditures</v>
          </cell>
        </row>
        <row r="587">
          <cell r="C587">
            <v>660</v>
          </cell>
          <cell r="D587" t="str">
            <v>Advertising/Marketing Expenses</v>
          </cell>
        </row>
        <row r="588">
          <cell r="C588">
            <v>674</v>
          </cell>
          <cell r="D588" t="str">
            <v>Background Check</v>
          </cell>
        </row>
        <row r="589">
          <cell r="C589">
            <v>798</v>
          </cell>
          <cell r="D589" t="str">
            <v>Bad Debt</v>
          </cell>
        </row>
        <row r="590">
          <cell r="C590">
            <v>470</v>
          </cell>
          <cell r="D590" t="str">
            <v>Billable Expense Income</v>
          </cell>
        </row>
        <row r="591">
          <cell r="C591">
            <v>642</v>
          </cell>
          <cell r="D591" t="str">
            <v>Books, Subscriptions, References</v>
          </cell>
        </row>
        <row r="592">
          <cell r="C592">
            <v>650</v>
          </cell>
          <cell r="D592" t="str">
            <v>Classroom Materials &amp; Supplies</v>
          </cell>
        </row>
        <row r="593">
          <cell r="C593">
            <v>644</v>
          </cell>
          <cell r="D593" t="str">
            <v>Computer Software &amp; Hardware</v>
          </cell>
        </row>
        <row r="594">
          <cell r="C594">
            <v>652</v>
          </cell>
          <cell r="D594" t="str">
            <v>Conferences, Conventions, Meetings</v>
          </cell>
        </row>
        <row r="595">
          <cell r="D595" t="str">
            <v>Copyright © S&amp;A TECHNOLOGIES • 211 Warren Street, Newark New Jersey, 07103 • Tel: 973 733 2225</v>
          </cell>
        </row>
        <row r="596">
          <cell r="C596">
            <v>680</v>
          </cell>
          <cell r="D596" t="str">
            <v>Food for Classes</v>
          </cell>
        </row>
        <row r="597">
          <cell r="C597">
            <v>678</v>
          </cell>
          <cell r="D597" t="str">
            <v>Fundraising fees</v>
          </cell>
        </row>
        <row r="598">
          <cell r="C598">
            <v>667</v>
          </cell>
          <cell r="D598" t="str">
            <v>Gifts</v>
          </cell>
        </row>
        <row r="599">
          <cell r="C599">
            <v>664</v>
          </cell>
          <cell r="D599" t="str">
            <v>Internet/Web/Hosting Fees</v>
          </cell>
        </row>
        <row r="600">
          <cell r="C600">
            <v>354</v>
          </cell>
          <cell r="D600" t="str">
            <v>Inventory Asset</v>
          </cell>
        </row>
        <row r="601">
          <cell r="C601">
            <v>676</v>
          </cell>
          <cell r="D601" t="str">
            <v>IT Support</v>
          </cell>
        </row>
        <row r="602">
          <cell r="C602">
            <v>672</v>
          </cell>
          <cell r="D602" t="str">
            <v>Licenses &amp; Fees</v>
          </cell>
        </row>
        <row r="603">
          <cell r="C603">
            <v>662</v>
          </cell>
          <cell r="D603" t="str">
            <v>Maintenance Supplies</v>
          </cell>
        </row>
        <row r="604">
          <cell r="C604">
            <v>240</v>
          </cell>
          <cell r="D604" t="str">
            <v>Markup</v>
          </cell>
        </row>
        <row r="605">
          <cell r="C605">
            <v>656</v>
          </cell>
          <cell r="D605" t="str">
            <v>Meals</v>
          </cell>
        </row>
        <row r="606">
          <cell r="C606">
            <v>337</v>
          </cell>
          <cell r="D606" t="str">
            <v>Other Miscellaneous Expense</v>
          </cell>
        </row>
        <row r="607">
          <cell r="C607">
            <v>646</v>
          </cell>
          <cell r="D607" t="str">
            <v>Printing &amp; Copying</v>
          </cell>
        </row>
        <row r="608">
          <cell r="C608">
            <v>654</v>
          </cell>
          <cell r="D608" t="str">
            <v>Program Supplies</v>
          </cell>
        </row>
        <row r="609">
          <cell r="C609">
            <v>352</v>
          </cell>
          <cell r="D609" t="str">
            <v>Purchases</v>
          </cell>
        </row>
        <row r="610">
          <cell r="C610">
            <v>383</v>
          </cell>
          <cell r="D610" t="str">
            <v>Reconciliation Discrepancies-1</v>
          </cell>
        </row>
        <row r="611">
          <cell r="C611">
            <v>353</v>
          </cell>
          <cell r="D611" t="str">
            <v>Sales of Product Income</v>
          </cell>
        </row>
        <row r="612">
          <cell r="C612">
            <v>237</v>
          </cell>
          <cell r="D612" t="str">
            <v>Services</v>
          </cell>
        </row>
        <row r="613">
          <cell r="C613">
            <v>648</v>
          </cell>
          <cell r="D613" t="str">
            <v>Special Events</v>
          </cell>
        </row>
        <row r="614">
          <cell r="C614">
            <v>658</v>
          </cell>
          <cell r="D614" t="str">
            <v>Supplies</v>
          </cell>
        </row>
        <row r="615">
          <cell r="C615">
            <v>669</v>
          </cell>
          <cell r="D615" t="str">
            <v>Telephone &amp; Telecommunications</v>
          </cell>
        </row>
        <row r="616">
          <cell r="C616">
            <v>640</v>
          </cell>
          <cell r="D616" t="str">
            <v>Travel</v>
          </cell>
        </row>
        <row r="617">
          <cell r="C617">
            <v>238</v>
          </cell>
          <cell r="D617" t="str">
            <v>Unapplied Cash Bill Payment Expense</v>
          </cell>
        </row>
        <row r="618">
          <cell r="C618">
            <v>239</v>
          </cell>
          <cell r="D618" t="str">
            <v>Unapplied Cash Payment Income</v>
          </cell>
        </row>
        <row r="619">
          <cell r="C619">
            <v>332</v>
          </cell>
          <cell r="D619" t="str">
            <v>Uncategorized Asset</v>
          </cell>
        </row>
        <row r="620">
          <cell r="C620">
            <v>334</v>
          </cell>
          <cell r="D620" t="str">
            <v>Uncategorized Expense</v>
          </cell>
        </row>
        <row r="621">
          <cell r="C621">
            <v>333</v>
          </cell>
          <cell r="D621" t="str">
            <v>Uncategorized Income</v>
          </cell>
        </row>
        <row r="622">
          <cell r="C622">
            <v>670</v>
          </cell>
          <cell r="D622" t="str">
            <v>Verizon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AZ42"/>
  <sheetViews>
    <sheetView tabSelected="1" workbookViewId="0">
      <selection activeCell="H16" sqref="H16"/>
    </sheetView>
  </sheetViews>
  <sheetFormatPr defaultRowHeight="14.5" x14ac:dyDescent="0.35"/>
  <cols>
    <col min="2" max="2" width="21.453125" customWidth="1"/>
    <col min="7" max="7" width="17.6328125" customWidth="1"/>
    <col min="8" max="8" width="21.81640625" bestFit="1" customWidth="1"/>
    <col min="9" max="9" width="17.1796875" bestFit="1" customWidth="1"/>
    <col min="10" max="10" width="21.81640625" bestFit="1" customWidth="1"/>
    <col min="11" max="11" width="14.453125" bestFit="1" customWidth="1"/>
    <col min="12" max="12" width="21.81640625" bestFit="1" customWidth="1"/>
    <col min="13" max="13" width="14.453125" bestFit="1" customWidth="1"/>
    <col min="14" max="14" width="21.81640625" bestFit="1" customWidth="1"/>
    <col min="15" max="15" width="15.90625" bestFit="1" customWidth="1"/>
    <col min="16" max="16" width="21.81640625" bestFit="1" customWidth="1"/>
    <col min="17" max="17" width="20.36328125" bestFit="1" customWidth="1"/>
    <col min="18" max="18" width="21.81640625" bestFit="1" customWidth="1"/>
    <col min="19" max="19" width="24" bestFit="1" customWidth="1"/>
    <col min="20" max="20" width="21.81640625" bestFit="1" customWidth="1"/>
    <col min="21" max="21" width="16.6328125" bestFit="1" customWidth="1"/>
    <col min="22" max="22" width="21.81640625" bestFit="1" customWidth="1"/>
    <col min="23" max="23" width="19.453125" bestFit="1" customWidth="1"/>
    <col min="24" max="24" width="21.81640625" bestFit="1" customWidth="1"/>
    <col min="25" max="25" width="15.1796875" bestFit="1" customWidth="1"/>
    <col min="26" max="26" width="21.81640625" bestFit="1" customWidth="1"/>
    <col min="27" max="27" width="14.453125" bestFit="1" customWidth="1"/>
    <col min="28" max="28" width="21.81640625" bestFit="1" customWidth="1"/>
    <col min="29" max="29" width="19.1796875" bestFit="1" customWidth="1"/>
    <col min="30" max="30" width="21.81640625" bestFit="1" customWidth="1"/>
    <col min="31" max="31" width="14.453125" bestFit="1" customWidth="1"/>
    <col min="32" max="32" width="21.81640625" bestFit="1" customWidth="1"/>
    <col min="33" max="33" width="14.453125" bestFit="1" customWidth="1"/>
    <col min="34" max="34" width="21.81640625" bestFit="1" customWidth="1"/>
    <col min="35" max="35" width="14.453125" bestFit="1" customWidth="1"/>
    <col min="36" max="36" width="21.81640625" bestFit="1" customWidth="1"/>
    <col min="37" max="37" width="14.453125" bestFit="1" customWidth="1"/>
    <col min="38" max="38" width="21.81640625" bestFit="1" customWidth="1"/>
    <col min="39" max="39" width="18.6328125" bestFit="1" customWidth="1"/>
    <col min="40" max="40" width="21.81640625" bestFit="1" customWidth="1"/>
    <col min="41" max="41" width="16.54296875" bestFit="1" customWidth="1"/>
    <col min="42" max="42" width="21.81640625" bestFit="1" customWidth="1"/>
    <col min="43" max="43" width="23" bestFit="1" customWidth="1"/>
    <col min="44" max="44" width="21.81640625" bestFit="1" customWidth="1"/>
    <col min="45" max="45" width="16.26953125" bestFit="1" customWidth="1"/>
    <col min="46" max="46" width="21.81640625" bestFit="1" customWidth="1"/>
    <col min="47" max="47" width="22.6328125" bestFit="1" customWidth="1"/>
    <col min="48" max="48" width="21.81640625" bestFit="1" customWidth="1"/>
    <col min="49" max="49" width="16.54296875" bestFit="1" customWidth="1"/>
    <col min="50" max="50" width="21.81640625" bestFit="1" customWidth="1"/>
    <col min="51" max="51" width="17.1796875" bestFit="1" customWidth="1"/>
    <col min="52" max="52" width="21.81640625" bestFit="1" customWidth="1"/>
  </cols>
  <sheetData>
    <row r="1" spans="1:19" x14ac:dyDescent="0.35">
      <c r="A1" s="1"/>
      <c r="B1" s="1"/>
      <c r="C1" s="1"/>
      <c r="D1" s="1"/>
      <c r="E1" s="1"/>
      <c r="F1" s="1"/>
      <c r="G1" s="1"/>
      <c r="H1" s="1" t="s">
        <v>0</v>
      </c>
      <c r="I1" s="3">
        <v>43888</v>
      </c>
      <c r="J1" s="1"/>
      <c r="K1" s="1"/>
      <c r="L1" s="1"/>
      <c r="M1" s="1" t="s">
        <v>0</v>
      </c>
      <c r="N1" s="1"/>
      <c r="O1" s="1"/>
      <c r="P1" s="1"/>
      <c r="Q1" s="1"/>
      <c r="R1" s="1"/>
      <c r="S1" s="1"/>
    </row>
    <row r="2" spans="1:19" ht="26" x14ac:dyDescent="0.6">
      <c r="A2" s="1"/>
      <c r="B2" s="2" t="s">
        <v>4</v>
      </c>
      <c r="C2" s="2"/>
      <c r="D2" s="2"/>
      <c r="E2" s="1"/>
      <c r="F2" s="1"/>
      <c r="G2" s="3"/>
      <c r="H2" s="1" t="s">
        <v>308</v>
      </c>
      <c r="I2" s="1"/>
      <c r="J2" s="1"/>
      <c r="K2" s="1"/>
      <c r="L2" s="1"/>
      <c r="M2" s="3">
        <v>43856</v>
      </c>
      <c r="N2" s="1"/>
      <c r="O2" s="1"/>
      <c r="P2" s="1"/>
      <c r="Q2" s="1"/>
      <c r="R2" s="1"/>
      <c r="S2" s="1"/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 t="s">
        <v>3</v>
      </c>
      <c r="N3" s="1"/>
      <c r="O3" s="1"/>
      <c r="P3" s="1"/>
      <c r="Q3" s="1"/>
      <c r="R3" s="1"/>
      <c r="S3" s="1"/>
    </row>
    <row r="4" spans="1:19" x14ac:dyDescent="0.35">
      <c r="A4" s="1"/>
      <c r="B4" s="1" t="s">
        <v>212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35">
      <c r="A6" s="1"/>
      <c r="B6" s="1"/>
      <c r="C6" s="1"/>
      <c r="D6" s="1"/>
      <c r="E6" s="32" t="s">
        <v>1</v>
      </c>
      <c r="F6" s="32"/>
      <c r="G6" s="32" t="s">
        <v>192</v>
      </c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1"/>
    </row>
    <row r="7" spans="1:19" x14ac:dyDescent="0.35">
      <c r="A7" s="1"/>
      <c r="B7" s="1"/>
      <c r="C7" s="1"/>
      <c r="D7" s="1"/>
      <c r="E7" s="32" t="s">
        <v>2</v>
      </c>
      <c r="F7" s="32"/>
      <c r="G7" s="39" t="s">
        <v>1003</v>
      </c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1"/>
    </row>
    <row r="8" spans="1:19" x14ac:dyDescent="0.35">
      <c r="A8" s="1"/>
      <c r="B8" s="1"/>
      <c r="C8" s="1"/>
      <c r="D8" s="1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1"/>
    </row>
    <row r="9" spans="1:19" x14ac:dyDescent="0.35">
      <c r="A9" s="1"/>
      <c r="B9" s="1" t="s">
        <v>213</v>
      </c>
      <c r="C9" s="1"/>
      <c r="D9" s="1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1"/>
    </row>
    <row r="10" spans="1:19" x14ac:dyDescent="0.35">
      <c r="A10" s="1"/>
      <c r="B10" s="1"/>
      <c r="C10" s="1"/>
      <c r="D10" s="1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1"/>
    </row>
    <row r="11" spans="1:19" x14ac:dyDescent="0.35">
      <c r="A11" s="1"/>
      <c r="B11" s="1"/>
      <c r="C11" s="1"/>
      <c r="D11" s="1"/>
      <c r="E11" s="32" t="s">
        <v>5</v>
      </c>
      <c r="F11" s="32"/>
      <c r="G11" s="32" t="s">
        <v>1038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1"/>
    </row>
    <row r="12" spans="1:19" x14ac:dyDescent="0.35">
      <c r="A12" s="1"/>
      <c r="B12" s="1"/>
      <c r="C12" s="1"/>
      <c r="D12" s="1"/>
      <c r="E12" s="32" t="s">
        <v>2</v>
      </c>
      <c r="F12" s="32"/>
      <c r="G12" s="32" t="s">
        <v>12</v>
      </c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1"/>
    </row>
    <row r="13" spans="1:19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35">
      <c r="A14" s="1"/>
      <c r="B14" s="1" t="s">
        <v>207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15.5" x14ac:dyDescent="0.35">
      <c r="A16" s="1"/>
      <c r="B16" s="4" t="s">
        <v>206</v>
      </c>
      <c r="C16" s="4"/>
      <c r="D16" s="4"/>
      <c r="E16" s="33">
        <v>43896</v>
      </c>
      <c r="F16" s="34"/>
      <c r="G16" s="34" t="s">
        <v>1039</v>
      </c>
      <c r="H16" s="78" t="s">
        <v>1040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52" x14ac:dyDescent="0.35">
      <c r="A17" s="1"/>
      <c r="B17" s="4" t="s">
        <v>307</v>
      </c>
      <c r="C17" s="4"/>
      <c r="D17" s="4"/>
      <c r="E17" s="34" t="str">
        <f>"Payroll Upload "&amp;TEXT(E16,"MM-DD-YY")&amp;".csv"</f>
        <v>Payroll Upload 03-06-20.csv</v>
      </c>
      <c r="F17" s="34"/>
      <c r="G17" s="34"/>
      <c r="H17" s="34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52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52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52" x14ac:dyDescent="0.35">
      <c r="A20" s="1"/>
      <c r="B20" s="1" t="s">
        <v>208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52" x14ac:dyDescent="0.35">
      <c r="A21" s="1"/>
      <c r="B21" s="1" t="s">
        <v>209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52" x14ac:dyDescent="0.35">
      <c r="A22" s="1"/>
      <c r="B22" s="1" t="s">
        <v>210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52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52" x14ac:dyDescent="0.35">
      <c r="B24" s="14" t="s">
        <v>215</v>
      </c>
      <c r="C24" s="14"/>
      <c r="D24" s="14"/>
      <c r="E24" s="19" t="s">
        <v>211</v>
      </c>
      <c r="F24" s="16"/>
      <c r="G24" s="76">
        <v>7225</v>
      </c>
      <c r="H24" s="76"/>
      <c r="I24" s="76">
        <v>7226</v>
      </c>
      <c r="J24" s="76"/>
      <c r="K24" s="76">
        <v>7227</v>
      </c>
      <c r="L24" s="76"/>
      <c r="M24" s="76">
        <v>7228</v>
      </c>
      <c r="N24" s="76"/>
      <c r="O24" s="76" t="s">
        <v>156</v>
      </c>
      <c r="P24" s="76"/>
      <c r="Q24" s="76" t="s">
        <v>61</v>
      </c>
      <c r="R24" s="76"/>
      <c r="S24" s="76" t="s">
        <v>131</v>
      </c>
      <c r="T24" s="76"/>
      <c r="U24" s="76" t="s">
        <v>93</v>
      </c>
      <c r="V24" s="76"/>
      <c r="W24" s="76" t="s">
        <v>417</v>
      </c>
      <c r="X24" s="76"/>
      <c r="Y24" s="76" t="s">
        <v>418</v>
      </c>
      <c r="Z24" s="76"/>
      <c r="AA24" s="76" t="s">
        <v>165</v>
      </c>
      <c r="AB24" s="76"/>
      <c r="AC24" s="76" t="s">
        <v>419</v>
      </c>
      <c r="AD24" s="76"/>
      <c r="AE24" s="76" t="s">
        <v>420</v>
      </c>
      <c r="AF24" s="76"/>
      <c r="AG24" s="76" t="s">
        <v>421</v>
      </c>
      <c r="AH24" s="76"/>
      <c r="AI24" s="76" t="s">
        <v>422</v>
      </c>
      <c r="AJ24" s="76"/>
      <c r="AK24" s="76" t="s">
        <v>66</v>
      </c>
      <c r="AL24" s="76"/>
      <c r="AM24" s="76" t="s">
        <v>107</v>
      </c>
      <c r="AN24" s="76"/>
      <c r="AO24" s="76" t="s">
        <v>324</v>
      </c>
      <c r="AP24" s="76"/>
      <c r="AQ24" s="76" t="s">
        <v>423</v>
      </c>
      <c r="AR24" s="76"/>
      <c r="AS24" s="76" t="s">
        <v>424</v>
      </c>
      <c r="AT24" s="76"/>
      <c r="AU24" s="76" t="s">
        <v>51</v>
      </c>
      <c r="AV24" s="76"/>
      <c r="AW24" s="76" t="s">
        <v>425</v>
      </c>
      <c r="AX24" s="76"/>
      <c r="AY24" s="77" t="s">
        <v>426</v>
      </c>
      <c r="AZ24" s="75"/>
    </row>
    <row r="25" spans="1:52" x14ac:dyDescent="0.35">
      <c r="B25" s="15" t="s">
        <v>13</v>
      </c>
      <c r="C25" s="15" t="s">
        <v>15</v>
      </c>
      <c r="D25" s="15"/>
      <c r="E25" s="17" t="s">
        <v>11</v>
      </c>
      <c r="F25" s="17"/>
      <c r="G25" s="6" t="s">
        <v>200</v>
      </c>
      <c r="H25" s="6" t="s">
        <v>201</v>
      </c>
      <c r="I25" s="13" t="s">
        <v>200</v>
      </c>
      <c r="J25" s="13" t="s">
        <v>201</v>
      </c>
      <c r="K25" s="37" t="s">
        <v>200</v>
      </c>
      <c r="L25" s="37" t="s">
        <v>201</v>
      </c>
      <c r="M25" s="38" t="s">
        <v>200</v>
      </c>
      <c r="N25" s="38" t="s">
        <v>201</v>
      </c>
      <c r="O25" s="6" t="s">
        <v>200</v>
      </c>
      <c r="P25" s="6" t="s">
        <v>201</v>
      </c>
      <c r="Q25" s="13" t="s">
        <v>200</v>
      </c>
      <c r="R25" s="13" t="s">
        <v>201</v>
      </c>
      <c r="S25" s="37" t="s">
        <v>200</v>
      </c>
      <c r="T25" s="37" t="s">
        <v>201</v>
      </c>
      <c r="U25" s="38" t="s">
        <v>200</v>
      </c>
      <c r="V25" s="38" t="s">
        <v>201</v>
      </c>
      <c r="W25" s="6" t="s">
        <v>200</v>
      </c>
      <c r="X25" s="6" t="s">
        <v>201</v>
      </c>
      <c r="Y25" s="13" t="s">
        <v>200</v>
      </c>
      <c r="Z25" s="13" t="s">
        <v>201</v>
      </c>
      <c r="AA25" s="37" t="s">
        <v>200</v>
      </c>
      <c r="AB25" s="37" t="s">
        <v>201</v>
      </c>
      <c r="AC25" s="38" t="s">
        <v>200</v>
      </c>
      <c r="AD25" s="38" t="s">
        <v>201</v>
      </c>
      <c r="AE25" s="6" t="s">
        <v>200</v>
      </c>
      <c r="AF25" s="6" t="s">
        <v>201</v>
      </c>
      <c r="AG25" s="13" t="s">
        <v>200</v>
      </c>
      <c r="AH25" s="13" t="s">
        <v>201</v>
      </c>
      <c r="AI25" s="37" t="s">
        <v>200</v>
      </c>
      <c r="AJ25" s="37" t="s">
        <v>201</v>
      </c>
      <c r="AK25" s="38" t="s">
        <v>200</v>
      </c>
      <c r="AL25" s="38" t="s">
        <v>201</v>
      </c>
      <c r="AM25" s="6" t="s">
        <v>200</v>
      </c>
      <c r="AN25" s="6" t="s">
        <v>201</v>
      </c>
      <c r="AO25" s="13" t="s">
        <v>200</v>
      </c>
      <c r="AP25" s="13" t="s">
        <v>201</v>
      </c>
      <c r="AQ25" s="37" t="s">
        <v>200</v>
      </c>
      <c r="AR25" s="37" t="s">
        <v>201</v>
      </c>
      <c r="AS25" s="38" t="s">
        <v>200</v>
      </c>
      <c r="AT25" s="38" t="s">
        <v>201</v>
      </c>
      <c r="AU25" s="6" t="s">
        <v>200</v>
      </c>
      <c r="AV25" s="6" t="s">
        <v>201</v>
      </c>
      <c r="AW25" s="13" t="s">
        <v>200</v>
      </c>
      <c r="AX25" s="13" t="s">
        <v>201</v>
      </c>
      <c r="AY25" s="37" t="s">
        <v>200</v>
      </c>
      <c r="AZ25" s="37" t="s">
        <v>201</v>
      </c>
    </row>
    <row r="26" spans="1:52" x14ac:dyDescent="0.35">
      <c r="B26" s="4" t="s">
        <v>31</v>
      </c>
      <c r="C26" s="4" t="s">
        <v>195</v>
      </c>
      <c r="D26" s="5"/>
      <c r="E26" s="5" t="s">
        <v>34</v>
      </c>
      <c r="F26" s="5"/>
      <c r="G26" t="s">
        <v>290</v>
      </c>
      <c r="I26" t="s">
        <v>290</v>
      </c>
      <c r="K26" t="s">
        <v>290</v>
      </c>
      <c r="M26" t="s">
        <v>290</v>
      </c>
      <c r="O26" t="s">
        <v>290</v>
      </c>
      <c r="Q26" t="s">
        <v>290</v>
      </c>
      <c r="S26" t="s">
        <v>290</v>
      </c>
      <c r="U26" t="s">
        <v>290</v>
      </c>
      <c r="W26" t="s">
        <v>290</v>
      </c>
      <c r="Y26" t="s">
        <v>290</v>
      </c>
      <c r="AA26" t="s">
        <v>290</v>
      </c>
      <c r="AC26" t="s">
        <v>290</v>
      </c>
      <c r="AE26" t="s">
        <v>290</v>
      </c>
      <c r="AG26" t="s">
        <v>290</v>
      </c>
      <c r="AI26" t="s">
        <v>290</v>
      </c>
      <c r="AK26" t="s">
        <v>290</v>
      </c>
      <c r="AM26" t="s">
        <v>290</v>
      </c>
      <c r="AO26" t="s">
        <v>290</v>
      </c>
      <c r="AQ26" t="s">
        <v>290</v>
      </c>
      <c r="AS26" t="s">
        <v>290</v>
      </c>
      <c r="AU26" t="s">
        <v>290</v>
      </c>
      <c r="AW26" t="s">
        <v>290</v>
      </c>
      <c r="AY26" t="s">
        <v>290</v>
      </c>
    </row>
    <row r="27" spans="1:52" x14ac:dyDescent="0.35">
      <c r="B27" s="4" t="s">
        <v>167</v>
      </c>
      <c r="C27" s="4" t="s">
        <v>196</v>
      </c>
      <c r="D27" s="5"/>
      <c r="E27" s="5" t="s">
        <v>169</v>
      </c>
      <c r="F27" s="5"/>
      <c r="H27" t="s">
        <v>291</v>
      </c>
      <c r="J27" t="s">
        <v>291</v>
      </c>
      <c r="L27" t="s">
        <v>291</v>
      </c>
      <c r="N27" t="s">
        <v>291</v>
      </c>
      <c r="P27" t="s">
        <v>291</v>
      </c>
      <c r="R27" t="s">
        <v>291</v>
      </c>
      <c r="T27" t="s">
        <v>291</v>
      </c>
      <c r="V27" t="s">
        <v>291</v>
      </c>
      <c r="X27" t="s">
        <v>291</v>
      </c>
      <c r="Z27" t="s">
        <v>291</v>
      </c>
      <c r="AB27" t="s">
        <v>291</v>
      </c>
      <c r="AD27" t="s">
        <v>291</v>
      </c>
      <c r="AF27" t="s">
        <v>291</v>
      </c>
      <c r="AH27" t="s">
        <v>291</v>
      </c>
      <c r="AJ27" t="s">
        <v>291</v>
      </c>
      <c r="AL27" t="s">
        <v>291</v>
      </c>
      <c r="AN27" t="s">
        <v>291</v>
      </c>
      <c r="AP27" t="s">
        <v>291</v>
      </c>
      <c r="AR27" t="s">
        <v>291</v>
      </c>
      <c r="AT27" t="s">
        <v>291</v>
      </c>
      <c r="AV27" t="s">
        <v>291</v>
      </c>
      <c r="AX27" t="s">
        <v>291</v>
      </c>
      <c r="AZ27" t="s">
        <v>291</v>
      </c>
    </row>
    <row r="28" spans="1:52" x14ac:dyDescent="0.35">
      <c r="B28" s="4" t="s">
        <v>167</v>
      </c>
      <c r="C28" s="4" t="s">
        <v>197</v>
      </c>
      <c r="D28" s="5"/>
      <c r="E28" s="5" t="s">
        <v>169</v>
      </c>
      <c r="F28" s="5"/>
      <c r="H28" t="s">
        <v>292</v>
      </c>
      <c r="J28" t="s">
        <v>292</v>
      </c>
      <c r="L28" t="s">
        <v>292</v>
      </c>
      <c r="N28" t="s">
        <v>292</v>
      </c>
      <c r="P28" t="s">
        <v>292</v>
      </c>
      <c r="R28" t="s">
        <v>292</v>
      </c>
      <c r="T28" t="s">
        <v>292</v>
      </c>
      <c r="V28" t="s">
        <v>292</v>
      </c>
      <c r="X28" t="s">
        <v>292</v>
      </c>
      <c r="Z28" t="s">
        <v>292</v>
      </c>
      <c r="AB28" t="s">
        <v>292</v>
      </c>
      <c r="AD28" t="s">
        <v>292</v>
      </c>
      <c r="AF28" t="s">
        <v>292</v>
      </c>
      <c r="AH28" t="s">
        <v>292</v>
      </c>
      <c r="AJ28" t="s">
        <v>292</v>
      </c>
      <c r="AL28" t="s">
        <v>292</v>
      </c>
      <c r="AN28" t="s">
        <v>292</v>
      </c>
      <c r="AP28" t="s">
        <v>292</v>
      </c>
      <c r="AR28" t="s">
        <v>292</v>
      </c>
      <c r="AT28" t="s">
        <v>292</v>
      </c>
      <c r="AV28" t="s">
        <v>292</v>
      </c>
      <c r="AX28" t="s">
        <v>292</v>
      </c>
      <c r="AZ28" t="s">
        <v>292</v>
      </c>
    </row>
    <row r="29" spans="1:52" x14ac:dyDescent="0.35">
      <c r="B29" s="4" t="s">
        <v>171</v>
      </c>
      <c r="C29" s="4" t="s">
        <v>198</v>
      </c>
      <c r="D29" s="5"/>
      <c r="E29" s="5" t="s">
        <v>169</v>
      </c>
      <c r="F29" s="5"/>
      <c r="H29" t="s">
        <v>293</v>
      </c>
      <c r="J29" t="s">
        <v>293</v>
      </c>
      <c r="L29" t="s">
        <v>293</v>
      </c>
      <c r="N29" t="s">
        <v>293</v>
      </c>
      <c r="P29" t="s">
        <v>293</v>
      </c>
      <c r="R29" t="s">
        <v>293</v>
      </c>
      <c r="T29" t="s">
        <v>293</v>
      </c>
      <c r="V29" t="s">
        <v>293</v>
      </c>
      <c r="X29" t="s">
        <v>293</v>
      </c>
      <c r="Z29" t="s">
        <v>293</v>
      </c>
      <c r="AB29" t="s">
        <v>293</v>
      </c>
      <c r="AD29" t="s">
        <v>293</v>
      </c>
      <c r="AF29" t="s">
        <v>293</v>
      </c>
      <c r="AH29" t="s">
        <v>293</v>
      </c>
      <c r="AJ29" t="s">
        <v>293</v>
      </c>
      <c r="AL29" t="s">
        <v>293</v>
      </c>
      <c r="AN29" t="s">
        <v>293</v>
      </c>
      <c r="AP29" t="s">
        <v>293</v>
      </c>
      <c r="AR29" t="s">
        <v>293</v>
      </c>
      <c r="AT29" t="s">
        <v>293</v>
      </c>
      <c r="AV29" t="s">
        <v>293</v>
      </c>
      <c r="AX29" t="s">
        <v>293</v>
      </c>
      <c r="AZ29" t="s">
        <v>293</v>
      </c>
    </row>
    <row r="30" spans="1:52" x14ac:dyDescent="0.35">
      <c r="B30" s="4" t="s">
        <v>173</v>
      </c>
      <c r="C30" s="4" t="s">
        <v>199</v>
      </c>
      <c r="D30" s="5"/>
      <c r="E30" s="5" t="s">
        <v>34</v>
      </c>
      <c r="F30" s="5"/>
      <c r="G30" t="s">
        <v>427</v>
      </c>
      <c r="I30" t="s">
        <v>428</v>
      </c>
      <c r="K30" t="s">
        <v>429</v>
      </c>
      <c r="M30" t="s">
        <v>430</v>
      </c>
      <c r="O30" t="s">
        <v>431</v>
      </c>
      <c r="Q30" t="s">
        <v>432</v>
      </c>
      <c r="S30" t="s">
        <v>433</v>
      </c>
      <c r="U30" t="s">
        <v>94</v>
      </c>
      <c r="W30" t="s">
        <v>434</v>
      </c>
      <c r="Y30" t="s">
        <v>435</v>
      </c>
      <c r="AA30" t="s">
        <v>166</v>
      </c>
      <c r="AC30" t="s">
        <v>436</v>
      </c>
      <c r="AE30" t="s">
        <v>437</v>
      </c>
      <c r="AG30" t="s">
        <v>438</v>
      </c>
      <c r="AI30" t="s">
        <v>439</v>
      </c>
      <c r="AK30" t="s">
        <v>67</v>
      </c>
      <c r="AM30" t="s">
        <v>440</v>
      </c>
      <c r="AO30" t="s">
        <v>441</v>
      </c>
      <c r="AQ30" t="s">
        <v>442</v>
      </c>
      <c r="AS30" t="s">
        <v>443</v>
      </c>
      <c r="AU30" t="s">
        <v>444</v>
      </c>
      <c r="AW30" t="s">
        <v>445</v>
      </c>
      <c r="AY30" t="s">
        <v>446</v>
      </c>
    </row>
    <row r="31" spans="1:52" x14ac:dyDescent="0.35">
      <c r="B31" s="4" t="s">
        <v>175</v>
      </c>
      <c r="C31" s="4" t="s">
        <v>197</v>
      </c>
      <c r="D31" s="5"/>
      <c r="E31" s="5" t="s">
        <v>34</v>
      </c>
      <c r="F31" s="5"/>
      <c r="G31" t="s">
        <v>292</v>
      </c>
      <c r="I31" t="s">
        <v>292</v>
      </c>
      <c r="K31" t="s">
        <v>292</v>
      </c>
      <c r="M31" t="s">
        <v>292</v>
      </c>
      <c r="O31" t="s">
        <v>292</v>
      </c>
      <c r="Q31" t="s">
        <v>292</v>
      </c>
      <c r="S31" t="s">
        <v>292</v>
      </c>
      <c r="U31" t="s">
        <v>292</v>
      </c>
      <c r="W31" t="s">
        <v>292</v>
      </c>
      <c r="Y31" t="s">
        <v>292</v>
      </c>
      <c r="AA31" t="s">
        <v>292</v>
      </c>
      <c r="AC31" t="s">
        <v>292</v>
      </c>
      <c r="AE31" t="s">
        <v>292</v>
      </c>
      <c r="AG31" t="s">
        <v>292</v>
      </c>
      <c r="AI31" t="s">
        <v>292</v>
      </c>
      <c r="AK31" t="s">
        <v>292</v>
      </c>
      <c r="AM31" t="s">
        <v>292</v>
      </c>
      <c r="AO31" t="s">
        <v>292</v>
      </c>
      <c r="AQ31" t="s">
        <v>292</v>
      </c>
      <c r="AS31" t="s">
        <v>292</v>
      </c>
      <c r="AU31" t="s">
        <v>292</v>
      </c>
      <c r="AW31" t="s">
        <v>292</v>
      </c>
      <c r="AY31" t="s">
        <v>292</v>
      </c>
    </row>
    <row r="32" spans="1:52" s="12" customFormat="1" x14ac:dyDescent="0.35">
      <c r="B32" s="4" t="s">
        <v>175</v>
      </c>
      <c r="C32" s="4" t="s">
        <v>9</v>
      </c>
      <c r="D32" s="5"/>
      <c r="E32" s="5" t="s">
        <v>169</v>
      </c>
      <c r="F32" s="5"/>
      <c r="G32"/>
      <c r="H32" t="s">
        <v>293</v>
      </c>
      <c r="I32"/>
      <c r="J32" t="s">
        <v>293</v>
      </c>
      <c r="K32"/>
      <c r="L32" t="s">
        <v>293</v>
      </c>
      <c r="M32"/>
      <c r="N32" t="s">
        <v>293</v>
      </c>
      <c r="O32"/>
      <c r="P32" t="s">
        <v>293</v>
      </c>
      <c r="Q32"/>
      <c r="R32" t="s">
        <v>293</v>
      </c>
      <c r="S32"/>
      <c r="T32" t="s">
        <v>293</v>
      </c>
      <c r="U32"/>
      <c r="V32" t="s">
        <v>293</v>
      </c>
      <c r="W32"/>
      <c r="X32" t="s">
        <v>293</v>
      </c>
      <c r="Y32"/>
      <c r="Z32" t="s">
        <v>293</v>
      </c>
      <c r="AA32"/>
      <c r="AB32" t="s">
        <v>293</v>
      </c>
      <c r="AC32"/>
      <c r="AD32" t="s">
        <v>293</v>
      </c>
      <c r="AE32"/>
      <c r="AF32" t="s">
        <v>293</v>
      </c>
      <c r="AG32"/>
      <c r="AH32" t="s">
        <v>293</v>
      </c>
      <c r="AI32"/>
      <c r="AJ32" t="s">
        <v>293</v>
      </c>
      <c r="AK32"/>
      <c r="AL32" t="s">
        <v>293</v>
      </c>
      <c r="AM32"/>
      <c r="AN32" t="s">
        <v>293</v>
      </c>
      <c r="AO32"/>
      <c r="AP32" t="s">
        <v>293</v>
      </c>
      <c r="AQ32"/>
      <c r="AR32" t="s">
        <v>293</v>
      </c>
      <c r="AS32"/>
      <c r="AT32" t="s">
        <v>293</v>
      </c>
      <c r="AU32"/>
      <c r="AV32" t="s">
        <v>293</v>
      </c>
      <c r="AW32"/>
      <c r="AX32" t="s">
        <v>293</v>
      </c>
      <c r="AY32"/>
      <c r="AZ32" t="s">
        <v>293</v>
      </c>
    </row>
    <row r="35" spans="2:6" x14ac:dyDescent="0.35">
      <c r="C35" s="20"/>
      <c r="D35" s="20"/>
      <c r="E35" s="12"/>
      <c r="F35" s="12"/>
    </row>
    <row r="36" spans="2:6" x14ac:dyDescent="0.35">
      <c r="C36" s="20"/>
      <c r="D36" s="20"/>
      <c r="E36" s="12"/>
      <c r="F36" s="12"/>
    </row>
    <row r="37" spans="2:6" x14ac:dyDescent="0.35">
      <c r="C37" s="20"/>
      <c r="D37" s="20"/>
      <c r="E37" s="12"/>
      <c r="F37" s="12"/>
    </row>
    <row r="38" spans="2:6" x14ac:dyDescent="0.35">
      <c r="C38" s="20"/>
      <c r="D38" s="20"/>
      <c r="E38" s="12"/>
      <c r="F38" s="12"/>
    </row>
    <row r="39" spans="2:6" x14ac:dyDescent="0.35">
      <c r="C39" s="20"/>
      <c r="D39" s="20"/>
      <c r="E39" s="12"/>
      <c r="F39" s="12"/>
    </row>
    <row r="40" spans="2:6" x14ac:dyDescent="0.35">
      <c r="C40" s="20"/>
      <c r="D40" s="20"/>
      <c r="E40" s="12"/>
      <c r="F40" s="12"/>
    </row>
    <row r="41" spans="2:6" x14ac:dyDescent="0.35">
      <c r="B41" s="20"/>
      <c r="C41" s="20"/>
      <c r="D41" s="20"/>
      <c r="E41" s="12"/>
      <c r="F41" s="12"/>
    </row>
    <row r="42" spans="2:6" x14ac:dyDescent="0.35">
      <c r="B42" s="20"/>
      <c r="C42" s="20"/>
      <c r="D42" s="20"/>
      <c r="E42" s="12"/>
      <c r="F42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17</xdr:row>
                    <xdr:rowOff>63500</xdr:rowOff>
                  </from>
                  <to>
                    <xdr:col>3</xdr:col>
                    <xdr:colOff>520700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Rounder">
                <anchor moveWithCells="1" sizeWithCells="1">
                  <from>
                    <xdr:col>8</xdr:col>
                    <xdr:colOff>1689100</xdr:colOff>
                    <xdr:row>14</xdr:row>
                    <xdr:rowOff>69850</xdr:rowOff>
                  </from>
                  <to>
                    <xdr:col>9</xdr:col>
                    <xdr:colOff>914400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85"/>
  <sheetViews>
    <sheetView topLeftCell="A12" workbookViewId="0">
      <selection activeCell="A24" sqref="A24"/>
    </sheetView>
  </sheetViews>
  <sheetFormatPr defaultColWidth="14.7265625" defaultRowHeight="14.5" x14ac:dyDescent="0.35"/>
  <cols>
    <col min="1" max="10" width="14.7265625" style="8"/>
    <col min="11" max="11" width="21.26953125" style="8" customWidth="1"/>
    <col min="12" max="16384" width="14.7265625" style="8"/>
  </cols>
  <sheetData>
    <row r="1" spans="1:20" x14ac:dyDescent="0.35">
      <c r="A1" s="7" t="s">
        <v>13</v>
      </c>
      <c r="B1" s="7" t="s">
        <v>14</v>
      </c>
      <c r="C1" s="7" t="s">
        <v>15</v>
      </c>
      <c r="D1" s="7" t="s">
        <v>16</v>
      </c>
      <c r="E1" s="7" t="s">
        <v>17</v>
      </c>
      <c r="F1" s="7" t="s">
        <v>18</v>
      </c>
      <c r="G1" s="7" t="s">
        <v>19</v>
      </c>
      <c r="H1" s="7" t="s">
        <v>20</v>
      </c>
      <c r="I1" s="7" t="s">
        <v>21</v>
      </c>
      <c r="J1" s="7" t="s">
        <v>22</v>
      </c>
      <c r="K1" s="7" t="s">
        <v>23</v>
      </c>
      <c r="L1" s="7" t="s">
        <v>24</v>
      </c>
      <c r="M1" s="7" t="s">
        <v>25</v>
      </c>
      <c r="N1" s="7" t="s">
        <v>26</v>
      </c>
      <c r="O1" s="7" t="s">
        <v>27</v>
      </c>
      <c r="P1" s="7" t="s">
        <v>28</v>
      </c>
      <c r="Q1" s="7" t="s">
        <v>29</v>
      </c>
    </row>
    <row r="2" spans="1:20" x14ac:dyDescent="0.35">
      <c r="A2" s="8" t="s">
        <v>31</v>
      </c>
      <c r="B2" s="8" t="s">
        <v>32</v>
      </c>
      <c r="C2" s="8" t="s">
        <v>6</v>
      </c>
      <c r="D2" s="8" t="s">
        <v>33</v>
      </c>
      <c r="E2" s="8">
        <v>117.04</v>
      </c>
      <c r="F2" s="8" t="s">
        <v>34</v>
      </c>
      <c r="G2" s="8" t="s">
        <v>32</v>
      </c>
      <c r="H2" s="8" t="s">
        <v>32</v>
      </c>
      <c r="I2" s="8" t="s">
        <v>32</v>
      </c>
      <c r="J2" s="8" t="s">
        <v>35</v>
      </c>
      <c r="K2" s="8" t="s">
        <v>36</v>
      </c>
      <c r="L2" s="8" t="s">
        <v>35</v>
      </c>
      <c r="M2" s="8" t="s">
        <v>32</v>
      </c>
      <c r="N2" s="8" t="s">
        <v>32</v>
      </c>
      <c r="O2" s="8" t="s">
        <v>32</v>
      </c>
      <c r="P2" s="8" t="s">
        <v>32</v>
      </c>
      <c r="T2" s="8">
        <f>MATCH(D2,Allocation!A:A,0)</f>
        <v>5</v>
      </c>
    </row>
    <row r="3" spans="1:20" x14ac:dyDescent="0.35">
      <c r="A3" s="8" t="s">
        <v>31</v>
      </c>
      <c r="B3" s="8" t="s">
        <v>37</v>
      </c>
      <c r="C3" s="8" t="s">
        <v>6</v>
      </c>
      <c r="D3" s="8" t="s">
        <v>33</v>
      </c>
      <c r="E3" s="8">
        <v>0</v>
      </c>
      <c r="F3" s="8" t="s">
        <v>34</v>
      </c>
      <c r="G3" s="8" t="s">
        <v>32</v>
      </c>
      <c r="H3" s="8" t="s">
        <v>32</v>
      </c>
      <c r="I3" s="8" t="s">
        <v>32</v>
      </c>
      <c r="J3" s="8" t="s">
        <v>35</v>
      </c>
      <c r="K3" s="8" t="s">
        <v>36</v>
      </c>
      <c r="L3" s="8" t="s">
        <v>35</v>
      </c>
      <c r="M3" s="8" t="s">
        <v>32</v>
      </c>
      <c r="N3" s="8" t="s">
        <v>32</v>
      </c>
      <c r="O3" s="8" t="s">
        <v>32</v>
      </c>
      <c r="P3" s="8" t="s">
        <v>32</v>
      </c>
      <c r="T3" s="8">
        <f>MATCH(D3,Allocation!A:A,0)</f>
        <v>5</v>
      </c>
    </row>
    <row r="4" spans="1:20" x14ac:dyDescent="0.35">
      <c r="A4" s="8" t="s">
        <v>167</v>
      </c>
      <c r="B4" s="8" t="s">
        <v>168</v>
      </c>
      <c r="C4" s="8" t="s">
        <v>7</v>
      </c>
      <c r="D4" s="8" t="s">
        <v>33</v>
      </c>
      <c r="E4" s="8">
        <v>-50</v>
      </c>
      <c r="F4" s="8" t="s">
        <v>169</v>
      </c>
      <c r="G4" s="8" t="s">
        <v>32</v>
      </c>
      <c r="H4" s="8" t="s">
        <v>32</v>
      </c>
      <c r="I4" s="8" t="s">
        <v>32</v>
      </c>
      <c r="J4" s="8" t="s">
        <v>35</v>
      </c>
      <c r="K4" s="8" t="s">
        <v>36</v>
      </c>
      <c r="L4" s="8" t="s">
        <v>35</v>
      </c>
      <c r="M4" s="8" t="s">
        <v>32</v>
      </c>
      <c r="N4" s="8" t="s">
        <v>32</v>
      </c>
      <c r="O4" s="8" t="s">
        <v>32</v>
      </c>
      <c r="P4" s="8" t="s">
        <v>32</v>
      </c>
      <c r="T4" s="8">
        <f>MATCH(D4,Allocation!A:A,0)</f>
        <v>5</v>
      </c>
    </row>
    <row r="5" spans="1:20" x14ac:dyDescent="0.35">
      <c r="A5" s="8" t="s">
        <v>167</v>
      </c>
      <c r="B5" s="8" t="s">
        <v>32</v>
      </c>
      <c r="C5" s="8" t="s">
        <v>8</v>
      </c>
      <c r="D5" s="8" t="s">
        <v>33</v>
      </c>
      <c r="E5" s="8">
        <v>-292.51</v>
      </c>
      <c r="F5" s="8" t="s">
        <v>169</v>
      </c>
      <c r="G5" s="8" t="s">
        <v>32</v>
      </c>
      <c r="H5" s="8" t="s">
        <v>32</v>
      </c>
      <c r="I5" s="8" t="s">
        <v>32</v>
      </c>
      <c r="J5" s="8" t="s">
        <v>35</v>
      </c>
      <c r="K5" s="8" t="s">
        <v>36</v>
      </c>
      <c r="L5" s="8" t="s">
        <v>35</v>
      </c>
      <c r="M5" s="8" t="s">
        <v>32</v>
      </c>
      <c r="N5" s="8" t="s">
        <v>32</v>
      </c>
      <c r="O5" s="8" t="s">
        <v>32</v>
      </c>
      <c r="P5" s="8" t="s">
        <v>32</v>
      </c>
      <c r="T5" s="8">
        <f>MATCH(D5,Allocation!A:A,0)</f>
        <v>5</v>
      </c>
    </row>
    <row r="6" spans="1:20" x14ac:dyDescent="0.35">
      <c r="A6" s="8" t="s">
        <v>171</v>
      </c>
      <c r="B6" s="8" t="s">
        <v>172</v>
      </c>
      <c r="C6" s="8" t="s">
        <v>9</v>
      </c>
      <c r="D6" s="8" t="s">
        <v>33</v>
      </c>
      <c r="E6" s="8">
        <v>-894.53</v>
      </c>
      <c r="F6" s="8" t="s">
        <v>169</v>
      </c>
      <c r="G6" s="8" t="s">
        <v>32</v>
      </c>
      <c r="H6" s="8" t="s">
        <v>32</v>
      </c>
      <c r="I6" s="8" t="s">
        <v>32</v>
      </c>
      <c r="J6" s="8" t="s">
        <v>35</v>
      </c>
      <c r="K6" s="8" t="s">
        <v>36</v>
      </c>
      <c r="L6" s="8" t="s">
        <v>35</v>
      </c>
      <c r="M6" s="8" t="s">
        <v>32</v>
      </c>
      <c r="N6" s="8" t="s">
        <v>32</v>
      </c>
      <c r="O6" s="8" t="s">
        <v>32</v>
      </c>
      <c r="P6" s="8" t="s">
        <v>32</v>
      </c>
      <c r="T6" s="8">
        <f>MATCH(D6,Allocation!A:A,0)</f>
        <v>5</v>
      </c>
    </row>
    <row r="7" spans="1:20" x14ac:dyDescent="0.35">
      <c r="A7" s="8" t="s">
        <v>173</v>
      </c>
      <c r="B7" s="8" t="s">
        <v>174</v>
      </c>
      <c r="C7" s="8" t="s">
        <v>10</v>
      </c>
      <c r="D7" s="8" t="s">
        <v>33</v>
      </c>
      <c r="E7" s="8">
        <v>1120</v>
      </c>
      <c r="F7" s="8" t="s">
        <v>34</v>
      </c>
      <c r="G7" s="8" t="s">
        <v>32</v>
      </c>
      <c r="H7" s="8" t="s">
        <v>32</v>
      </c>
      <c r="I7" s="8" t="s">
        <v>32</v>
      </c>
      <c r="J7" s="8" t="s">
        <v>35</v>
      </c>
      <c r="K7" s="8" t="s">
        <v>36</v>
      </c>
      <c r="L7" s="8" t="s">
        <v>35</v>
      </c>
      <c r="M7" s="8" t="s">
        <v>32</v>
      </c>
      <c r="N7" s="8" t="s">
        <v>32</v>
      </c>
      <c r="O7" s="8" t="s">
        <v>32</v>
      </c>
      <c r="P7" s="8" t="s">
        <v>32</v>
      </c>
      <c r="T7" s="8">
        <f>MATCH(D7,Allocation!A:A,0)</f>
        <v>5</v>
      </c>
    </row>
    <row r="8" spans="1:20" x14ac:dyDescent="0.35">
      <c r="A8" s="8" t="s">
        <v>175</v>
      </c>
      <c r="B8" s="8" t="s">
        <v>172</v>
      </c>
      <c r="C8" s="8" t="s">
        <v>9</v>
      </c>
      <c r="D8" s="8" t="s">
        <v>33</v>
      </c>
      <c r="E8" s="8">
        <v>-292.51</v>
      </c>
      <c r="F8" s="8" t="s">
        <v>169</v>
      </c>
      <c r="G8" s="8" t="s">
        <v>32</v>
      </c>
      <c r="H8" s="8" t="s">
        <v>32</v>
      </c>
      <c r="I8" s="8" t="s">
        <v>32</v>
      </c>
      <c r="J8" s="8" t="s">
        <v>35</v>
      </c>
      <c r="K8" s="8" t="s">
        <v>36</v>
      </c>
      <c r="L8" s="8" t="s">
        <v>35</v>
      </c>
      <c r="M8" s="8" t="s">
        <v>32</v>
      </c>
      <c r="N8" s="8" t="s">
        <v>32</v>
      </c>
      <c r="O8" s="8" t="s">
        <v>32</v>
      </c>
      <c r="P8" s="8" t="s">
        <v>32</v>
      </c>
      <c r="T8" s="8">
        <f>MATCH(D8,Allocation!A:A,0)</f>
        <v>5</v>
      </c>
    </row>
    <row r="9" spans="1:20" x14ac:dyDescent="0.35">
      <c r="A9" s="8" t="s">
        <v>175</v>
      </c>
      <c r="B9" s="8" t="s">
        <v>32</v>
      </c>
      <c r="C9" s="8" t="s">
        <v>8</v>
      </c>
      <c r="D9" s="8" t="s">
        <v>33</v>
      </c>
      <c r="E9" s="8">
        <v>292.51</v>
      </c>
      <c r="F9" s="8" t="s">
        <v>34</v>
      </c>
      <c r="G9" s="8" t="s">
        <v>32</v>
      </c>
      <c r="H9" s="8" t="s">
        <v>32</v>
      </c>
      <c r="I9" s="8" t="s">
        <v>32</v>
      </c>
      <c r="J9" s="8" t="s">
        <v>35</v>
      </c>
      <c r="K9" s="8" t="s">
        <v>36</v>
      </c>
      <c r="L9" s="8" t="s">
        <v>35</v>
      </c>
      <c r="M9" s="8" t="s">
        <v>32</v>
      </c>
      <c r="N9" s="8" t="s">
        <v>32</v>
      </c>
      <c r="O9" s="8" t="s">
        <v>32</v>
      </c>
      <c r="P9" s="8" t="s">
        <v>32</v>
      </c>
      <c r="T9" s="8">
        <f>MATCH(D9,Allocation!A:A,0)</f>
        <v>5</v>
      </c>
    </row>
    <row r="10" spans="1:20" x14ac:dyDescent="0.35">
      <c r="A10" s="8" t="s">
        <v>31</v>
      </c>
      <c r="B10" s="8" t="s">
        <v>32</v>
      </c>
      <c r="C10" s="8" t="s">
        <v>6</v>
      </c>
      <c r="D10" s="8" t="s">
        <v>38</v>
      </c>
      <c r="E10" s="8">
        <v>127.1</v>
      </c>
      <c r="F10" s="8" t="s">
        <v>34</v>
      </c>
      <c r="G10" s="8" t="s">
        <v>32</v>
      </c>
      <c r="H10" s="8" t="s">
        <v>32</v>
      </c>
      <c r="I10" s="8" t="s">
        <v>32</v>
      </c>
      <c r="J10" s="8" t="s">
        <v>39</v>
      </c>
      <c r="K10" s="8" t="s">
        <v>40</v>
      </c>
      <c r="L10" s="8" t="s">
        <v>39</v>
      </c>
      <c r="M10" s="8" t="s">
        <v>32</v>
      </c>
      <c r="N10" s="8" t="s">
        <v>32</v>
      </c>
      <c r="O10" s="8" t="s">
        <v>32</v>
      </c>
      <c r="P10" s="8" t="s">
        <v>32</v>
      </c>
      <c r="T10" s="8">
        <f>MATCH(D10,Allocation!A:A,0)</f>
        <v>18</v>
      </c>
    </row>
    <row r="11" spans="1:20" x14ac:dyDescent="0.35">
      <c r="A11" s="8" t="s">
        <v>31</v>
      </c>
      <c r="B11" s="8" t="s">
        <v>37</v>
      </c>
      <c r="C11" s="8" t="s">
        <v>6</v>
      </c>
      <c r="D11" s="8" t="s">
        <v>38</v>
      </c>
      <c r="E11" s="8">
        <v>0</v>
      </c>
      <c r="F11" s="8" t="s">
        <v>34</v>
      </c>
      <c r="G11" s="8" t="s">
        <v>32</v>
      </c>
      <c r="H11" s="8" t="s">
        <v>32</v>
      </c>
      <c r="I11" s="8" t="s">
        <v>32</v>
      </c>
      <c r="J11" s="8" t="s">
        <v>39</v>
      </c>
      <c r="K11" s="8" t="s">
        <v>40</v>
      </c>
      <c r="L11" s="8" t="s">
        <v>39</v>
      </c>
      <c r="M11" s="8" t="s">
        <v>32</v>
      </c>
      <c r="N11" s="8" t="s">
        <v>32</v>
      </c>
      <c r="O11" s="8" t="s">
        <v>32</v>
      </c>
      <c r="P11" s="8" t="s">
        <v>32</v>
      </c>
      <c r="T11" s="8">
        <f>MATCH(D11,Allocation!A:A,0)</f>
        <v>18</v>
      </c>
    </row>
    <row r="12" spans="1:20" x14ac:dyDescent="0.35">
      <c r="A12" s="8" t="s">
        <v>167</v>
      </c>
      <c r="B12" s="8" t="s">
        <v>32</v>
      </c>
      <c r="C12" s="8" t="s">
        <v>7</v>
      </c>
      <c r="D12" s="8" t="s">
        <v>38</v>
      </c>
      <c r="E12" s="8">
        <v>-156.81</v>
      </c>
      <c r="F12" s="8" t="s">
        <v>169</v>
      </c>
      <c r="G12" s="8" t="s">
        <v>32</v>
      </c>
      <c r="H12" s="8" t="s">
        <v>32</v>
      </c>
      <c r="I12" s="8" t="s">
        <v>32</v>
      </c>
      <c r="J12" s="8" t="s">
        <v>39</v>
      </c>
      <c r="K12" s="8" t="s">
        <v>40</v>
      </c>
      <c r="L12" s="8" t="s">
        <v>39</v>
      </c>
      <c r="M12" s="8" t="s">
        <v>32</v>
      </c>
      <c r="N12" s="8" t="s">
        <v>32</v>
      </c>
      <c r="O12" s="8" t="s">
        <v>32</v>
      </c>
      <c r="P12" s="8" t="s">
        <v>32</v>
      </c>
      <c r="T12" s="8">
        <f>MATCH(D12,Allocation!A:A,0)</f>
        <v>18</v>
      </c>
    </row>
    <row r="13" spans="1:20" x14ac:dyDescent="0.35">
      <c r="A13" s="8" t="s">
        <v>167</v>
      </c>
      <c r="B13" s="8" t="s">
        <v>32</v>
      </c>
      <c r="C13" s="8" t="s">
        <v>8</v>
      </c>
      <c r="D13" s="8" t="s">
        <v>38</v>
      </c>
      <c r="E13" s="8">
        <v>-263.94</v>
      </c>
      <c r="F13" s="8" t="s">
        <v>169</v>
      </c>
      <c r="G13" s="8" t="s">
        <v>32</v>
      </c>
      <c r="H13" s="8" t="s">
        <v>32</v>
      </c>
      <c r="I13" s="8" t="s">
        <v>32</v>
      </c>
      <c r="J13" s="8" t="s">
        <v>39</v>
      </c>
      <c r="K13" s="8" t="s">
        <v>40</v>
      </c>
      <c r="L13" s="8" t="s">
        <v>39</v>
      </c>
      <c r="M13" s="8" t="s">
        <v>32</v>
      </c>
      <c r="N13" s="8" t="s">
        <v>32</v>
      </c>
      <c r="O13" s="8" t="s">
        <v>32</v>
      </c>
      <c r="P13" s="8" t="s">
        <v>32</v>
      </c>
      <c r="T13" s="8">
        <f>MATCH(D13,Allocation!A:A,0)</f>
        <v>18</v>
      </c>
    </row>
    <row r="14" spans="1:20" x14ac:dyDescent="0.35">
      <c r="A14" s="8" t="s">
        <v>171</v>
      </c>
      <c r="B14" s="8" t="s">
        <v>172</v>
      </c>
      <c r="C14" s="8" t="s">
        <v>9</v>
      </c>
      <c r="D14" s="8" t="s">
        <v>38</v>
      </c>
      <c r="E14" s="8">
        <v>-989.06</v>
      </c>
      <c r="F14" s="8" t="s">
        <v>169</v>
      </c>
      <c r="G14" s="8" t="s">
        <v>32</v>
      </c>
      <c r="H14" s="8" t="s">
        <v>32</v>
      </c>
      <c r="I14" s="8" t="s">
        <v>32</v>
      </c>
      <c r="J14" s="8" t="s">
        <v>39</v>
      </c>
      <c r="K14" s="8" t="s">
        <v>40</v>
      </c>
      <c r="L14" s="8" t="s">
        <v>39</v>
      </c>
      <c r="M14" s="8" t="s">
        <v>32</v>
      </c>
      <c r="N14" s="8" t="s">
        <v>32</v>
      </c>
      <c r="O14" s="8" t="s">
        <v>32</v>
      </c>
      <c r="P14" s="8" t="s">
        <v>32</v>
      </c>
      <c r="T14" s="8">
        <f>MATCH(D14,Allocation!A:A,0)</f>
        <v>18</v>
      </c>
    </row>
    <row r="15" spans="1:20" x14ac:dyDescent="0.35">
      <c r="A15" s="8" t="s">
        <v>173</v>
      </c>
      <c r="B15" s="8" t="s">
        <v>174</v>
      </c>
      <c r="C15" s="8" t="s">
        <v>10</v>
      </c>
      <c r="D15" s="8" t="s">
        <v>38</v>
      </c>
      <c r="E15" s="8">
        <v>1282.71</v>
      </c>
      <c r="F15" s="8" t="s">
        <v>34</v>
      </c>
      <c r="G15" s="8" t="s">
        <v>32</v>
      </c>
      <c r="H15" s="8" t="s">
        <v>32</v>
      </c>
      <c r="I15" s="8" t="s">
        <v>32</v>
      </c>
      <c r="J15" s="8" t="s">
        <v>39</v>
      </c>
      <c r="K15" s="8" t="s">
        <v>40</v>
      </c>
      <c r="L15" s="8" t="s">
        <v>39</v>
      </c>
      <c r="M15" s="8" t="s">
        <v>32</v>
      </c>
      <c r="N15" s="8" t="s">
        <v>32</v>
      </c>
      <c r="O15" s="8" t="s">
        <v>32</v>
      </c>
      <c r="P15" s="8" t="s">
        <v>32</v>
      </c>
      <c r="T15" s="8">
        <f>MATCH(D15,Allocation!A:A,0)</f>
        <v>18</v>
      </c>
    </row>
    <row r="16" spans="1:20" x14ac:dyDescent="0.35">
      <c r="A16" s="8" t="s">
        <v>175</v>
      </c>
      <c r="B16" s="8" t="s">
        <v>172</v>
      </c>
      <c r="C16" s="8" t="s">
        <v>9</v>
      </c>
      <c r="D16" s="8" t="s">
        <v>38</v>
      </c>
      <c r="E16" s="8">
        <v>-263.94</v>
      </c>
      <c r="F16" s="8" t="s">
        <v>169</v>
      </c>
      <c r="G16" s="8" t="s">
        <v>32</v>
      </c>
      <c r="H16" s="8" t="s">
        <v>32</v>
      </c>
      <c r="I16" s="8" t="s">
        <v>32</v>
      </c>
      <c r="J16" s="8" t="s">
        <v>39</v>
      </c>
      <c r="K16" s="8" t="s">
        <v>40</v>
      </c>
      <c r="L16" s="8" t="s">
        <v>39</v>
      </c>
      <c r="M16" s="8" t="s">
        <v>32</v>
      </c>
      <c r="N16" s="8" t="s">
        <v>32</v>
      </c>
      <c r="O16" s="8" t="s">
        <v>32</v>
      </c>
      <c r="P16" s="8" t="s">
        <v>32</v>
      </c>
      <c r="T16" s="8">
        <f>MATCH(D16,Allocation!A:A,0)</f>
        <v>18</v>
      </c>
    </row>
    <row r="17" spans="1:20" x14ac:dyDescent="0.35">
      <c r="A17" s="8" t="s">
        <v>175</v>
      </c>
      <c r="B17" s="8" t="s">
        <v>32</v>
      </c>
      <c r="C17" s="8" t="s">
        <v>8</v>
      </c>
      <c r="D17" s="8" t="s">
        <v>38</v>
      </c>
      <c r="E17" s="8">
        <v>263.94</v>
      </c>
      <c r="F17" s="8" t="s">
        <v>34</v>
      </c>
      <c r="G17" s="8" t="s">
        <v>32</v>
      </c>
      <c r="H17" s="8" t="s">
        <v>32</v>
      </c>
      <c r="I17" s="8" t="s">
        <v>32</v>
      </c>
      <c r="J17" s="8" t="s">
        <v>39</v>
      </c>
      <c r="K17" s="8" t="s">
        <v>40</v>
      </c>
      <c r="L17" s="8" t="s">
        <v>39</v>
      </c>
      <c r="M17" s="8" t="s">
        <v>32</v>
      </c>
      <c r="N17" s="8" t="s">
        <v>32</v>
      </c>
      <c r="O17" s="8" t="s">
        <v>32</v>
      </c>
      <c r="P17" s="8" t="s">
        <v>32</v>
      </c>
      <c r="T17" s="8">
        <f>MATCH(D17,Allocation!A:A,0)</f>
        <v>18</v>
      </c>
    </row>
    <row r="18" spans="1:20" x14ac:dyDescent="0.35">
      <c r="A18" s="35" t="s">
        <v>31</v>
      </c>
      <c r="B18" s="8" t="s">
        <v>32</v>
      </c>
      <c r="C18" s="8" t="s">
        <v>6</v>
      </c>
      <c r="D18" s="8" t="s">
        <v>41</v>
      </c>
      <c r="E18" s="8">
        <v>203.59</v>
      </c>
      <c r="F18" s="8" t="s">
        <v>34</v>
      </c>
      <c r="G18" s="8" t="s">
        <v>41</v>
      </c>
      <c r="H18" s="8" t="s">
        <v>42</v>
      </c>
      <c r="I18" s="8" t="s">
        <v>41</v>
      </c>
      <c r="J18" s="8" t="s">
        <v>32</v>
      </c>
      <c r="K18" s="8" t="s">
        <v>32</v>
      </c>
      <c r="L18" s="8" t="s">
        <v>32</v>
      </c>
      <c r="M18" s="8" t="s">
        <v>32</v>
      </c>
      <c r="N18" s="8" t="s">
        <v>32</v>
      </c>
      <c r="O18" s="8" t="s">
        <v>32</v>
      </c>
      <c r="P18" s="8" t="s">
        <v>32</v>
      </c>
      <c r="T18" s="8" t="e">
        <f>MATCH(D18,Allocation!A:A,0)</f>
        <v>#N/A</v>
      </c>
    </row>
    <row r="19" spans="1:20" x14ac:dyDescent="0.35">
      <c r="A19" s="35" t="s">
        <v>31</v>
      </c>
      <c r="B19" s="8" t="s">
        <v>37</v>
      </c>
      <c r="C19" s="8" t="s">
        <v>6</v>
      </c>
      <c r="D19" s="8" t="s">
        <v>41</v>
      </c>
      <c r="E19" s="8">
        <v>0</v>
      </c>
      <c r="F19" s="8" t="s">
        <v>34</v>
      </c>
      <c r="G19" s="8" t="s">
        <v>41</v>
      </c>
      <c r="H19" s="8" t="s">
        <v>42</v>
      </c>
      <c r="I19" s="8" t="s">
        <v>41</v>
      </c>
      <c r="J19" s="8" t="s">
        <v>32</v>
      </c>
      <c r="K19" s="8" t="s">
        <v>32</v>
      </c>
      <c r="L19" s="8" t="s">
        <v>32</v>
      </c>
      <c r="M19" s="8" t="s">
        <v>32</v>
      </c>
      <c r="N19" s="8" t="s">
        <v>32</v>
      </c>
      <c r="O19" s="8" t="s">
        <v>32</v>
      </c>
      <c r="P19" s="8" t="s">
        <v>32</v>
      </c>
      <c r="T19" s="8" t="e">
        <f>MATCH(D19,Allocation!A:A,0)</f>
        <v>#N/A</v>
      </c>
    </row>
    <row r="20" spans="1:20" x14ac:dyDescent="0.35">
      <c r="A20" s="35" t="s">
        <v>167</v>
      </c>
      <c r="B20" s="8" t="s">
        <v>32</v>
      </c>
      <c r="C20" s="8" t="s">
        <v>8</v>
      </c>
      <c r="D20" s="8" t="s">
        <v>41</v>
      </c>
      <c r="E20" s="8">
        <v>-507.1</v>
      </c>
      <c r="F20" s="8" t="s">
        <v>169</v>
      </c>
      <c r="G20" s="8" t="s">
        <v>41</v>
      </c>
      <c r="H20" s="8" t="s">
        <v>42</v>
      </c>
      <c r="I20" s="8" t="s">
        <v>41</v>
      </c>
      <c r="J20" s="8" t="s">
        <v>32</v>
      </c>
      <c r="K20" s="8" t="s">
        <v>32</v>
      </c>
      <c r="L20" s="8" t="s">
        <v>32</v>
      </c>
      <c r="M20" s="8" t="s">
        <v>32</v>
      </c>
      <c r="N20" s="8" t="s">
        <v>32</v>
      </c>
      <c r="O20" s="8" t="s">
        <v>32</v>
      </c>
      <c r="P20" s="8" t="s">
        <v>32</v>
      </c>
      <c r="T20" s="8" t="e">
        <f>MATCH(D20,Allocation!A:A,0)</f>
        <v>#N/A</v>
      </c>
    </row>
    <row r="21" spans="1:20" x14ac:dyDescent="0.35">
      <c r="A21" s="35" t="s">
        <v>171</v>
      </c>
      <c r="B21" s="8" t="s">
        <v>172</v>
      </c>
      <c r="C21" s="8" t="s">
        <v>9</v>
      </c>
      <c r="D21" s="8" t="s">
        <v>41</v>
      </c>
      <c r="E21" s="8">
        <v>-1734.65</v>
      </c>
      <c r="F21" s="8" t="s">
        <v>169</v>
      </c>
      <c r="G21" s="8" t="s">
        <v>41</v>
      </c>
      <c r="H21" s="8" t="s">
        <v>42</v>
      </c>
      <c r="I21" s="8" t="s">
        <v>41</v>
      </c>
      <c r="J21" s="8" t="s">
        <v>32</v>
      </c>
      <c r="K21" s="8" t="s">
        <v>32</v>
      </c>
      <c r="L21" s="8" t="s">
        <v>32</v>
      </c>
      <c r="M21" s="8" t="s">
        <v>32</v>
      </c>
      <c r="N21" s="8" t="s">
        <v>32</v>
      </c>
      <c r="O21" s="8" t="s">
        <v>32</v>
      </c>
      <c r="P21" s="8" t="s">
        <v>32</v>
      </c>
      <c r="T21" s="8" t="e">
        <f>MATCH(D21,Allocation!A:A,0)</f>
        <v>#N/A</v>
      </c>
    </row>
    <row r="22" spans="1:20" x14ac:dyDescent="0.35">
      <c r="A22" s="35" t="s">
        <v>173</v>
      </c>
      <c r="B22" s="8" t="s">
        <v>174</v>
      </c>
      <c r="C22" s="8" t="s">
        <v>10</v>
      </c>
      <c r="D22" s="8" t="s">
        <v>41</v>
      </c>
      <c r="E22" s="8">
        <v>2038.16</v>
      </c>
      <c r="F22" s="8" t="s">
        <v>34</v>
      </c>
      <c r="G22" s="8" t="s">
        <v>41</v>
      </c>
      <c r="H22" s="8" t="s">
        <v>42</v>
      </c>
      <c r="I22" s="8" t="s">
        <v>41</v>
      </c>
      <c r="J22" s="8" t="s">
        <v>32</v>
      </c>
      <c r="K22" s="8" t="s">
        <v>32</v>
      </c>
      <c r="L22" s="8" t="s">
        <v>32</v>
      </c>
      <c r="M22" s="8" t="s">
        <v>32</v>
      </c>
      <c r="N22" s="8" t="s">
        <v>32</v>
      </c>
      <c r="O22" s="8" t="s">
        <v>32</v>
      </c>
      <c r="P22" s="8" t="s">
        <v>32</v>
      </c>
      <c r="T22" s="8" t="e">
        <f>MATCH(D22,Allocation!A:A,0)</f>
        <v>#N/A</v>
      </c>
    </row>
    <row r="23" spans="1:20" x14ac:dyDescent="0.35">
      <c r="A23" s="35" t="s">
        <v>175</v>
      </c>
      <c r="B23" s="8" t="s">
        <v>172</v>
      </c>
      <c r="C23" s="8" t="s">
        <v>9</v>
      </c>
      <c r="D23" s="8" t="s">
        <v>41</v>
      </c>
      <c r="E23" s="8">
        <v>-507.1</v>
      </c>
      <c r="F23" s="8" t="s">
        <v>169</v>
      </c>
      <c r="G23" s="8" t="s">
        <v>41</v>
      </c>
      <c r="H23" s="8" t="s">
        <v>42</v>
      </c>
      <c r="I23" s="8" t="s">
        <v>41</v>
      </c>
      <c r="J23" s="8" t="s">
        <v>32</v>
      </c>
      <c r="K23" s="8" t="s">
        <v>32</v>
      </c>
      <c r="L23" s="8" t="s">
        <v>32</v>
      </c>
      <c r="M23" s="8" t="s">
        <v>32</v>
      </c>
      <c r="N23" s="8" t="s">
        <v>32</v>
      </c>
      <c r="O23" s="8" t="s">
        <v>32</v>
      </c>
      <c r="P23" s="8" t="s">
        <v>32</v>
      </c>
      <c r="T23" s="8" t="e">
        <f>MATCH(D23,Allocation!A:A,0)</f>
        <v>#N/A</v>
      </c>
    </row>
    <row r="24" spans="1:20" x14ac:dyDescent="0.35">
      <c r="A24" s="35" t="s">
        <v>175</v>
      </c>
      <c r="B24" s="8" t="s">
        <v>32</v>
      </c>
      <c r="C24" s="8" t="s">
        <v>8</v>
      </c>
      <c r="D24" s="8" t="s">
        <v>41</v>
      </c>
      <c r="E24" s="8">
        <v>507.1</v>
      </c>
      <c r="F24" s="8" t="s">
        <v>34</v>
      </c>
      <c r="G24" s="8" t="s">
        <v>41</v>
      </c>
      <c r="H24" s="8" t="s">
        <v>42</v>
      </c>
      <c r="I24" s="8" t="s">
        <v>41</v>
      </c>
      <c r="J24" s="8" t="s">
        <v>32</v>
      </c>
      <c r="K24" s="8" t="s">
        <v>32</v>
      </c>
      <c r="L24" s="8" t="s">
        <v>32</v>
      </c>
      <c r="M24" s="8" t="s">
        <v>32</v>
      </c>
      <c r="N24" s="8" t="s">
        <v>32</v>
      </c>
      <c r="O24" s="8" t="s">
        <v>32</v>
      </c>
      <c r="P24" s="8" t="s">
        <v>32</v>
      </c>
      <c r="T24" s="8" t="e">
        <f>MATCH(D24,Allocation!A:A,0)</f>
        <v>#N/A</v>
      </c>
    </row>
    <row r="25" spans="1:20" x14ac:dyDescent="0.35">
      <c r="A25" s="8" t="s">
        <v>31</v>
      </c>
      <c r="B25" s="8" t="s">
        <v>32</v>
      </c>
      <c r="C25" s="8" t="s">
        <v>6</v>
      </c>
      <c r="D25" s="8" t="s">
        <v>43</v>
      </c>
      <c r="E25" s="8">
        <v>132.44999999999999</v>
      </c>
      <c r="F25" s="8" t="s">
        <v>34</v>
      </c>
      <c r="G25" s="8" t="s">
        <v>41</v>
      </c>
      <c r="H25" s="8" t="s">
        <v>42</v>
      </c>
      <c r="I25" s="8" t="s">
        <v>41</v>
      </c>
      <c r="J25" s="8" t="s">
        <v>44</v>
      </c>
      <c r="K25" s="8" t="s">
        <v>45</v>
      </c>
      <c r="L25" s="8" t="s">
        <v>44</v>
      </c>
      <c r="M25" s="8" t="s">
        <v>46</v>
      </c>
      <c r="N25" s="8" t="s">
        <v>47</v>
      </c>
      <c r="O25" s="8" t="s">
        <v>46</v>
      </c>
      <c r="P25" s="8" t="s">
        <v>32</v>
      </c>
      <c r="T25" s="8">
        <f>MATCH(D25,Allocation!A:A,0)</f>
        <v>9</v>
      </c>
    </row>
    <row r="26" spans="1:20" x14ac:dyDescent="0.35">
      <c r="A26" s="8" t="s">
        <v>31</v>
      </c>
      <c r="B26" s="8" t="s">
        <v>37</v>
      </c>
      <c r="C26" s="8" t="s">
        <v>6</v>
      </c>
      <c r="D26" s="8" t="s">
        <v>43</v>
      </c>
      <c r="E26" s="8">
        <v>0</v>
      </c>
      <c r="F26" s="8" t="s">
        <v>34</v>
      </c>
      <c r="G26" s="8" t="s">
        <v>41</v>
      </c>
      <c r="H26" s="8" t="s">
        <v>42</v>
      </c>
      <c r="I26" s="8" t="s">
        <v>41</v>
      </c>
      <c r="J26" s="8" t="s">
        <v>44</v>
      </c>
      <c r="K26" s="8" t="s">
        <v>45</v>
      </c>
      <c r="L26" s="8" t="s">
        <v>44</v>
      </c>
      <c r="M26" s="8" t="s">
        <v>46</v>
      </c>
      <c r="N26" s="8" t="s">
        <v>47</v>
      </c>
      <c r="O26" s="8" t="s">
        <v>46</v>
      </c>
      <c r="P26" s="8" t="s">
        <v>32</v>
      </c>
      <c r="T26" s="8">
        <f>MATCH(D26,Allocation!A:A,0)</f>
        <v>9</v>
      </c>
    </row>
    <row r="27" spans="1:20" x14ac:dyDescent="0.35">
      <c r="A27" s="8" t="s">
        <v>167</v>
      </c>
      <c r="B27" s="8" t="s">
        <v>170</v>
      </c>
      <c r="C27" s="8" t="s">
        <v>7</v>
      </c>
      <c r="D27" s="8" t="s">
        <v>43</v>
      </c>
      <c r="E27" s="8">
        <v>-109.32</v>
      </c>
      <c r="F27" s="8" t="s">
        <v>169</v>
      </c>
      <c r="G27" s="8" t="s">
        <v>41</v>
      </c>
      <c r="H27" s="8" t="s">
        <v>42</v>
      </c>
      <c r="I27" s="8" t="s">
        <v>41</v>
      </c>
      <c r="J27" s="8" t="s">
        <v>44</v>
      </c>
      <c r="K27" s="8" t="s">
        <v>45</v>
      </c>
      <c r="L27" s="8" t="s">
        <v>44</v>
      </c>
      <c r="M27" s="8" t="s">
        <v>46</v>
      </c>
      <c r="N27" s="8" t="s">
        <v>47</v>
      </c>
      <c r="O27" s="8" t="s">
        <v>46</v>
      </c>
      <c r="P27" s="8" t="s">
        <v>32</v>
      </c>
      <c r="T27" s="8">
        <f>MATCH(D27,Allocation!A:A,0)</f>
        <v>9</v>
      </c>
    </row>
    <row r="28" spans="1:20" x14ac:dyDescent="0.35">
      <c r="A28" s="8" t="s">
        <v>167</v>
      </c>
      <c r="B28" s="8" t="s">
        <v>32</v>
      </c>
      <c r="C28" s="8" t="s">
        <v>8</v>
      </c>
      <c r="D28" s="8" t="s">
        <v>43</v>
      </c>
      <c r="E28" s="8">
        <v>-323.44</v>
      </c>
      <c r="F28" s="8" t="s">
        <v>169</v>
      </c>
      <c r="G28" s="8" t="s">
        <v>41</v>
      </c>
      <c r="H28" s="8" t="s">
        <v>42</v>
      </c>
      <c r="I28" s="8" t="s">
        <v>41</v>
      </c>
      <c r="J28" s="8" t="s">
        <v>44</v>
      </c>
      <c r="K28" s="8" t="s">
        <v>45</v>
      </c>
      <c r="L28" s="8" t="s">
        <v>44</v>
      </c>
      <c r="M28" s="8" t="s">
        <v>46</v>
      </c>
      <c r="N28" s="8" t="s">
        <v>47</v>
      </c>
      <c r="O28" s="8" t="s">
        <v>46</v>
      </c>
      <c r="P28" s="8" t="s">
        <v>32</v>
      </c>
      <c r="T28" s="8">
        <f>MATCH(D28,Allocation!A:A,0)</f>
        <v>9</v>
      </c>
    </row>
    <row r="29" spans="1:20" x14ac:dyDescent="0.35">
      <c r="A29" s="8" t="s">
        <v>171</v>
      </c>
      <c r="B29" s="8" t="s">
        <v>172</v>
      </c>
      <c r="C29" s="8" t="s">
        <v>9</v>
      </c>
      <c r="D29" s="8" t="s">
        <v>43</v>
      </c>
      <c r="E29" s="8">
        <v>-1047.17</v>
      </c>
      <c r="F29" s="8" t="s">
        <v>169</v>
      </c>
      <c r="G29" s="8" t="s">
        <v>41</v>
      </c>
      <c r="H29" s="8" t="s">
        <v>42</v>
      </c>
      <c r="I29" s="8" t="s">
        <v>41</v>
      </c>
      <c r="J29" s="8" t="s">
        <v>44</v>
      </c>
      <c r="K29" s="8" t="s">
        <v>45</v>
      </c>
      <c r="L29" s="8" t="s">
        <v>44</v>
      </c>
      <c r="M29" s="8" t="s">
        <v>46</v>
      </c>
      <c r="N29" s="8" t="s">
        <v>47</v>
      </c>
      <c r="O29" s="8" t="s">
        <v>46</v>
      </c>
      <c r="P29" s="8" t="s">
        <v>32</v>
      </c>
      <c r="T29" s="8">
        <f>MATCH(D29,Allocation!A:A,0)</f>
        <v>9</v>
      </c>
    </row>
    <row r="30" spans="1:20" x14ac:dyDescent="0.35">
      <c r="A30" s="8" t="s">
        <v>173</v>
      </c>
      <c r="B30" s="8" t="s">
        <v>174</v>
      </c>
      <c r="C30" s="8" t="s">
        <v>10</v>
      </c>
      <c r="D30" s="8" t="s">
        <v>43</v>
      </c>
      <c r="E30" s="8">
        <v>1347.48</v>
      </c>
      <c r="F30" s="8" t="s">
        <v>34</v>
      </c>
      <c r="G30" s="8" t="s">
        <v>41</v>
      </c>
      <c r="H30" s="8" t="s">
        <v>42</v>
      </c>
      <c r="I30" s="8" t="s">
        <v>41</v>
      </c>
      <c r="J30" s="8" t="s">
        <v>44</v>
      </c>
      <c r="K30" s="8" t="s">
        <v>45</v>
      </c>
      <c r="L30" s="8" t="s">
        <v>44</v>
      </c>
      <c r="M30" s="8" t="s">
        <v>46</v>
      </c>
      <c r="N30" s="8" t="s">
        <v>47</v>
      </c>
      <c r="O30" s="8" t="s">
        <v>46</v>
      </c>
      <c r="P30" s="8" t="s">
        <v>32</v>
      </c>
      <c r="T30" s="8">
        <f>MATCH(D30,Allocation!A:A,0)</f>
        <v>9</v>
      </c>
    </row>
    <row r="31" spans="1:20" x14ac:dyDescent="0.35">
      <c r="A31" s="8" t="s">
        <v>175</v>
      </c>
      <c r="B31" s="8" t="s">
        <v>172</v>
      </c>
      <c r="C31" s="8" t="s">
        <v>9</v>
      </c>
      <c r="D31" s="8" t="s">
        <v>43</v>
      </c>
      <c r="E31" s="8">
        <v>-323.44</v>
      </c>
      <c r="F31" s="8" t="s">
        <v>169</v>
      </c>
      <c r="G31" s="8" t="s">
        <v>41</v>
      </c>
      <c r="H31" s="8" t="s">
        <v>42</v>
      </c>
      <c r="I31" s="8" t="s">
        <v>41</v>
      </c>
      <c r="J31" s="8" t="s">
        <v>44</v>
      </c>
      <c r="K31" s="8" t="s">
        <v>45</v>
      </c>
      <c r="L31" s="8" t="s">
        <v>44</v>
      </c>
      <c r="M31" s="8" t="s">
        <v>46</v>
      </c>
      <c r="N31" s="8" t="s">
        <v>47</v>
      </c>
      <c r="O31" s="8" t="s">
        <v>46</v>
      </c>
      <c r="P31" s="8" t="s">
        <v>32</v>
      </c>
      <c r="T31" s="8">
        <f>MATCH(D31,Allocation!A:A,0)</f>
        <v>9</v>
      </c>
    </row>
    <row r="32" spans="1:20" x14ac:dyDescent="0.35">
      <c r="A32" s="8" t="s">
        <v>175</v>
      </c>
      <c r="B32" s="8" t="s">
        <v>32</v>
      </c>
      <c r="C32" s="8" t="s">
        <v>8</v>
      </c>
      <c r="D32" s="8" t="s">
        <v>43</v>
      </c>
      <c r="E32" s="8">
        <v>323.44</v>
      </c>
      <c r="F32" s="8" t="s">
        <v>34</v>
      </c>
      <c r="G32" s="8" t="s">
        <v>41</v>
      </c>
      <c r="H32" s="8" t="s">
        <v>42</v>
      </c>
      <c r="I32" s="8" t="s">
        <v>41</v>
      </c>
      <c r="J32" s="8" t="s">
        <v>44</v>
      </c>
      <c r="K32" s="8" t="s">
        <v>45</v>
      </c>
      <c r="L32" s="8" t="s">
        <v>44</v>
      </c>
      <c r="M32" s="8" t="s">
        <v>46</v>
      </c>
      <c r="N32" s="8" t="s">
        <v>47</v>
      </c>
      <c r="O32" s="8" t="s">
        <v>46</v>
      </c>
      <c r="P32" s="8" t="s">
        <v>32</v>
      </c>
      <c r="T32" s="8">
        <f>MATCH(D32,Allocation!A:A,0)</f>
        <v>9</v>
      </c>
    </row>
    <row r="33" spans="1:20" x14ac:dyDescent="0.35">
      <c r="A33" s="8" t="s">
        <v>31</v>
      </c>
      <c r="B33" s="8" t="s">
        <v>32</v>
      </c>
      <c r="C33" s="8" t="s">
        <v>6</v>
      </c>
      <c r="D33" s="8" t="s">
        <v>48</v>
      </c>
      <c r="E33" s="8">
        <v>55.27</v>
      </c>
      <c r="F33" s="8" t="s">
        <v>34</v>
      </c>
      <c r="G33" s="8" t="s">
        <v>41</v>
      </c>
      <c r="H33" s="8" t="s">
        <v>42</v>
      </c>
      <c r="I33" s="8" t="s">
        <v>41</v>
      </c>
      <c r="J33" s="8" t="s">
        <v>49</v>
      </c>
      <c r="K33" s="8" t="s">
        <v>50</v>
      </c>
      <c r="L33" s="8" t="s">
        <v>49</v>
      </c>
      <c r="M33" s="8" t="s">
        <v>51</v>
      </c>
      <c r="N33" s="8" t="s">
        <v>52</v>
      </c>
      <c r="O33" s="8" t="s">
        <v>51</v>
      </c>
      <c r="P33" s="8" t="s">
        <v>32</v>
      </c>
      <c r="T33" s="8">
        <f>MATCH(D33,Allocation!A:A,0)</f>
        <v>51</v>
      </c>
    </row>
    <row r="34" spans="1:20" x14ac:dyDescent="0.35">
      <c r="A34" s="8" t="s">
        <v>31</v>
      </c>
      <c r="B34" s="8" t="s">
        <v>37</v>
      </c>
      <c r="C34" s="8" t="s">
        <v>6</v>
      </c>
      <c r="D34" s="8" t="s">
        <v>48</v>
      </c>
      <c r="E34" s="8">
        <v>0</v>
      </c>
      <c r="F34" s="8" t="s">
        <v>34</v>
      </c>
      <c r="G34" s="8" t="s">
        <v>41</v>
      </c>
      <c r="H34" s="8" t="s">
        <v>42</v>
      </c>
      <c r="I34" s="8" t="s">
        <v>41</v>
      </c>
      <c r="J34" s="8" t="s">
        <v>49</v>
      </c>
      <c r="K34" s="8" t="s">
        <v>50</v>
      </c>
      <c r="L34" s="8" t="s">
        <v>49</v>
      </c>
      <c r="M34" s="8" t="s">
        <v>51</v>
      </c>
      <c r="N34" s="8" t="s">
        <v>52</v>
      </c>
      <c r="O34" s="8" t="s">
        <v>51</v>
      </c>
      <c r="P34" s="8" t="s">
        <v>32</v>
      </c>
      <c r="T34" s="8">
        <f>MATCH(D34,Allocation!A:A,0)</f>
        <v>51</v>
      </c>
    </row>
    <row r="35" spans="1:20" x14ac:dyDescent="0.35">
      <c r="A35" s="8" t="s">
        <v>167</v>
      </c>
      <c r="B35" s="8" t="s">
        <v>32</v>
      </c>
      <c r="C35" s="8" t="s">
        <v>8</v>
      </c>
      <c r="D35" s="8" t="s">
        <v>48</v>
      </c>
      <c r="E35" s="8">
        <v>-145.62</v>
      </c>
      <c r="F35" s="8" t="s">
        <v>169</v>
      </c>
      <c r="G35" s="8" t="s">
        <v>41</v>
      </c>
      <c r="H35" s="8" t="s">
        <v>42</v>
      </c>
      <c r="I35" s="8" t="s">
        <v>41</v>
      </c>
      <c r="J35" s="8" t="s">
        <v>49</v>
      </c>
      <c r="K35" s="8" t="s">
        <v>50</v>
      </c>
      <c r="L35" s="8" t="s">
        <v>49</v>
      </c>
      <c r="M35" s="8" t="s">
        <v>51</v>
      </c>
      <c r="N35" s="8" t="s">
        <v>52</v>
      </c>
      <c r="O35" s="8" t="s">
        <v>51</v>
      </c>
      <c r="P35" s="8" t="s">
        <v>32</v>
      </c>
      <c r="T35" s="8">
        <f>MATCH(D35,Allocation!A:A,0)</f>
        <v>51</v>
      </c>
    </row>
    <row r="36" spans="1:20" x14ac:dyDescent="0.35">
      <c r="A36" s="8" t="s">
        <v>171</v>
      </c>
      <c r="B36" s="8" t="s">
        <v>172</v>
      </c>
      <c r="C36" s="8" t="s">
        <v>9</v>
      </c>
      <c r="D36" s="8" t="s">
        <v>48</v>
      </c>
      <c r="E36" s="8">
        <v>-438.53</v>
      </c>
      <c r="F36" s="8" t="s">
        <v>169</v>
      </c>
      <c r="G36" s="8" t="s">
        <v>41</v>
      </c>
      <c r="H36" s="8" t="s">
        <v>42</v>
      </c>
      <c r="I36" s="8" t="s">
        <v>41</v>
      </c>
      <c r="J36" s="8" t="s">
        <v>49</v>
      </c>
      <c r="K36" s="8" t="s">
        <v>50</v>
      </c>
      <c r="L36" s="8" t="s">
        <v>49</v>
      </c>
      <c r="M36" s="8" t="s">
        <v>51</v>
      </c>
      <c r="N36" s="8" t="s">
        <v>52</v>
      </c>
      <c r="O36" s="8" t="s">
        <v>51</v>
      </c>
      <c r="P36" s="8" t="s">
        <v>32</v>
      </c>
      <c r="T36" s="8">
        <f>MATCH(D36,Allocation!A:A,0)</f>
        <v>51</v>
      </c>
    </row>
    <row r="37" spans="1:20" x14ac:dyDescent="0.35">
      <c r="A37" s="8" t="s">
        <v>173</v>
      </c>
      <c r="B37" s="8" t="s">
        <v>174</v>
      </c>
      <c r="C37" s="8" t="s">
        <v>10</v>
      </c>
      <c r="D37" s="8" t="s">
        <v>48</v>
      </c>
      <c r="E37" s="8">
        <v>528.88</v>
      </c>
      <c r="F37" s="8" t="s">
        <v>34</v>
      </c>
      <c r="G37" s="8" t="s">
        <v>41</v>
      </c>
      <c r="H37" s="8" t="s">
        <v>42</v>
      </c>
      <c r="I37" s="8" t="s">
        <v>41</v>
      </c>
      <c r="J37" s="8" t="s">
        <v>49</v>
      </c>
      <c r="K37" s="8" t="s">
        <v>50</v>
      </c>
      <c r="L37" s="8" t="s">
        <v>49</v>
      </c>
      <c r="M37" s="8" t="s">
        <v>51</v>
      </c>
      <c r="N37" s="8" t="s">
        <v>52</v>
      </c>
      <c r="O37" s="8" t="s">
        <v>51</v>
      </c>
      <c r="P37" s="8" t="s">
        <v>32</v>
      </c>
      <c r="T37" s="8">
        <f>MATCH(D37,Allocation!A:A,0)</f>
        <v>51</v>
      </c>
    </row>
    <row r="38" spans="1:20" x14ac:dyDescent="0.35">
      <c r="A38" s="8" t="s">
        <v>175</v>
      </c>
      <c r="B38" s="8" t="s">
        <v>172</v>
      </c>
      <c r="C38" s="8" t="s">
        <v>9</v>
      </c>
      <c r="D38" s="8" t="s">
        <v>48</v>
      </c>
      <c r="E38" s="8">
        <v>-145.62</v>
      </c>
      <c r="F38" s="8" t="s">
        <v>169</v>
      </c>
      <c r="G38" s="8" t="s">
        <v>41</v>
      </c>
      <c r="H38" s="8" t="s">
        <v>42</v>
      </c>
      <c r="I38" s="8" t="s">
        <v>41</v>
      </c>
      <c r="J38" s="8" t="s">
        <v>49</v>
      </c>
      <c r="K38" s="8" t="s">
        <v>50</v>
      </c>
      <c r="L38" s="8" t="s">
        <v>49</v>
      </c>
      <c r="M38" s="8" t="s">
        <v>51</v>
      </c>
      <c r="N38" s="8" t="s">
        <v>52</v>
      </c>
      <c r="O38" s="8" t="s">
        <v>51</v>
      </c>
      <c r="P38" s="8" t="s">
        <v>32</v>
      </c>
      <c r="T38" s="8">
        <f>MATCH(D38,Allocation!A:A,0)</f>
        <v>51</v>
      </c>
    </row>
    <row r="39" spans="1:20" x14ac:dyDescent="0.35">
      <c r="A39" s="8" t="s">
        <v>175</v>
      </c>
      <c r="B39" s="8" t="s">
        <v>32</v>
      </c>
      <c r="C39" s="8" t="s">
        <v>8</v>
      </c>
      <c r="D39" s="8" t="s">
        <v>48</v>
      </c>
      <c r="E39" s="8">
        <v>145.62</v>
      </c>
      <c r="F39" s="8" t="s">
        <v>34</v>
      </c>
      <c r="G39" s="8" t="s">
        <v>41</v>
      </c>
      <c r="H39" s="8" t="s">
        <v>42</v>
      </c>
      <c r="I39" s="8" t="s">
        <v>41</v>
      </c>
      <c r="J39" s="8" t="s">
        <v>49</v>
      </c>
      <c r="K39" s="8" t="s">
        <v>50</v>
      </c>
      <c r="L39" s="8" t="s">
        <v>49</v>
      </c>
      <c r="M39" s="8" t="s">
        <v>51</v>
      </c>
      <c r="N39" s="8" t="s">
        <v>52</v>
      </c>
      <c r="O39" s="8" t="s">
        <v>51</v>
      </c>
      <c r="P39" s="8" t="s">
        <v>32</v>
      </c>
      <c r="T39" s="8">
        <f>MATCH(D39,Allocation!A:A,0)</f>
        <v>51</v>
      </c>
    </row>
    <row r="40" spans="1:20" x14ac:dyDescent="0.35">
      <c r="A40" s="8" t="s">
        <v>31</v>
      </c>
      <c r="B40" s="8" t="s">
        <v>32</v>
      </c>
      <c r="C40" s="8" t="s">
        <v>6</v>
      </c>
      <c r="D40" s="8" t="s">
        <v>53</v>
      </c>
      <c r="E40" s="8">
        <v>56.91</v>
      </c>
      <c r="F40" s="8" t="s">
        <v>34</v>
      </c>
      <c r="G40" s="8" t="s">
        <v>41</v>
      </c>
      <c r="H40" s="8" t="s">
        <v>42</v>
      </c>
      <c r="I40" s="8" t="s">
        <v>41</v>
      </c>
      <c r="J40" s="8" t="s">
        <v>54</v>
      </c>
      <c r="K40" s="8" t="s">
        <v>55</v>
      </c>
      <c r="L40" s="8" t="s">
        <v>54</v>
      </c>
      <c r="M40" s="8" t="s">
        <v>56</v>
      </c>
      <c r="N40" s="8" t="s">
        <v>57</v>
      </c>
      <c r="O40" s="8" t="s">
        <v>56</v>
      </c>
      <c r="P40" s="8" t="s">
        <v>32</v>
      </c>
      <c r="T40" s="8">
        <f>MATCH(D40,Allocation!A:A,0)</f>
        <v>47</v>
      </c>
    </row>
    <row r="41" spans="1:20" x14ac:dyDescent="0.35">
      <c r="A41" s="8" t="s">
        <v>31</v>
      </c>
      <c r="B41" s="8" t="s">
        <v>37</v>
      </c>
      <c r="C41" s="8" t="s">
        <v>6</v>
      </c>
      <c r="D41" s="8" t="s">
        <v>53</v>
      </c>
      <c r="E41" s="8">
        <v>0</v>
      </c>
      <c r="F41" s="8" t="s">
        <v>34</v>
      </c>
      <c r="G41" s="8" t="s">
        <v>41</v>
      </c>
      <c r="H41" s="8" t="s">
        <v>42</v>
      </c>
      <c r="I41" s="8" t="s">
        <v>41</v>
      </c>
      <c r="J41" s="8" t="s">
        <v>54</v>
      </c>
      <c r="K41" s="8" t="s">
        <v>55</v>
      </c>
      <c r="L41" s="8" t="s">
        <v>54</v>
      </c>
      <c r="M41" s="8" t="s">
        <v>56</v>
      </c>
      <c r="N41" s="8" t="s">
        <v>57</v>
      </c>
      <c r="O41" s="8" t="s">
        <v>56</v>
      </c>
      <c r="P41" s="8" t="s">
        <v>32</v>
      </c>
      <c r="T41" s="8">
        <f>MATCH(D41,Allocation!A:A,0)</f>
        <v>47</v>
      </c>
    </row>
    <row r="42" spans="1:20" x14ac:dyDescent="0.35">
      <c r="A42" s="8" t="s">
        <v>167</v>
      </c>
      <c r="B42" s="8" t="s">
        <v>32</v>
      </c>
      <c r="C42" s="8" t="s">
        <v>8</v>
      </c>
      <c r="D42" s="8" t="s">
        <v>53</v>
      </c>
      <c r="E42" s="8">
        <v>-133.19</v>
      </c>
      <c r="F42" s="8" t="s">
        <v>169</v>
      </c>
      <c r="G42" s="8" t="s">
        <v>41</v>
      </c>
      <c r="H42" s="8" t="s">
        <v>42</v>
      </c>
      <c r="I42" s="8" t="s">
        <v>41</v>
      </c>
      <c r="J42" s="8" t="s">
        <v>54</v>
      </c>
      <c r="K42" s="8" t="s">
        <v>55</v>
      </c>
      <c r="L42" s="8" t="s">
        <v>54</v>
      </c>
      <c r="M42" s="8" t="s">
        <v>56</v>
      </c>
      <c r="N42" s="8" t="s">
        <v>57</v>
      </c>
      <c r="O42" s="8" t="s">
        <v>56</v>
      </c>
      <c r="P42" s="8" t="s">
        <v>32</v>
      </c>
      <c r="T42" s="8">
        <f>MATCH(D42,Allocation!A:A,0)</f>
        <v>47</v>
      </c>
    </row>
    <row r="43" spans="1:20" x14ac:dyDescent="0.35">
      <c r="A43" s="8" t="s">
        <v>171</v>
      </c>
      <c r="B43" s="8" t="s">
        <v>172</v>
      </c>
      <c r="C43" s="8" t="s">
        <v>9</v>
      </c>
      <c r="D43" s="8" t="s">
        <v>53</v>
      </c>
      <c r="E43" s="8">
        <v>-468.22</v>
      </c>
      <c r="F43" s="8" t="s">
        <v>169</v>
      </c>
      <c r="G43" s="8" t="s">
        <v>41</v>
      </c>
      <c r="H43" s="8" t="s">
        <v>42</v>
      </c>
      <c r="I43" s="8" t="s">
        <v>41</v>
      </c>
      <c r="J43" s="8" t="s">
        <v>54</v>
      </c>
      <c r="K43" s="8" t="s">
        <v>55</v>
      </c>
      <c r="L43" s="8" t="s">
        <v>54</v>
      </c>
      <c r="M43" s="8" t="s">
        <v>56</v>
      </c>
      <c r="N43" s="8" t="s">
        <v>57</v>
      </c>
      <c r="O43" s="8" t="s">
        <v>56</v>
      </c>
      <c r="P43" s="8" t="s">
        <v>32</v>
      </c>
      <c r="T43" s="8">
        <f>MATCH(D43,Allocation!A:A,0)</f>
        <v>47</v>
      </c>
    </row>
    <row r="44" spans="1:20" x14ac:dyDescent="0.35">
      <c r="A44" s="8" t="s">
        <v>173</v>
      </c>
      <c r="B44" s="8" t="s">
        <v>174</v>
      </c>
      <c r="C44" s="8" t="s">
        <v>10</v>
      </c>
      <c r="D44" s="8" t="s">
        <v>53</v>
      </c>
      <c r="E44" s="8">
        <v>544.5</v>
      </c>
      <c r="F44" s="8" t="s">
        <v>34</v>
      </c>
      <c r="G44" s="8" t="s">
        <v>41</v>
      </c>
      <c r="H44" s="8" t="s">
        <v>42</v>
      </c>
      <c r="I44" s="8" t="s">
        <v>41</v>
      </c>
      <c r="J44" s="8" t="s">
        <v>54</v>
      </c>
      <c r="K44" s="8" t="s">
        <v>55</v>
      </c>
      <c r="L44" s="8" t="s">
        <v>54</v>
      </c>
      <c r="M44" s="8" t="s">
        <v>56</v>
      </c>
      <c r="N44" s="8" t="s">
        <v>57</v>
      </c>
      <c r="O44" s="8" t="s">
        <v>56</v>
      </c>
      <c r="P44" s="8" t="s">
        <v>32</v>
      </c>
      <c r="T44" s="8">
        <f>MATCH(D44,Allocation!A:A,0)</f>
        <v>47</v>
      </c>
    </row>
    <row r="45" spans="1:20" x14ac:dyDescent="0.35">
      <c r="A45" s="8" t="s">
        <v>175</v>
      </c>
      <c r="B45" s="8" t="s">
        <v>172</v>
      </c>
      <c r="C45" s="8" t="s">
        <v>9</v>
      </c>
      <c r="D45" s="8" t="s">
        <v>53</v>
      </c>
      <c r="E45" s="8">
        <v>-133.19</v>
      </c>
      <c r="F45" s="8" t="s">
        <v>169</v>
      </c>
      <c r="G45" s="8" t="s">
        <v>41</v>
      </c>
      <c r="H45" s="8" t="s">
        <v>42</v>
      </c>
      <c r="I45" s="8" t="s">
        <v>41</v>
      </c>
      <c r="J45" s="8" t="s">
        <v>54</v>
      </c>
      <c r="K45" s="8" t="s">
        <v>55</v>
      </c>
      <c r="L45" s="8" t="s">
        <v>54</v>
      </c>
      <c r="M45" s="8" t="s">
        <v>56</v>
      </c>
      <c r="N45" s="8" t="s">
        <v>57</v>
      </c>
      <c r="O45" s="8" t="s">
        <v>56</v>
      </c>
      <c r="P45" s="8" t="s">
        <v>32</v>
      </c>
      <c r="T45" s="8">
        <f>MATCH(D45,Allocation!A:A,0)</f>
        <v>47</v>
      </c>
    </row>
    <row r="46" spans="1:20" x14ac:dyDescent="0.35">
      <c r="A46" s="8" t="s">
        <v>175</v>
      </c>
      <c r="B46" s="8" t="s">
        <v>32</v>
      </c>
      <c r="C46" s="8" t="s">
        <v>8</v>
      </c>
      <c r="D46" s="8" t="s">
        <v>53</v>
      </c>
      <c r="E46" s="8">
        <v>133.19</v>
      </c>
      <c r="F46" s="8" t="s">
        <v>34</v>
      </c>
      <c r="G46" s="8" t="s">
        <v>41</v>
      </c>
      <c r="H46" s="8" t="s">
        <v>42</v>
      </c>
      <c r="I46" s="8" t="s">
        <v>41</v>
      </c>
      <c r="J46" s="8" t="s">
        <v>54</v>
      </c>
      <c r="K46" s="8" t="s">
        <v>55</v>
      </c>
      <c r="L46" s="8" t="s">
        <v>54</v>
      </c>
      <c r="M46" s="8" t="s">
        <v>56</v>
      </c>
      <c r="N46" s="8" t="s">
        <v>57</v>
      </c>
      <c r="O46" s="8" t="s">
        <v>56</v>
      </c>
      <c r="P46" s="8" t="s">
        <v>32</v>
      </c>
      <c r="T46" s="8">
        <f>MATCH(D46,Allocation!A:A,0)</f>
        <v>47</v>
      </c>
    </row>
    <row r="47" spans="1:20" x14ac:dyDescent="0.35">
      <c r="A47" s="8" t="s">
        <v>31</v>
      </c>
      <c r="B47" s="8" t="s">
        <v>32</v>
      </c>
      <c r="C47" s="8" t="s">
        <v>6</v>
      </c>
      <c r="D47" s="8" t="s">
        <v>58</v>
      </c>
      <c r="E47" s="8">
        <v>269.52999999999997</v>
      </c>
      <c r="F47" s="8" t="s">
        <v>34</v>
      </c>
      <c r="G47" s="8" t="s">
        <v>41</v>
      </c>
      <c r="H47" s="8" t="s">
        <v>42</v>
      </c>
      <c r="I47" s="8" t="s">
        <v>41</v>
      </c>
      <c r="J47" s="8" t="s">
        <v>59</v>
      </c>
      <c r="K47" s="8" t="s">
        <v>60</v>
      </c>
      <c r="L47" s="8" t="s">
        <v>59</v>
      </c>
      <c r="M47" s="8" t="s">
        <v>61</v>
      </c>
      <c r="N47" s="8" t="s">
        <v>62</v>
      </c>
      <c r="O47" s="8" t="s">
        <v>61</v>
      </c>
      <c r="P47" s="8" t="s">
        <v>32</v>
      </c>
      <c r="T47" s="8">
        <f>MATCH(D47,Allocation!A:A,0)</f>
        <v>14</v>
      </c>
    </row>
    <row r="48" spans="1:20" x14ac:dyDescent="0.35">
      <c r="A48" s="8" t="s">
        <v>31</v>
      </c>
      <c r="B48" s="8" t="s">
        <v>37</v>
      </c>
      <c r="C48" s="8" t="s">
        <v>6</v>
      </c>
      <c r="D48" s="8" t="s">
        <v>58</v>
      </c>
      <c r="E48" s="8">
        <v>0</v>
      </c>
      <c r="F48" s="8" t="s">
        <v>34</v>
      </c>
      <c r="G48" s="8" t="s">
        <v>41</v>
      </c>
      <c r="H48" s="8" t="s">
        <v>42</v>
      </c>
      <c r="I48" s="8" t="s">
        <v>41</v>
      </c>
      <c r="J48" s="8" t="s">
        <v>59</v>
      </c>
      <c r="K48" s="8" t="s">
        <v>60</v>
      </c>
      <c r="L48" s="8" t="s">
        <v>59</v>
      </c>
      <c r="M48" s="8" t="s">
        <v>61</v>
      </c>
      <c r="N48" s="8" t="s">
        <v>62</v>
      </c>
      <c r="O48" s="8" t="s">
        <v>61</v>
      </c>
      <c r="P48" s="8" t="s">
        <v>32</v>
      </c>
      <c r="T48" s="8">
        <f>MATCH(D48,Allocation!A:A,0)</f>
        <v>14</v>
      </c>
    </row>
    <row r="49" spans="1:20" x14ac:dyDescent="0.35">
      <c r="A49" s="8" t="s">
        <v>167</v>
      </c>
      <c r="B49" s="8" t="s">
        <v>32</v>
      </c>
      <c r="C49" s="8" t="s">
        <v>7</v>
      </c>
      <c r="D49" s="8" t="s">
        <v>58</v>
      </c>
      <c r="E49" s="8">
        <v>-283.11</v>
      </c>
      <c r="F49" s="8" t="s">
        <v>169</v>
      </c>
      <c r="G49" s="8" t="s">
        <v>41</v>
      </c>
      <c r="H49" s="8" t="s">
        <v>42</v>
      </c>
      <c r="I49" s="8" t="s">
        <v>41</v>
      </c>
      <c r="J49" s="8" t="s">
        <v>59</v>
      </c>
      <c r="K49" s="8" t="s">
        <v>60</v>
      </c>
      <c r="L49" s="8" t="s">
        <v>59</v>
      </c>
      <c r="M49" s="8" t="s">
        <v>61</v>
      </c>
      <c r="N49" s="8" t="s">
        <v>62</v>
      </c>
      <c r="O49" s="8" t="s">
        <v>61</v>
      </c>
      <c r="P49" s="8" t="s">
        <v>32</v>
      </c>
      <c r="T49" s="8">
        <f>MATCH(D49,Allocation!A:A,0)</f>
        <v>14</v>
      </c>
    </row>
    <row r="50" spans="1:20" x14ac:dyDescent="0.35">
      <c r="A50" s="8" t="s">
        <v>167</v>
      </c>
      <c r="B50" s="8" t="s">
        <v>32</v>
      </c>
      <c r="C50" s="8" t="s">
        <v>8</v>
      </c>
      <c r="D50" s="8" t="s">
        <v>58</v>
      </c>
      <c r="E50" s="8">
        <v>-878.99</v>
      </c>
      <c r="F50" s="8" t="s">
        <v>169</v>
      </c>
      <c r="G50" s="8" t="s">
        <v>41</v>
      </c>
      <c r="H50" s="8" t="s">
        <v>42</v>
      </c>
      <c r="I50" s="8" t="s">
        <v>41</v>
      </c>
      <c r="J50" s="8" t="s">
        <v>59</v>
      </c>
      <c r="K50" s="8" t="s">
        <v>60</v>
      </c>
      <c r="L50" s="8" t="s">
        <v>59</v>
      </c>
      <c r="M50" s="8" t="s">
        <v>61</v>
      </c>
      <c r="N50" s="8" t="s">
        <v>62</v>
      </c>
      <c r="O50" s="8" t="s">
        <v>61</v>
      </c>
      <c r="P50" s="8" t="s">
        <v>32</v>
      </c>
      <c r="T50" s="8">
        <f>MATCH(D50,Allocation!A:A,0)</f>
        <v>14</v>
      </c>
    </row>
    <row r="51" spans="1:20" x14ac:dyDescent="0.35">
      <c r="A51" s="8" t="s">
        <v>171</v>
      </c>
      <c r="B51" s="8" t="s">
        <v>172</v>
      </c>
      <c r="C51" s="8" t="s">
        <v>9</v>
      </c>
      <c r="D51" s="8" t="s">
        <v>58</v>
      </c>
      <c r="E51" s="8">
        <v>-1799.74</v>
      </c>
      <c r="F51" s="8" t="s">
        <v>169</v>
      </c>
      <c r="G51" s="8" t="s">
        <v>41</v>
      </c>
      <c r="H51" s="8" t="s">
        <v>42</v>
      </c>
      <c r="I51" s="8" t="s">
        <v>41</v>
      </c>
      <c r="J51" s="8" t="s">
        <v>59</v>
      </c>
      <c r="K51" s="8" t="s">
        <v>60</v>
      </c>
      <c r="L51" s="8" t="s">
        <v>59</v>
      </c>
      <c r="M51" s="8" t="s">
        <v>61</v>
      </c>
      <c r="N51" s="8" t="s">
        <v>62</v>
      </c>
      <c r="O51" s="8" t="s">
        <v>61</v>
      </c>
      <c r="P51" s="8" t="s">
        <v>32</v>
      </c>
      <c r="T51" s="8">
        <f>MATCH(D51,Allocation!A:A,0)</f>
        <v>14</v>
      </c>
    </row>
    <row r="52" spans="1:20" x14ac:dyDescent="0.35">
      <c r="A52" s="8" t="s">
        <v>173</v>
      </c>
      <c r="B52" s="8" t="s">
        <v>174</v>
      </c>
      <c r="C52" s="8" t="s">
        <v>10</v>
      </c>
      <c r="D52" s="8" t="s">
        <v>58</v>
      </c>
      <c r="E52" s="8">
        <v>2692.31</v>
      </c>
      <c r="F52" s="8" t="s">
        <v>34</v>
      </c>
      <c r="G52" s="8" t="s">
        <v>41</v>
      </c>
      <c r="H52" s="8" t="s">
        <v>42</v>
      </c>
      <c r="I52" s="8" t="s">
        <v>41</v>
      </c>
      <c r="J52" s="8" t="s">
        <v>59</v>
      </c>
      <c r="K52" s="8" t="s">
        <v>60</v>
      </c>
      <c r="L52" s="8" t="s">
        <v>59</v>
      </c>
      <c r="M52" s="8" t="s">
        <v>61</v>
      </c>
      <c r="N52" s="8" t="s">
        <v>62</v>
      </c>
      <c r="O52" s="8" t="s">
        <v>61</v>
      </c>
      <c r="P52" s="8" t="s">
        <v>32</v>
      </c>
      <c r="T52" s="8">
        <f>MATCH(D52,Allocation!A:A,0)</f>
        <v>14</v>
      </c>
    </row>
    <row r="53" spans="1:20" x14ac:dyDescent="0.35">
      <c r="A53" s="8" t="s">
        <v>175</v>
      </c>
      <c r="B53" s="8" t="s">
        <v>172</v>
      </c>
      <c r="C53" s="8" t="s">
        <v>9</v>
      </c>
      <c r="D53" s="8" t="s">
        <v>58</v>
      </c>
      <c r="E53" s="8">
        <v>-878.99</v>
      </c>
      <c r="F53" s="8" t="s">
        <v>169</v>
      </c>
      <c r="G53" s="8" t="s">
        <v>41</v>
      </c>
      <c r="H53" s="8" t="s">
        <v>42</v>
      </c>
      <c r="I53" s="8" t="s">
        <v>41</v>
      </c>
      <c r="J53" s="8" t="s">
        <v>59</v>
      </c>
      <c r="K53" s="8" t="s">
        <v>60</v>
      </c>
      <c r="L53" s="8" t="s">
        <v>59</v>
      </c>
      <c r="M53" s="8" t="s">
        <v>61</v>
      </c>
      <c r="N53" s="8" t="s">
        <v>62</v>
      </c>
      <c r="O53" s="8" t="s">
        <v>61</v>
      </c>
      <c r="P53" s="8" t="s">
        <v>32</v>
      </c>
      <c r="T53" s="8">
        <f>MATCH(D53,Allocation!A:A,0)</f>
        <v>14</v>
      </c>
    </row>
    <row r="54" spans="1:20" x14ac:dyDescent="0.35">
      <c r="A54" s="8" t="s">
        <v>175</v>
      </c>
      <c r="B54" s="8" t="s">
        <v>32</v>
      </c>
      <c r="C54" s="8" t="s">
        <v>8</v>
      </c>
      <c r="D54" s="8" t="s">
        <v>58</v>
      </c>
      <c r="E54" s="8">
        <v>878.99</v>
      </c>
      <c r="F54" s="8" t="s">
        <v>34</v>
      </c>
      <c r="G54" s="8" t="s">
        <v>41</v>
      </c>
      <c r="H54" s="8" t="s">
        <v>42</v>
      </c>
      <c r="I54" s="8" t="s">
        <v>41</v>
      </c>
      <c r="J54" s="8" t="s">
        <v>59</v>
      </c>
      <c r="K54" s="8" t="s">
        <v>60</v>
      </c>
      <c r="L54" s="8" t="s">
        <v>59</v>
      </c>
      <c r="M54" s="8" t="s">
        <v>61</v>
      </c>
      <c r="N54" s="8" t="s">
        <v>62</v>
      </c>
      <c r="O54" s="8" t="s">
        <v>61</v>
      </c>
      <c r="P54" s="8" t="s">
        <v>32</v>
      </c>
      <c r="T54" s="8">
        <f>MATCH(D54,Allocation!A:A,0)</f>
        <v>14</v>
      </c>
    </row>
    <row r="55" spans="1:20" x14ac:dyDescent="0.35">
      <c r="A55" s="8" t="s">
        <v>31</v>
      </c>
      <c r="B55" s="8" t="s">
        <v>32</v>
      </c>
      <c r="C55" s="8" t="s">
        <v>6</v>
      </c>
      <c r="D55" s="8" t="s">
        <v>63</v>
      </c>
      <c r="E55" s="8">
        <v>272.7</v>
      </c>
      <c r="F55" s="8" t="s">
        <v>34</v>
      </c>
      <c r="G55" s="8" t="s">
        <v>41</v>
      </c>
      <c r="H55" s="8" t="s">
        <v>42</v>
      </c>
      <c r="I55" s="8" t="s">
        <v>41</v>
      </c>
      <c r="J55" s="8" t="s">
        <v>64</v>
      </c>
      <c r="K55" s="8" t="s">
        <v>65</v>
      </c>
      <c r="L55" s="8" t="s">
        <v>64</v>
      </c>
      <c r="M55" s="8" t="s">
        <v>66</v>
      </c>
      <c r="N55" s="8" t="s">
        <v>67</v>
      </c>
      <c r="O55" s="8" t="s">
        <v>66</v>
      </c>
      <c r="P55" s="8" t="s">
        <v>32</v>
      </c>
      <c r="T55" s="8">
        <f>MATCH(D55,Allocation!A:A,0)</f>
        <v>45</v>
      </c>
    </row>
    <row r="56" spans="1:20" x14ac:dyDescent="0.35">
      <c r="A56" s="8" t="s">
        <v>31</v>
      </c>
      <c r="B56" s="8" t="s">
        <v>37</v>
      </c>
      <c r="C56" s="8" t="s">
        <v>6</v>
      </c>
      <c r="D56" s="8" t="s">
        <v>63</v>
      </c>
      <c r="E56" s="8">
        <v>0</v>
      </c>
      <c r="F56" s="8" t="s">
        <v>34</v>
      </c>
      <c r="G56" s="8" t="s">
        <v>41</v>
      </c>
      <c r="H56" s="8" t="s">
        <v>42</v>
      </c>
      <c r="I56" s="8" t="s">
        <v>41</v>
      </c>
      <c r="J56" s="8" t="s">
        <v>64</v>
      </c>
      <c r="K56" s="8" t="s">
        <v>65</v>
      </c>
      <c r="L56" s="8" t="s">
        <v>64</v>
      </c>
      <c r="M56" s="8" t="s">
        <v>66</v>
      </c>
      <c r="N56" s="8" t="s">
        <v>67</v>
      </c>
      <c r="O56" s="8" t="s">
        <v>66</v>
      </c>
      <c r="P56" s="8" t="s">
        <v>32</v>
      </c>
      <c r="T56" s="8">
        <f>MATCH(D56,Allocation!A:A,0)</f>
        <v>45</v>
      </c>
    </row>
    <row r="57" spans="1:20" x14ac:dyDescent="0.35">
      <c r="A57" s="8" t="s">
        <v>167</v>
      </c>
      <c r="B57" s="8" t="s">
        <v>170</v>
      </c>
      <c r="C57" s="8" t="s">
        <v>7</v>
      </c>
      <c r="D57" s="8" t="s">
        <v>63</v>
      </c>
      <c r="E57" s="8">
        <v>-97.13</v>
      </c>
      <c r="F57" s="8" t="s">
        <v>169</v>
      </c>
      <c r="G57" s="8" t="s">
        <v>41</v>
      </c>
      <c r="H57" s="8" t="s">
        <v>42</v>
      </c>
      <c r="I57" s="8" t="s">
        <v>41</v>
      </c>
      <c r="J57" s="8" t="s">
        <v>64</v>
      </c>
      <c r="K57" s="8" t="s">
        <v>65</v>
      </c>
      <c r="L57" s="8" t="s">
        <v>64</v>
      </c>
      <c r="M57" s="8" t="s">
        <v>66</v>
      </c>
      <c r="N57" s="8" t="s">
        <v>67</v>
      </c>
      <c r="O57" s="8" t="s">
        <v>66</v>
      </c>
      <c r="P57" s="8" t="s">
        <v>32</v>
      </c>
      <c r="T57" s="8">
        <f>MATCH(D57,Allocation!A:A,0)</f>
        <v>45</v>
      </c>
    </row>
    <row r="58" spans="1:20" x14ac:dyDescent="0.35">
      <c r="A58" s="8" t="s">
        <v>167</v>
      </c>
      <c r="B58" s="8" t="s">
        <v>32</v>
      </c>
      <c r="C58" s="8" t="s">
        <v>8</v>
      </c>
      <c r="D58" s="8" t="s">
        <v>63</v>
      </c>
      <c r="E58" s="8">
        <v>-924.42</v>
      </c>
      <c r="F58" s="8" t="s">
        <v>169</v>
      </c>
      <c r="G58" s="8" t="s">
        <v>41</v>
      </c>
      <c r="H58" s="8" t="s">
        <v>42</v>
      </c>
      <c r="I58" s="8" t="s">
        <v>41</v>
      </c>
      <c r="J58" s="8" t="s">
        <v>64</v>
      </c>
      <c r="K58" s="8" t="s">
        <v>65</v>
      </c>
      <c r="L58" s="8" t="s">
        <v>64</v>
      </c>
      <c r="M58" s="8" t="s">
        <v>66</v>
      </c>
      <c r="N58" s="8" t="s">
        <v>67</v>
      </c>
      <c r="O58" s="8" t="s">
        <v>66</v>
      </c>
      <c r="P58" s="8" t="s">
        <v>32</v>
      </c>
      <c r="T58" s="8">
        <f>MATCH(D58,Allocation!A:A,0)</f>
        <v>45</v>
      </c>
    </row>
    <row r="59" spans="1:20" x14ac:dyDescent="0.35">
      <c r="A59" s="8" t="s">
        <v>171</v>
      </c>
      <c r="B59" s="8" t="s">
        <v>172</v>
      </c>
      <c r="C59" s="8" t="s">
        <v>9</v>
      </c>
      <c r="D59" s="8" t="s">
        <v>63</v>
      </c>
      <c r="E59" s="8">
        <v>-1935.2</v>
      </c>
      <c r="F59" s="8" t="s">
        <v>169</v>
      </c>
      <c r="G59" s="8" t="s">
        <v>41</v>
      </c>
      <c r="H59" s="8" t="s">
        <v>42</v>
      </c>
      <c r="I59" s="8" t="s">
        <v>41</v>
      </c>
      <c r="J59" s="8" t="s">
        <v>64</v>
      </c>
      <c r="K59" s="8" t="s">
        <v>65</v>
      </c>
      <c r="L59" s="8" t="s">
        <v>64</v>
      </c>
      <c r="M59" s="8" t="s">
        <v>66</v>
      </c>
      <c r="N59" s="8" t="s">
        <v>67</v>
      </c>
      <c r="O59" s="8" t="s">
        <v>66</v>
      </c>
      <c r="P59" s="8" t="s">
        <v>32</v>
      </c>
      <c r="T59" s="8">
        <f>MATCH(D59,Allocation!A:A,0)</f>
        <v>45</v>
      </c>
    </row>
    <row r="60" spans="1:20" x14ac:dyDescent="0.35">
      <c r="A60" s="8" t="s">
        <v>173</v>
      </c>
      <c r="B60" s="8" t="s">
        <v>174</v>
      </c>
      <c r="C60" s="8" t="s">
        <v>10</v>
      </c>
      <c r="D60" s="8" t="s">
        <v>63</v>
      </c>
      <c r="E60" s="8">
        <v>2684.05</v>
      </c>
      <c r="F60" s="8" t="s">
        <v>34</v>
      </c>
      <c r="G60" s="8" t="s">
        <v>41</v>
      </c>
      <c r="H60" s="8" t="s">
        <v>42</v>
      </c>
      <c r="I60" s="8" t="s">
        <v>41</v>
      </c>
      <c r="J60" s="8" t="s">
        <v>64</v>
      </c>
      <c r="K60" s="8" t="s">
        <v>65</v>
      </c>
      <c r="L60" s="8" t="s">
        <v>64</v>
      </c>
      <c r="M60" s="8" t="s">
        <v>66</v>
      </c>
      <c r="N60" s="8" t="s">
        <v>67</v>
      </c>
      <c r="O60" s="8" t="s">
        <v>66</v>
      </c>
      <c r="P60" s="8" t="s">
        <v>32</v>
      </c>
      <c r="T60" s="8">
        <f>MATCH(D60,Allocation!A:A,0)</f>
        <v>45</v>
      </c>
    </row>
    <row r="61" spans="1:20" x14ac:dyDescent="0.35">
      <c r="A61" s="8" t="s">
        <v>175</v>
      </c>
      <c r="B61" s="8" t="s">
        <v>172</v>
      </c>
      <c r="C61" s="8" t="s">
        <v>9</v>
      </c>
      <c r="D61" s="8" t="s">
        <v>63</v>
      </c>
      <c r="E61" s="8">
        <v>-924.42</v>
      </c>
      <c r="F61" s="8" t="s">
        <v>169</v>
      </c>
      <c r="G61" s="8" t="s">
        <v>41</v>
      </c>
      <c r="H61" s="8" t="s">
        <v>42</v>
      </c>
      <c r="I61" s="8" t="s">
        <v>41</v>
      </c>
      <c r="J61" s="8" t="s">
        <v>64</v>
      </c>
      <c r="K61" s="8" t="s">
        <v>65</v>
      </c>
      <c r="L61" s="8" t="s">
        <v>64</v>
      </c>
      <c r="M61" s="8" t="s">
        <v>66</v>
      </c>
      <c r="N61" s="8" t="s">
        <v>67</v>
      </c>
      <c r="O61" s="8" t="s">
        <v>66</v>
      </c>
      <c r="P61" s="8" t="s">
        <v>32</v>
      </c>
      <c r="T61" s="8">
        <f>MATCH(D61,Allocation!A:A,0)</f>
        <v>45</v>
      </c>
    </row>
    <row r="62" spans="1:20" x14ac:dyDescent="0.35">
      <c r="A62" s="8" t="s">
        <v>175</v>
      </c>
      <c r="B62" s="8" t="s">
        <v>32</v>
      </c>
      <c r="C62" s="8" t="s">
        <v>8</v>
      </c>
      <c r="D62" s="8" t="s">
        <v>63</v>
      </c>
      <c r="E62" s="8">
        <v>924.42</v>
      </c>
      <c r="F62" s="8" t="s">
        <v>34</v>
      </c>
      <c r="G62" s="8" t="s">
        <v>41</v>
      </c>
      <c r="H62" s="8" t="s">
        <v>42</v>
      </c>
      <c r="I62" s="8" t="s">
        <v>41</v>
      </c>
      <c r="J62" s="8" t="s">
        <v>64</v>
      </c>
      <c r="K62" s="8" t="s">
        <v>65</v>
      </c>
      <c r="L62" s="8" t="s">
        <v>64</v>
      </c>
      <c r="M62" s="8" t="s">
        <v>66</v>
      </c>
      <c r="N62" s="8" t="s">
        <v>67</v>
      </c>
      <c r="O62" s="8" t="s">
        <v>66</v>
      </c>
      <c r="P62" s="8" t="s">
        <v>32</v>
      </c>
      <c r="T62" s="8">
        <f>MATCH(D62,Allocation!A:A,0)</f>
        <v>45</v>
      </c>
    </row>
    <row r="63" spans="1:20" x14ac:dyDescent="0.35">
      <c r="A63" s="8" t="s">
        <v>31</v>
      </c>
      <c r="B63" s="8" t="s">
        <v>32</v>
      </c>
      <c r="C63" s="8" t="s">
        <v>6</v>
      </c>
      <c r="D63" s="8" t="s">
        <v>309</v>
      </c>
      <c r="E63" s="8">
        <v>67.92</v>
      </c>
      <c r="F63" s="8" t="s">
        <v>34</v>
      </c>
      <c r="G63" s="8" t="s">
        <v>41</v>
      </c>
      <c r="H63" s="8" t="s">
        <v>42</v>
      </c>
      <c r="I63" s="8" t="s">
        <v>41</v>
      </c>
      <c r="J63" s="8" t="s">
        <v>163</v>
      </c>
      <c r="K63" s="8" t="s">
        <v>164</v>
      </c>
      <c r="L63" s="8" t="s">
        <v>163</v>
      </c>
      <c r="M63" s="8" t="s">
        <v>165</v>
      </c>
      <c r="N63" s="8" t="s">
        <v>166</v>
      </c>
      <c r="O63" s="8" t="s">
        <v>165</v>
      </c>
      <c r="P63" s="8" t="s">
        <v>32</v>
      </c>
      <c r="T63" s="8">
        <f>MATCH(D63,Allocation!A:A,0)</f>
        <v>6</v>
      </c>
    </row>
    <row r="64" spans="1:20" x14ac:dyDescent="0.35">
      <c r="A64" s="8" t="s">
        <v>31</v>
      </c>
      <c r="B64" s="8" t="s">
        <v>37</v>
      </c>
      <c r="C64" s="8" t="s">
        <v>6</v>
      </c>
      <c r="D64" s="8" t="s">
        <v>309</v>
      </c>
      <c r="E64" s="8">
        <v>0</v>
      </c>
      <c r="F64" s="8" t="s">
        <v>34</v>
      </c>
      <c r="G64" s="8" t="s">
        <v>41</v>
      </c>
      <c r="H64" s="8" t="s">
        <v>42</v>
      </c>
      <c r="I64" s="8" t="s">
        <v>41</v>
      </c>
      <c r="J64" s="8" t="s">
        <v>163</v>
      </c>
      <c r="K64" s="8" t="s">
        <v>164</v>
      </c>
      <c r="L64" s="8" t="s">
        <v>163</v>
      </c>
      <c r="M64" s="8" t="s">
        <v>165</v>
      </c>
      <c r="N64" s="8" t="s">
        <v>166</v>
      </c>
      <c r="O64" s="8" t="s">
        <v>165</v>
      </c>
      <c r="P64" s="8" t="s">
        <v>32</v>
      </c>
      <c r="T64" s="8">
        <f>MATCH(D64,Allocation!A:A,0)</f>
        <v>6</v>
      </c>
    </row>
    <row r="65" spans="1:20" x14ac:dyDescent="0.35">
      <c r="A65" s="8" t="s">
        <v>167</v>
      </c>
      <c r="B65" s="8" t="s">
        <v>32</v>
      </c>
      <c r="C65" s="8" t="s">
        <v>8</v>
      </c>
      <c r="D65" s="8" t="s">
        <v>309</v>
      </c>
      <c r="E65" s="8">
        <v>-165.11</v>
      </c>
      <c r="F65" s="8" t="s">
        <v>169</v>
      </c>
      <c r="G65" s="8" t="s">
        <v>41</v>
      </c>
      <c r="H65" s="8" t="s">
        <v>42</v>
      </c>
      <c r="I65" s="8" t="s">
        <v>41</v>
      </c>
      <c r="J65" s="8" t="s">
        <v>163</v>
      </c>
      <c r="K65" s="8" t="s">
        <v>164</v>
      </c>
      <c r="L65" s="8" t="s">
        <v>163</v>
      </c>
      <c r="M65" s="8" t="s">
        <v>165</v>
      </c>
      <c r="N65" s="8" t="s">
        <v>166</v>
      </c>
      <c r="O65" s="8" t="s">
        <v>165</v>
      </c>
      <c r="P65" s="8" t="s">
        <v>32</v>
      </c>
      <c r="T65" s="8">
        <f>MATCH(D65,Allocation!A:A,0)</f>
        <v>6</v>
      </c>
    </row>
    <row r="66" spans="1:20" x14ac:dyDescent="0.35">
      <c r="A66" s="8" t="s">
        <v>171</v>
      </c>
      <c r="B66" s="8" t="s">
        <v>172</v>
      </c>
      <c r="C66" s="8" t="s">
        <v>9</v>
      </c>
      <c r="D66" s="8" t="s">
        <v>309</v>
      </c>
      <c r="E66" s="8">
        <v>-552.80999999999995</v>
      </c>
      <c r="F66" s="8" t="s">
        <v>169</v>
      </c>
      <c r="G66" s="8" t="s">
        <v>41</v>
      </c>
      <c r="H66" s="8" t="s">
        <v>42</v>
      </c>
      <c r="I66" s="8" t="s">
        <v>41</v>
      </c>
      <c r="J66" s="8" t="s">
        <v>163</v>
      </c>
      <c r="K66" s="8" t="s">
        <v>164</v>
      </c>
      <c r="L66" s="8" t="s">
        <v>163</v>
      </c>
      <c r="M66" s="8" t="s">
        <v>165</v>
      </c>
      <c r="N66" s="8" t="s">
        <v>166</v>
      </c>
      <c r="O66" s="8" t="s">
        <v>165</v>
      </c>
      <c r="P66" s="8" t="s">
        <v>32</v>
      </c>
      <c r="T66" s="8">
        <f>MATCH(D66,Allocation!A:A,0)</f>
        <v>6</v>
      </c>
    </row>
    <row r="67" spans="1:20" x14ac:dyDescent="0.35">
      <c r="A67" s="8" t="s">
        <v>173</v>
      </c>
      <c r="B67" s="8" t="s">
        <v>174</v>
      </c>
      <c r="C67" s="8" t="s">
        <v>10</v>
      </c>
      <c r="D67" s="8" t="s">
        <v>309</v>
      </c>
      <c r="E67" s="8">
        <v>650</v>
      </c>
      <c r="F67" s="8" t="s">
        <v>34</v>
      </c>
      <c r="G67" s="8" t="s">
        <v>41</v>
      </c>
      <c r="H67" s="8" t="s">
        <v>42</v>
      </c>
      <c r="I67" s="8" t="s">
        <v>41</v>
      </c>
      <c r="J67" s="8" t="s">
        <v>163</v>
      </c>
      <c r="K67" s="8" t="s">
        <v>164</v>
      </c>
      <c r="L67" s="8" t="s">
        <v>163</v>
      </c>
      <c r="M67" s="8" t="s">
        <v>165</v>
      </c>
      <c r="N67" s="8" t="s">
        <v>166</v>
      </c>
      <c r="O67" s="8" t="s">
        <v>165</v>
      </c>
      <c r="P67" s="8" t="s">
        <v>32</v>
      </c>
      <c r="T67" s="8">
        <f>MATCH(D67,Allocation!A:A,0)</f>
        <v>6</v>
      </c>
    </row>
    <row r="68" spans="1:20" x14ac:dyDescent="0.35">
      <c r="A68" s="8" t="s">
        <v>175</v>
      </c>
      <c r="B68" s="8" t="s">
        <v>172</v>
      </c>
      <c r="C68" s="8" t="s">
        <v>9</v>
      </c>
      <c r="D68" s="8" t="s">
        <v>309</v>
      </c>
      <c r="E68" s="8">
        <v>-165.11</v>
      </c>
      <c r="F68" s="8" t="s">
        <v>169</v>
      </c>
      <c r="G68" s="8" t="s">
        <v>41</v>
      </c>
      <c r="H68" s="8" t="s">
        <v>42</v>
      </c>
      <c r="I68" s="8" t="s">
        <v>41</v>
      </c>
      <c r="J68" s="8" t="s">
        <v>163</v>
      </c>
      <c r="K68" s="8" t="s">
        <v>164</v>
      </c>
      <c r="L68" s="8" t="s">
        <v>163</v>
      </c>
      <c r="M68" s="8" t="s">
        <v>165</v>
      </c>
      <c r="N68" s="8" t="s">
        <v>166</v>
      </c>
      <c r="O68" s="8" t="s">
        <v>165</v>
      </c>
      <c r="P68" s="8" t="s">
        <v>32</v>
      </c>
      <c r="T68" s="8">
        <f>MATCH(D68,Allocation!A:A,0)</f>
        <v>6</v>
      </c>
    </row>
    <row r="69" spans="1:20" x14ac:dyDescent="0.35">
      <c r="A69" s="8" t="s">
        <v>175</v>
      </c>
      <c r="B69" s="8" t="s">
        <v>32</v>
      </c>
      <c r="C69" s="8" t="s">
        <v>8</v>
      </c>
      <c r="D69" s="8" t="s">
        <v>309</v>
      </c>
      <c r="E69" s="8">
        <v>165.11</v>
      </c>
      <c r="F69" s="8" t="s">
        <v>34</v>
      </c>
      <c r="G69" s="8" t="s">
        <v>41</v>
      </c>
      <c r="H69" s="8" t="s">
        <v>42</v>
      </c>
      <c r="I69" s="8" t="s">
        <v>41</v>
      </c>
      <c r="J69" s="8" t="s">
        <v>163</v>
      </c>
      <c r="K69" s="8" t="s">
        <v>164</v>
      </c>
      <c r="L69" s="8" t="s">
        <v>163</v>
      </c>
      <c r="M69" s="8" t="s">
        <v>165</v>
      </c>
      <c r="N69" s="8" t="s">
        <v>166</v>
      </c>
      <c r="O69" s="8" t="s">
        <v>165</v>
      </c>
      <c r="P69" s="8" t="s">
        <v>32</v>
      </c>
      <c r="T69" s="8">
        <f>MATCH(D69,Allocation!A:A,0)</f>
        <v>6</v>
      </c>
    </row>
    <row r="70" spans="1:20" x14ac:dyDescent="0.35">
      <c r="A70" s="8" t="s">
        <v>31</v>
      </c>
      <c r="B70" s="8" t="s">
        <v>32</v>
      </c>
      <c r="C70" s="8" t="s">
        <v>6</v>
      </c>
      <c r="D70" s="8" t="s">
        <v>70</v>
      </c>
      <c r="E70" s="8">
        <v>110.62</v>
      </c>
      <c r="F70" s="8" t="s">
        <v>34</v>
      </c>
      <c r="G70" s="8" t="s">
        <v>41</v>
      </c>
      <c r="H70" s="8" t="s">
        <v>42</v>
      </c>
      <c r="I70" s="8" t="s">
        <v>41</v>
      </c>
      <c r="J70" s="8" t="s">
        <v>71</v>
      </c>
      <c r="K70" s="8" t="s">
        <v>72</v>
      </c>
      <c r="L70" s="8" t="s">
        <v>71</v>
      </c>
      <c r="M70" s="8" t="s">
        <v>46</v>
      </c>
      <c r="N70" s="8" t="s">
        <v>47</v>
      </c>
      <c r="O70" s="8" t="s">
        <v>46</v>
      </c>
      <c r="P70" s="8" t="s">
        <v>32</v>
      </c>
      <c r="T70" s="8">
        <f>MATCH(D70,Allocation!A:A,0)</f>
        <v>27</v>
      </c>
    </row>
    <row r="71" spans="1:20" x14ac:dyDescent="0.35">
      <c r="A71" s="8" t="s">
        <v>31</v>
      </c>
      <c r="B71" s="8" t="s">
        <v>37</v>
      </c>
      <c r="C71" s="8" t="s">
        <v>6</v>
      </c>
      <c r="D71" s="8" t="s">
        <v>70</v>
      </c>
      <c r="E71" s="8">
        <v>0</v>
      </c>
      <c r="F71" s="8" t="s">
        <v>34</v>
      </c>
      <c r="G71" s="8" t="s">
        <v>41</v>
      </c>
      <c r="H71" s="8" t="s">
        <v>42</v>
      </c>
      <c r="I71" s="8" t="s">
        <v>41</v>
      </c>
      <c r="J71" s="8" t="s">
        <v>71</v>
      </c>
      <c r="K71" s="8" t="s">
        <v>72</v>
      </c>
      <c r="L71" s="8" t="s">
        <v>71</v>
      </c>
      <c r="M71" s="8" t="s">
        <v>46</v>
      </c>
      <c r="N71" s="8" t="s">
        <v>47</v>
      </c>
      <c r="O71" s="8" t="s">
        <v>46</v>
      </c>
      <c r="P71" s="8" t="s">
        <v>32</v>
      </c>
      <c r="T71" s="8">
        <f>MATCH(D71,Allocation!A:A,0)</f>
        <v>27</v>
      </c>
    </row>
    <row r="72" spans="1:20" x14ac:dyDescent="0.35">
      <c r="A72" s="8" t="s">
        <v>167</v>
      </c>
      <c r="B72" s="8" t="s">
        <v>32</v>
      </c>
      <c r="C72" s="8" t="s">
        <v>8</v>
      </c>
      <c r="D72" s="8" t="s">
        <v>70</v>
      </c>
      <c r="E72" s="8">
        <v>-256.2</v>
      </c>
      <c r="F72" s="8" t="s">
        <v>169</v>
      </c>
      <c r="G72" s="8" t="s">
        <v>41</v>
      </c>
      <c r="H72" s="8" t="s">
        <v>42</v>
      </c>
      <c r="I72" s="8" t="s">
        <v>41</v>
      </c>
      <c r="J72" s="8" t="s">
        <v>71</v>
      </c>
      <c r="K72" s="8" t="s">
        <v>72</v>
      </c>
      <c r="L72" s="8" t="s">
        <v>71</v>
      </c>
      <c r="M72" s="8" t="s">
        <v>46</v>
      </c>
      <c r="N72" s="8" t="s">
        <v>47</v>
      </c>
      <c r="O72" s="8" t="s">
        <v>46</v>
      </c>
      <c r="P72" s="8" t="s">
        <v>32</v>
      </c>
      <c r="T72" s="8">
        <f>MATCH(D72,Allocation!A:A,0)</f>
        <v>27</v>
      </c>
    </row>
    <row r="73" spans="1:20" x14ac:dyDescent="0.35">
      <c r="A73" s="8" t="s">
        <v>171</v>
      </c>
      <c r="B73" s="8" t="s">
        <v>172</v>
      </c>
      <c r="C73" s="8" t="s">
        <v>9</v>
      </c>
      <c r="D73" s="8" t="s">
        <v>70</v>
      </c>
      <c r="E73" s="8">
        <v>-912.82</v>
      </c>
      <c r="F73" s="8" t="s">
        <v>169</v>
      </c>
      <c r="G73" s="8" t="s">
        <v>41</v>
      </c>
      <c r="H73" s="8" t="s">
        <v>42</v>
      </c>
      <c r="I73" s="8" t="s">
        <v>41</v>
      </c>
      <c r="J73" s="8" t="s">
        <v>71</v>
      </c>
      <c r="K73" s="8" t="s">
        <v>72</v>
      </c>
      <c r="L73" s="8" t="s">
        <v>71</v>
      </c>
      <c r="M73" s="8" t="s">
        <v>46</v>
      </c>
      <c r="N73" s="8" t="s">
        <v>47</v>
      </c>
      <c r="O73" s="8" t="s">
        <v>46</v>
      </c>
      <c r="P73" s="8" t="s">
        <v>32</v>
      </c>
      <c r="T73" s="8">
        <f>MATCH(D73,Allocation!A:A,0)</f>
        <v>27</v>
      </c>
    </row>
    <row r="74" spans="1:20" x14ac:dyDescent="0.35">
      <c r="A74" s="8" t="s">
        <v>173</v>
      </c>
      <c r="B74" s="8" t="s">
        <v>174</v>
      </c>
      <c r="C74" s="8" t="s">
        <v>10</v>
      </c>
      <c r="D74" s="8" t="s">
        <v>70</v>
      </c>
      <c r="E74" s="8">
        <v>1058.4000000000001</v>
      </c>
      <c r="F74" s="8" t="s">
        <v>34</v>
      </c>
      <c r="G74" s="8" t="s">
        <v>41</v>
      </c>
      <c r="H74" s="8" t="s">
        <v>42</v>
      </c>
      <c r="I74" s="8" t="s">
        <v>41</v>
      </c>
      <c r="J74" s="8" t="s">
        <v>71</v>
      </c>
      <c r="K74" s="8" t="s">
        <v>72</v>
      </c>
      <c r="L74" s="8" t="s">
        <v>71</v>
      </c>
      <c r="M74" s="8" t="s">
        <v>46</v>
      </c>
      <c r="N74" s="8" t="s">
        <v>47</v>
      </c>
      <c r="O74" s="8" t="s">
        <v>46</v>
      </c>
      <c r="P74" s="8" t="s">
        <v>32</v>
      </c>
      <c r="T74" s="8">
        <f>MATCH(D74,Allocation!A:A,0)</f>
        <v>27</v>
      </c>
    </row>
    <row r="75" spans="1:20" x14ac:dyDescent="0.35">
      <c r="A75" s="8" t="s">
        <v>175</v>
      </c>
      <c r="B75" s="8" t="s">
        <v>172</v>
      </c>
      <c r="C75" s="8" t="s">
        <v>9</v>
      </c>
      <c r="D75" s="8" t="s">
        <v>70</v>
      </c>
      <c r="E75" s="8">
        <v>-256.2</v>
      </c>
      <c r="F75" s="8" t="s">
        <v>169</v>
      </c>
      <c r="G75" s="8" t="s">
        <v>41</v>
      </c>
      <c r="H75" s="8" t="s">
        <v>42</v>
      </c>
      <c r="I75" s="8" t="s">
        <v>41</v>
      </c>
      <c r="J75" s="8" t="s">
        <v>71</v>
      </c>
      <c r="K75" s="8" t="s">
        <v>72</v>
      </c>
      <c r="L75" s="8" t="s">
        <v>71</v>
      </c>
      <c r="M75" s="8" t="s">
        <v>46</v>
      </c>
      <c r="N75" s="8" t="s">
        <v>47</v>
      </c>
      <c r="O75" s="8" t="s">
        <v>46</v>
      </c>
      <c r="P75" s="8" t="s">
        <v>32</v>
      </c>
      <c r="T75" s="8">
        <f>MATCH(D75,Allocation!A:A,0)</f>
        <v>27</v>
      </c>
    </row>
    <row r="76" spans="1:20" x14ac:dyDescent="0.35">
      <c r="A76" s="8" t="s">
        <v>175</v>
      </c>
      <c r="B76" s="8" t="s">
        <v>32</v>
      </c>
      <c r="C76" s="8" t="s">
        <v>8</v>
      </c>
      <c r="D76" s="8" t="s">
        <v>70</v>
      </c>
      <c r="E76" s="8">
        <v>256.2</v>
      </c>
      <c r="F76" s="8" t="s">
        <v>34</v>
      </c>
      <c r="G76" s="8" t="s">
        <v>41</v>
      </c>
      <c r="H76" s="8" t="s">
        <v>42</v>
      </c>
      <c r="I76" s="8" t="s">
        <v>41</v>
      </c>
      <c r="J76" s="8" t="s">
        <v>71</v>
      </c>
      <c r="K76" s="8" t="s">
        <v>72</v>
      </c>
      <c r="L76" s="8" t="s">
        <v>71</v>
      </c>
      <c r="M76" s="8" t="s">
        <v>46</v>
      </c>
      <c r="N76" s="8" t="s">
        <v>47</v>
      </c>
      <c r="O76" s="8" t="s">
        <v>46</v>
      </c>
      <c r="P76" s="8" t="s">
        <v>32</v>
      </c>
      <c r="T76" s="8">
        <f>MATCH(D76,Allocation!A:A,0)</f>
        <v>27</v>
      </c>
    </row>
    <row r="77" spans="1:20" s="9" customFormat="1" x14ac:dyDescent="0.35">
      <c r="A77" s="8" t="s">
        <v>31</v>
      </c>
      <c r="B77" s="8" t="s">
        <v>32</v>
      </c>
      <c r="C77" s="8" t="s">
        <v>6</v>
      </c>
      <c r="D77" s="8" t="s">
        <v>310</v>
      </c>
      <c r="E77" s="8">
        <v>227.17</v>
      </c>
      <c r="F77" s="8" t="s">
        <v>34</v>
      </c>
      <c r="G77" s="8" t="s">
        <v>41</v>
      </c>
      <c r="H77" s="8" t="s">
        <v>42</v>
      </c>
      <c r="I77" s="8" t="s">
        <v>41</v>
      </c>
      <c r="J77" s="8" t="s">
        <v>311</v>
      </c>
      <c r="K77" s="8" t="s">
        <v>312</v>
      </c>
      <c r="L77" s="8" t="s">
        <v>311</v>
      </c>
      <c r="M77" s="8" t="s">
        <v>66</v>
      </c>
      <c r="N77" s="8" t="s">
        <v>67</v>
      </c>
      <c r="O77" s="8" t="s">
        <v>66</v>
      </c>
      <c r="P77" s="8" t="s">
        <v>32</v>
      </c>
      <c r="Q77" s="8"/>
      <c r="R77" s="8"/>
      <c r="S77" s="8"/>
      <c r="T77" s="8">
        <f>MATCH(D77,Allocation!A:A,0)</f>
        <v>35</v>
      </c>
    </row>
    <row r="78" spans="1:20" s="9" customFormat="1" x14ac:dyDescent="0.35">
      <c r="A78" s="8" t="s">
        <v>31</v>
      </c>
      <c r="B78" s="8" t="s">
        <v>37</v>
      </c>
      <c r="C78" s="8" t="s">
        <v>6</v>
      </c>
      <c r="D78" s="8" t="s">
        <v>310</v>
      </c>
      <c r="E78" s="8">
        <v>0</v>
      </c>
      <c r="F78" s="8" t="s">
        <v>34</v>
      </c>
      <c r="G78" s="8" t="s">
        <v>41</v>
      </c>
      <c r="H78" s="8" t="s">
        <v>42</v>
      </c>
      <c r="I78" s="8" t="s">
        <v>41</v>
      </c>
      <c r="J78" s="8" t="s">
        <v>311</v>
      </c>
      <c r="K78" s="8" t="s">
        <v>312</v>
      </c>
      <c r="L78" s="8" t="s">
        <v>311</v>
      </c>
      <c r="M78" s="8" t="s">
        <v>66</v>
      </c>
      <c r="N78" s="8" t="s">
        <v>67</v>
      </c>
      <c r="O78" s="8" t="s">
        <v>66</v>
      </c>
      <c r="P78" s="8" t="s">
        <v>32</v>
      </c>
      <c r="Q78" s="8"/>
      <c r="R78" s="8"/>
      <c r="S78" s="8"/>
      <c r="T78" s="8">
        <f>MATCH(D78,Allocation!A:A,0)</f>
        <v>35</v>
      </c>
    </row>
    <row r="79" spans="1:20" s="9" customFormat="1" x14ac:dyDescent="0.35">
      <c r="A79" s="8" t="s">
        <v>167</v>
      </c>
      <c r="B79" s="8" t="s">
        <v>32</v>
      </c>
      <c r="C79" s="8" t="s">
        <v>8</v>
      </c>
      <c r="D79" s="8" t="s">
        <v>310</v>
      </c>
      <c r="E79" s="8">
        <v>-624.66</v>
      </c>
      <c r="F79" s="8" t="s">
        <v>169</v>
      </c>
      <c r="G79" s="8" t="s">
        <v>41</v>
      </c>
      <c r="H79" s="8" t="s">
        <v>42</v>
      </c>
      <c r="I79" s="8" t="s">
        <v>41</v>
      </c>
      <c r="J79" s="8" t="s">
        <v>311</v>
      </c>
      <c r="K79" s="8" t="s">
        <v>312</v>
      </c>
      <c r="L79" s="8" t="s">
        <v>311</v>
      </c>
      <c r="M79" s="8" t="s">
        <v>66</v>
      </c>
      <c r="N79" s="8" t="s">
        <v>67</v>
      </c>
      <c r="O79" s="8" t="s">
        <v>66</v>
      </c>
      <c r="P79" s="8" t="s">
        <v>32</v>
      </c>
      <c r="Q79" s="8"/>
      <c r="R79" s="8"/>
      <c r="S79" s="8"/>
      <c r="T79" s="8">
        <f>MATCH(D79,Allocation!A:A,0)</f>
        <v>35</v>
      </c>
    </row>
    <row r="80" spans="1:20" s="9" customFormat="1" x14ac:dyDescent="0.35">
      <c r="A80" s="8" t="s">
        <v>171</v>
      </c>
      <c r="B80" s="8" t="s">
        <v>172</v>
      </c>
      <c r="C80" s="8" t="s">
        <v>9</v>
      </c>
      <c r="D80" s="8" t="s">
        <v>310</v>
      </c>
      <c r="E80" s="8">
        <v>-1776.42</v>
      </c>
      <c r="F80" s="8" t="s">
        <v>169</v>
      </c>
      <c r="G80" s="8" t="s">
        <v>41</v>
      </c>
      <c r="H80" s="8" t="s">
        <v>42</v>
      </c>
      <c r="I80" s="8" t="s">
        <v>41</v>
      </c>
      <c r="J80" s="8" t="s">
        <v>311</v>
      </c>
      <c r="K80" s="8" t="s">
        <v>312</v>
      </c>
      <c r="L80" s="8" t="s">
        <v>311</v>
      </c>
      <c r="M80" s="8" t="s">
        <v>66</v>
      </c>
      <c r="N80" s="8" t="s">
        <v>67</v>
      </c>
      <c r="O80" s="8" t="s">
        <v>66</v>
      </c>
      <c r="P80" s="8" t="s">
        <v>32</v>
      </c>
      <c r="Q80" s="8"/>
      <c r="R80" s="8"/>
      <c r="S80" s="8"/>
      <c r="T80" s="8">
        <f>MATCH(D80,Allocation!A:A,0)</f>
        <v>35</v>
      </c>
    </row>
    <row r="81" spans="1:20" s="9" customFormat="1" x14ac:dyDescent="0.35">
      <c r="A81" s="8" t="s">
        <v>173</v>
      </c>
      <c r="B81" s="8" t="s">
        <v>174</v>
      </c>
      <c r="C81" s="8" t="s">
        <v>10</v>
      </c>
      <c r="D81" s="8" t="s">
        <v>310</v>
      </c>
      <c r="E81" s="8">
        <v>2173.91</v>
      </c>
      <c r="F81" s="8" t="s">
        <v>34</v>
      </c>
      <c r="G81" s="8" t="s">
        <v>41</v>
      </c>
      <c r="H81" s="8" t="s">
        <v>42</v>
      </c>
      <c r="I81" s="8" t="s">
        <v>41</v>
      </c>
      <c r="J81" s="8" t="s">
        <v>311</v>
      </c>
      <c r="K81" s="8" t="s">
        <v>312</v>
      </c>
      <c r="L81" s="8" t="s">
        <v>311</v>
      </c>
      <c r="M81" s="8" t="s">
        <v>66</v>
      </c>
      <c r="N81" s="8" t="s">
        <v>67</v>
      </c>
      <c r="O81" s="8" t="s">
        <v>66</v>
      </c>
      <c r="P81" s="8" t="s">
        <v>32</v>
      </c>
      <c r="Q81" s="8"/>
      <c r="R81" s="8"/>
      <c r="S81" s="8"/>
      <c r="T81" s="8">
        <f>MATCH(D81,Allocation!A:A,0)</f>
        <v>35</v>
      </c>
    </row>
    <row r="82" spans="1:20" s="9" customFormat="1" x14ac:dyDescent="0.35">
      <c r="A82" s="8" t="s">
        <v>175</v>
      </c>
      <c r="B82" s="8" t="s">
        <v>172</v>
      </c>
      <c r="C82" s="8" t="s">
        <v>9</v>
      </c>
      <c r="D82" s="8" t="s">
        <v>310</v>
      </c>
      <c r="E82" s="8">
        <v>-624.66</v>
      </c>
      <c r="F82" s="8" t="s">
        <v>169</v>
      </c>
      <c r="G82" s="8" t="s">
        <v>41</v>
      </c>
      <c r="H82" s="8" t="s">
        <v>42</v>
      </c>
      <c r="I82" s="8" t="s">
        <v>41</v>
      </c>
      <c r="J82" s="8" t="s">
        <v>311</v>
      </c>
      <c r="K82" s="8" t="s">
        <v>312</v>
      </c>
      <c r="L82" s="8" t="s">
        <v>311</v>
      </c>
      <c r="M82" s="8" t="s">
        <v>66</v>
      </c>
      <c r="N82" s="8" t="s">
        <v>67</v>
      </c>
      <c r="O82" s="8" t="s">
        <v>66</v>
      </c>
      <c r="P82" s="8" t="s">
        <v>32</v>
      </c>
      <c r="Q82" s="8"/>
      <c r="R82" s="8"/>
      <c r="S82" s="8"/>
      <c r="T82" s="8">
        <f>MATCH(D82,Allocation!A:A,0)</f>
        <v>35</v>
      </c>
    </row>
    <row r="83" spans="1:20" s="9" customFormat="1" x14ac:dyDescent="0.35">
      <c r="A83" s="8" t="s">
        <v>175</v>
      </c>
      <c r="B83" s="8" t="s">
        <v>32</v>
      </c>
      <c r="C83" s="8" t="s">
        <v>8</v>
      </c>
      <c r="D83" s="8" t="s">
        <v>310</v>
      </c>
      <c r="E83" s="8">
        <v>624.66</v>
      </c>
      <c r="F83" s="8" t="s">
        <v>34</v>
      </c>
      <c r="G83" s="8" t="s">
        <v>41</v>
      </c>
      <c r="H83" s="8" t="s">
        <v>42</v>
      </c>
      <c r="I83" s="8" t="s">
        <v>41</v>
      </c>
      <c r="J83" s="8" t="s">
        <v>311</v>
      </c>
      <c r="K83" s="8" t="s">
        <v>312</v>
      </c>
      <c r="L83" s="8" t="s">
        <v>311</v>
      </c>
      <c r="M83" s="8" t="s">
        <v>66</v>
      </c>
      <c r="N83" s="8" t="s">
        <v>67</v>
      </c>
      <c r="O83" s="8" t="s">
        <v>66</v>
      </c>
      <c r="P83" s="8" t="s">
        <v>32</v>
      </c>
      <c r="Q83" s="8"/>
      <c r="R83" s="8"/>
      <c r="S83" s="8"/>
      <c r="T83" s="8">
        <f>MATCH(D83,Allocation!A:A,0)</f>
        <v>35</v>
      </c>
    </row>
    <row r="84" spans="1:20" s="9" customFormat="1" x14ac:dyDescent="0.35">
      <c r="A84" s="8" t="s">
        <v>31</v>
      </c>
      <c r="B84" s="8" t="s">
        <v>32</v>
      </c>
      <c r="C84" s="8" t="s">
        <v>6</v>
      </c>
      <c r="D84" s="8" t="s">
        <v>263</v>
      </c>
      <c r="E84" s="8">
        <v>113.1</v>
      </c>
      <c r="F84" s="8" t="s">
        <v>34</v>
      </c>
      <c r="G84" s="8" t="s">
        <v>41</v>
      </c>
      <c r="H84" s="8" t="s">
        <v>42</v>
      </c>
      <c r="I84" s="8" t="s">
        <v>41</v>
      </c>
      <c r="J84" s="8" t="s">
        <v>313</v>
      </c>
      <c r="K84" s="8" t="s">
        <v>314</v>
      </c>
      <c r="L84" s="8" t="s">
        <v>313</v>
      </c>
      <c r="M84" s="8" t="s">
        <v>66</v>
      </c>
      <c r="N84" s="8" t="s">
        <v>67</v>
      </c>
      <c r="O84" s="8" t="s">
        <v>66</v>
      </c>
      <c r="P84" s="8" t="s">
        <v>32</v>
      </c>
      <c r="Q84" s="8"/>
      <c r="R84" s="8"/>
      <c r="S84" s="8"/>
      <c r="T84" s="8">
        <f>MATCH(D84,Allocation!A:A,0)</f>
        <v>7</v>
      </c>
    </row>
    <row r="85" spans="1:20" x14ac:dyDescent="0.35">
      <c r="A85" s="8" t="s">
        <v>31</v>
      </c>
      <c r="B85" s="8" t="s">
        <v>37</v>
      </c>
      <c r="C85" s="8" t="s">
        <v>6</v>
      </c>
      <c r="D85" s="8" t="s">
        <v>263</v>
      </c>
      <c r="E85" s="8">
        <v>0</v>
      </c>
      <c r="F85" s="8" t="s">
        <v>34</v>
      </c>
      <c r="G85" s="8" t="s">
        <v>41</v>
      </c>
      <c r="H85" s="8" t="s">
        <v>42</v>
      </c>
      <c r="I85" s="8" t="s">
        <v>41</v>
      </c>
      <c r="J85" s="8" t="s">
        <v>313</v>
      </c>
      <c r="K85" s="8" t="s">
        <v>314</v>
      </c>
      <c r="L85" s="8" t="s">
        <v>313</v>
      </c>
      <c r="M85" s="8" t="s">
        <v>66</v>
      </c>
      <c r="N85" s="8" t="s">
        <v>67</v>
      </c>
      <c r="O85" s="8" t="s">
        <v>66</v>
      </c>
      <c r="P85" s="8" t="s">
        <v>32</v>
      </c>
      <c r="T85" s="8">
        <f>MATCH(D85,Allocation!A:A,0)</f>
        <v>7</v>
      </c>
    </row>
    <row r="86" spans="1:20" x14ac:dyDescent="0.35">
      <c r="A86" s="8" t="s">
        <v>167</v>
      </c>
      <c r="B86" s="8" t="s">
        <v>32</v>
      </c>
      <c r="C86" s="8" t="s">
        <v>8</v>
      </c>
      <c r="D86" s="8" t="s">
        <v>263</v>
      </c>
      <c r="E86" s="8">
        <v>-214.2</v>
      </c>
      <c r="F86" s="8" t="s">
        <v>169</v>
      </c>
      <c r="G86" s="8" t="s">
        <v>41</v>
      </c>
      <c r="H86" s="8" t="s">
        <v>42</v>
      </c>
      <c r="I86" s="8" t="s">
        <v>41</v>
      </c>
      <c r="J86" s="8" t="s">
        <v>313</v>
      </c>
      <c r="K86" s="8" t="s">
        <v>314</v>
      </c>
      <c r="L86" s="8" t="s">
        <v>313</v>
      </c>
      <c r="M86" s="8" t="s">
        <v>66</v>
      </c>
      <c r="N86" s="8" t="s">
        <v>67</v>
      </c>
      <c r="O86" s="8" t="s">
        <v>66</v>
      </c>
      <c r="P86" s="8" t="s">
        <v>32</v>
      </c>
      <c r="T86" s="8">
        <f>MATCH(D86,Allocation!A:A,0)</f>
        <v>7</v>
      </c>
    </row>
    <row r="87" spans="1:20" x14ac:dyDescent="0.35">
      <c r="A87" s="8" t="s">
        <v>171</v>
      </c>
      <c r="B87" s="8" t="s">
        <v>172</v>
      </c>
      <c r="C87" s="8" t="s">
        <v>9</v>
      </c>
      <c r="D87" s="8" t="s">
        <v>263</v>
      </c>
      <c r="E87" s="8">
        <v>-981.29</v>
      </c>
      <c r="F87" s="8" t="s">
        <v>169</v>
      </c>
      <c r="G87" s="8" t="s">
        <v>41</v>
      </c>
      <c r="H87" s="8" t="s">
        <v>42</v>
      </c>
      <c r="I87" s="8" t="s">
        <v>41</v>
      </c>
      <c r="J87" s="8" t="s">
        <v>313</v>
      </c>
      <c r="K87" s="8" t="s">
        <v>314</v>
      </c>
      <c r="L87" s="8" t="s">
        <v>313</v>
      </c>
      <c r="M87" s="8" t="s">
        <v>66</v>
      </c>
      <c r="N87" s="8" t="s">
        <v>67</v>
      </c>
      <c r="O87" s="8" t="s">
        <v>66</v>
      </c>
      <c r="P87" s="8" t="s">
        <v>32</v>
      </c>
      <c r="T87" s="8">
        <f>MATCH(D87,Allocation!A:A,0)</f>
        <v>7</v>
      </c>
    </row>
    <row r="88" spans="1:20" x14ac:dyDescent="0.35">
      <c r="A88" s="8" t="s">
        <v>173</v>
      </c>
      <c r="B88" s="8" t="s">
        <v>174</v>
      </c>
      <c r="C88" s="8" t="s">
        <v>10</v>
      </c>
      <c r="D88" s="8" t="s">
        <v>263</v>
      </c>
      <c r="E88" s="8">
        <v>1082.3900000000001</v>
      </c>
      <c r="F88" s="8" t="s">
        <v>34</v>
      </c>
      <c r="G88" s="8" t="s">
        <v>41</v>
      </c>
      <c r="H88" s="8" t="s">
        <v>42</v>
      </c>
      <c r="I88" s="8" t="s">
        <v>41</v>
      </c>
      <c r="J88" s="8" t="s">
        <v>313</v>
      </c>
      <c r="K88" s="8" t="s">
        <v>314</v>
      </c>
      <c r="L88" s="8" t="s">
        <v>313</v>
      </c>
      <c r="M88" s="8" t="s">
        <v>66</v>
      </c>
      <c r="N88" s="8" t="s">
        <v>67</v>
      </c>
      <c r="O88" s="8" t="s">
        <v>66</v>
      </c>
      <c r="P88" s="8" t="s">
        <v>32</v>
      </c>
      <c r="T88" s="8">
        <f>MATCH(D88,Allocation!A:A,0)</f>
        <v>7</v>
      </c>
    </row>
    <row r="89" spans="1:20" x14ac:dyDescent="0.35">
      <c r="A89" s="8" t="s">
        <v>175</v>
      </c>
      <c r="B89" s="8" t="s">
        <v>172</v>
      </c>
      <c r="C89" s="8" t="s">
        <v>9</v>
      </c>
      <c r="D89" s="8" t="s">
        <v>263</v>
      </c>
      <c r="E89" s="8">
        <v>-214.2</v>
      </c>
      <c r="F89" s="8" t="s">
        <v>169</v>
      </c>
      <c r="G89" s="8" t="s">
        <v>41</v>
      </c>
      <c r="H89" s="8" t="s">
        <v>42</v>
      </c>
      <c r="I89" s="8" t="s">
        <v>41</v>
      </c>
      <c r="J89" s="8" t="s">
        <v>313</v>
      </c>
      <c r="K89" s="8" t="s">
        <v>314</v>
      </c>
      <c r="L89" s="8" t="s">
        <v>313</v>
      </c>
      <c r="M89" s="8" t="s">
        <v>66</v>
      </c>
      <c r="N89" s="8" t="s">
        <v>67</v>
      </c>
      <c r="O89" s="8" t="s">
        <v>66</v>
      </c>
      <c r="P89" s="8" t="s">
        <v>32</v>
      </c>
      <c r="T89" s="8">
        <f>MATCH(D89,Allocation!A:A,0)</f>
        <v>7</v>
      </c>
    </row>
    <row r="90" spans="1:20" x14ac:dyDescent="0.35">
      <c r="A90" s="8" t="s">
        <v>175</v>
      </c>
      <c r="B90" s="8" t="s">
        <v>32</v>
      </c>
      <c r="C90" s="8" t="s">
        <v>8</v>
      </c>
      <c r="D90" s="8" t="s">
        <v>263</v>
      </c>
      <c r="E90" s="8">
        <v>214.2</v>
      </c>
      <c r="F90" s="8" t="s">
        <v>34</v>
      </c>
      <c r="G90" s="8" t="s">
        <v>41</v>
      </c>
      <c r="H90" s="8" t="s">
        <v>42</v>
      </c>
      <c r="I90" s="8" t="s">
        <v>41</v>
      </c>
      <c r="J90" s="8" t="s">
        <v>313</v>
      </c>
      <c r="K90" s="8" t="s">
        <v>314</v>
      </c>
      <c r="L90" s="8" t="s">
        <v>313</v>
      </c>
      <c r="M90" s="8" t="s">
        <v>66</v>
      </c>
      <c r="N90" s="8" t="s">
        <v>67</v>
      </c>
      <c r="O90" s="8" t="s">
        <v>66</v>
      </c>
      <c r="P90" s="8" t="s">
        <v>32</v>
      </c>
      <c r="T90" s="8">
        <f>MATCH(D90,Allocation!A:A,0)</f>
        <v>7</v>
      </c>
    </row>
    <row r="91" spans="1:20" x14ac:dyDescent="0.35">
      <c r="A91" s="8" t="s">
        <v>31</v>
      </c>
      <c r="B91" s="8" t="s">
        <v>32</v>
      </c>
      <c r="C91" s="8" t="s">
        <v>6</v>
      </c>
      <c r="D91" s="8" t="s">
        <v>75</v>
      </c>
      <c r="E91" s="8">
        <v>154.37</v>
      </c>
      <c r="F91" s="8" t="s">
        <v>34</v>
      </c>
      <c r="G91" s="8" t="s">
        <v>41</v>
      </c>
      <c r="H91" s="8" t="s">
        <v>42</v>
      </c>
      <c r="I91" s="8" t="s">
        <v>41</v>
      </c>
      <c r="J91" s="8" t="s">
        <v>76</v>
      </c>
      <c r="K91" s="8" t="s">
        <v>77</v>
      </c>
      <c r="L91" s="8" t="s">
        <v>76</v>
      </c>
      <c r="M91" s="8" t="s">
        <v>46</v>
      </c>
      <c r="N91" s="8" t="s">
        <v>47</v>
      </c>
      <c r="O91" s="8" t="s">
        <v>46</v>
      </c>
      <c r="P91" s="8" t="s">
        <v>32</v>
      </c>
      <c r="T91" s="8">
        <f>MATCH(D91,Allocation!A:A,0)</f>
        <v>46</v>
      </c>
    </row>
    <row r="92" spans="1:20" x14ac:dyDescent="0.35">
      <c r="A92" s="8" t="s">
        <v>31</v>
      </c>
      <c r="B92" s="8" t="s">
        <v>37</v>
      </c>
      <c r="C92" s="8" t="s">
        <v>6</v>
      </c>
      <c r="D92" s="8" t="s">
        <v>75</v>
      </c>
      <c r="E92" s="8">
        <v>0</v>
      </c>
      <c r="F92" s="8" t="s">
        <v>34</v>
      </c>
      <c r="G92" s="8" t="s">
        <v>41</v>
      </c>
      <c r="H92" s="8" t="s">
        <v>42</v>
      </c>
      <c r="I92" s="8" t="s">
        <v>41</v>
      </c>
      <c r="J92" s="8" t="s">
        <v>76</v>
      </c>
      <c r="K92" s="8" t="s">
        <v>77</v>
      </c>
      <c r="L92" s="8" t="s">
        <v>76</v>
      </c>
      <c r="M92" s="8" t="s">
        <v>46</v>
      </c>
      <c r="N92" s="8" t="s">
        <v>47</v>
      </c>
      <c r="O92" s="8" t="s">
        <v>46</v>
      </c>
      <c r="P92" s="8" t="s">
        <v>32</v>
      </c>
      <c r="T92" s="8">
        <f>MATCH(D92,Allocation!A:A,0)</f>
        <v>46</v>
      </c>
    </row>
    <row r="93" spans="1:20" x14ac:dyDescent="0.35">
      <c r="A93" s="8" t="s">
        <v>167</v>
      </c>
      <c r="B93" s="8" t="s">
        <v>32</v>
      </c>
      <c r="C93" s="8" t="s">
        <v>7</v>
      </c>
      <c r="D93" s="8" t="s">
        <v>75</v>
      </c>
      <c r="E93" s="8">
        <v>-183.16</v>
      </c>
      <c r="F93" s="8" t="s">
        <v>169</v>
      </c>
      <c r="G93" s="8" t="s">
        <v>41</v>
      </c>
      <c r="H93" s="8" t="s">
        <v>42</v>
      </c>
      <c r="I93" s="8" t="s">
        <v>41</v>
      </c>
      <c r="J93" s="8" t="s">
        <v>76</v>
      </c>
      <c r="K93" s="8" t="s">
        <v>77</v>
      </c>
      <c r="L93" s="8" t="s">
        <v>76</v>
      </c>
      <c r="M93" s="8" t="s">
        <v>46</v>
      </c>
      <c r="N93" s="8" t="s">
        <v>47</v>
      </c>
      <c r="O93" s="8" t="s">
        <v>46</v>
      </c>
      <c r="P93" s="8" t="s">
        <v>32</v>
      </c>
      <c r="T93" s="8">
        <f>MATCH(D93,Allocation!A:A,0)</f>
        <v>46</v>
      </c>
    </row>
    <row r="94" spans="1:20" x14ac:dyDescent="0.35">
      <c r="A94" s="8" t="s">
        <v>167</v>
      </c>
      <c r="B94" s="8" t="s">
        <v>32</v>
      </c>
      <c r="C94" s="8" t="s">
        <v>8</v>
      </c>
      <c r="D94" s="8" t="s">
        <v>75</v>
      </c>
      <c r="E94" s="8">
        <v>-379.51</v>
      </c>
      <c r="F94" s="8" t="s">
        <v>169</v>
      </c>
      <c r="G94" s="8" t="s">
        <v>41</v>
      </c>
      <c r="H94" s="8" t="s">
        <v>42</v>
      </c>
      <c r="I94" s="8" t="s">
        <v>41</v>
      </c>
      <c r="J94" s="8" t="s">
        <v>76</v>
      </c>
      <c r="K94" s="8" t="s">
        <v>77</v>
      </c>
      <c r="L94" s="8" t="s">
        <v>76</v>
      </c>
      <c r="M94" s="8" t="s">
        <v>46</v>
      </c>
      <c r="N94" s="8" t="s">
        <v>47</v>
      </c>
      <c r="O94" s="8" t="s">
        <v>46</v>
      </c>
      <c r="P94" s="8" t="s">
        <v>32</v>
      </c>
      <c r="T94" s="8">
        <f>MATCH(D94,Allocation!A:A,0)</f>
        <v>46</v>
      </c>
    </row>
    <row r="95" spans="1:20" x14ac:dyDescent="0.35">
      <c r="A95" s="8" t="s">
        <v>171</v>
      </c>
      <c r="B95" s="8" t="s">
        <v>172</v>
      </c>
      <c r="C95" s="8" t="s">
        <v>9</v>
      </c>
      <c r="D95" s="8" t="s">
        <v>75</v>
      </c>
      <c r="E95" s="8">
        <v>-1170.93</v>
      </c>
      <c r="F95" s="8" t="s">
        <v>169</v>
      </c>
      <c r="G95" s="8" t="s">
        <v>41</v>
      </c>
      <c r="H95" s="8" t="s">
        <v>42</v>
      </c>
      <c r="I95" s="8" t="s">
        <v>41</v>
      </c>
      <c r="J95" s="8" t="s">
        <v>76</v>
      </c>
      <c r="K95" s="8" t="s">
        <v>77</v>
      </c>
      <c r="L95" s="8" t="s">
        <v>76</v>
      </c>
      <c r="M95" s="8" t="s">
        <v>46</v>
      </c>
      <c r="N95" s="8" t="s">
        <v>47</v>
      </c>
      <c r="O95" s="8" t="s">
        <v>46</v>
      </c>
      <c r="P95" s="8" t="s">
        <v>32</v>
      </c>
      <c r="T95" s="8">
        <f>MATCH(D95,Allocation!A:A,0)</f>
        <v>46</v>
      </c>
    </row>
    <row r="96" spans="1:20" x14ac:dyDescent="0.35">
      <c r="A96" s="8" t="s">
        <v>173</v>
      </c>
      <c r="B96" s="8" t="s">
        <v>174</v>
      </c>
      <c r="C96" s="8" t="s">
        <v>10</v>
      </c>
      <c r="D96" s="8" t="s">
        <v>75</v>
      </c>
      <c r="E96" s="8">
        <v>1579.23</v>
      </c>
      <c r="F96" s="8" t="s">
        <v>34</v>
      </c>
      <c r="G96" s="8" t="s">
        <v>41</v>
      </c>
      <c r="H96" s="8" t="s">
        <v>42</v>
      </c>
      <c r="I96" s="8" t="s">
        <v>41</v>
      </c>
      <c r="J96" s="8" t="s">
        <v>76</v>
      </c>
      <c r="K96" s="8" t="s">
        <v>77</v>
      </c>
      <c r="L96" s="8" t="s">
        <v>76</v>
      </c>
      <c r="M96" s="8" t="s">
        <v>46</v>
      </c>
      <c r="N96" s="8" t="s">
        <v>47</v>
      </c>
      <c r="O96" s="8" t="s">
        <v>46</v>
      </c>
      <c r="P96" s="8" t="s">
        <v>32</v>
      </c>
      <c r="T96" s="8">
        <f>MATCH(D96,Allocation!A:A,0)</f>
        <v>46</v>
      </c>
    </row>
    <row r="97" spans="1:20" x14ac:dyDescent="0.35">
      <c r="A97" s="8" t="s">
        <v>175</v>
      </c>
      <c r="B97" s="8" t="s">
        <v>172</v>
      </c>
      <c r="C97" s="8" t="s">
        <v>9</v>
      </c>
      <c r="D97" s="8" t="s">
        <v>75</v>
      </c>
      <c r="E97" s="8">
        <v>-379.51</v>
      </c>
      <c r="F97" s="8" t="s">
        <v>169</v>
      </c>
      <c r="G97" s="8" t="s">
        <v>41</v>
      </c>
      <c r="H97" s="8" t="s">
        <v>42</v>
      </c>
      <c r="I97" s="8" t="s">
        <v>41</v>
      </c>
      <c r="J97" s="8" t="s">
        <v>76</v>
      </c>
      <c r="K97" s="8" t="s">
        <v>77</v>
      </c>
      <c r="L97" s="8" t="s">
        <v>76</v>
      </c>
      <c r="M97" s="8" t="s">
        <v>46</v>
      </c>
      <c r="N97" s="8" t="s">
        <v>47</v>
      </c>
      <c r="O97" s="8" t="s">
        <v>46</v>
      </c>
      <c r="P97" s="8" t="s">
        <v>32</v>
      </c>
      <c r="T97" s="8">
        <f>MATCH(D97,Allocation!A:A,0)</f>
        <v>46</v>
      </c>
    </row>
    <row r="98" spans="1:20" x14ac:dyDescent="0.35">
      <c r="A98" s="8" t="s">
        <v>175</v>
      </c>
      <c r="B98" s="8" t="s">
        <v>32</v>
      </c>
      <c r="C98" s="8" t="s">
        <v>8</v>
      </c>
      <c r="D98" s="8" t="s">
        <v>75</v>
      </c>
      <c r="E98" s="8">
        <v>379.51</v>
      </c>
      <c r="F98" s="8" t="s">
        <v>34</v>
      </c>
      <c r="G98" s="8" t="s">
        <v>41</v>
      </c>
      <c r="H98" s="8" t="s">
        <v>42</v>
      </c>
      <c r="I98" s="8" t="s">
        <v>41</v>
      </c>
      <c r="J98" s="8" t="s">
        <v>76</v>
      </c>
      <c r="K98" s="8" t="s">
        <v>77</v>
      </c>
      <c r="L98" s="8" t="s">
        <v>76</v>
      </c>
      <c r="M98" s="8" t="s">
        <v>46</v>
      </c>
      <c r="N98" s="8" t="s">
        <v>47</v>
      </c>
      <c r="O98" s="8" t="s">
        <v>46</v>
      </c>
      <c r="P98" s="8" t="s">
        <v>32</v>
      </c>
      <c r="T98" s="8">
        <f>MATCH(D98,Allocation!A:A,0)</f>
        <v>46</v>
      </c>
    </row>
    <row r="99" spans="1:20" x14ac:dyDescent="0.35">
      <c r="A99" s="8" t="s">
        <v>31</v>
      </c>
      <c r="B99" s="8" t="s">
        <v>32</v>
      </c>
      <c r="C99" s="8" t="s">
        <v>6</v>
      </c>
      <c r="D99" s="8" t="s">
        <v>78</v>
      </c>
      <c r="E99" s="8">
        <v>37.35</v>
      </c>
      <c r="F99" s="8" t="s">
        <v>34</v>
      </c>
      <c r="G99" s="8" t="s">
        <v>78</v>
      </c>
      <c r="H99" s="8" t="s">
        <v>79</v>
      </c>
      <c r="I99" s="8" t="s">
        <v>78</v>
      </c>
      <c r="J99" s="8" t="s">
        <v>80</v>
      </c>
      <c r="K99" s="8" t="s">
        <v>81</v>
      </c>
      <c r="L99" s="8" t="s">
        <v>32</v>
      </c>
      <c r="M99" s="8" t="s">
        <v>32</v>
      </c>
      <c r="N99" s="8" t="s">
        <v>32</v>
      </c>
      <c r="O99" s="8" t="s">
        <v>32</v>
      </c>
      <c r="P99" s="8" t="s">
        <v>32</v>
      </c>
      <c r="T99" s="8">
        <f>MATCH(D99,Allocation!A:A,0)</f>
        <v>8</v>
      </c>
    </row>
    <row r="100" spans="1:20" x14ac:dyDescent="0.35">
      <c r="A100" s="8" t="s">
        <v>31</v>
      </c>
      <c r="B100" s="8" t="s">
        <v>37</v>
      </c>
      <c r="C100" s="8" t="s">
        <v>6</v>
      </c>
      <c r="D100" s="8" t="s">
        <v>78</v>
      </c>
      <c r="E100" s="8">
        <v>0</v>
      </c>
      <c r="F100" s="8" t="s">
        <v>34</v>
      </c>
      <c r="G100" s="8" t="s">
        <v>78</v>
      </c>
      <c r="H100" s="8" t="s">
        <v>79</v>
      </c>
      <c r="I100" s="8" t="s">
        <v>78</v>
      </c>
      <c r="J100" s="8" t="s">
        <v>80</v>
      </c>
      <c r="K100" s="8" t="s">
        <v>81</v>
      </c>
      <c r="L100" s="8" t="s">
        <v>32</v>
      </c>
      <c r="M100" s="8" t="s">
        <v>32</v>
      </c>
      <c r="N100" s="8" t="s">
        <v>32</v>
      </c>
      <c r="O100" s="8" t="s">
        <v>32</v>
      </c>
      <c r="P100" s="8" t="s">
        <v>32</v>
      </c>
      <c r="T100" s="8">
        <f>MATCH(D100,Allocation!A:A,0)</f>
        <v>8</v>
      </c>
    </row>
    <row r="101" spans="1:20" x14ac:dyDescent="0.35">
      <c r="A101" s="8" t="s">
        <v>167</v>
      </c>
      <c r="B101" s="8" t="s">
        <v>32</v>
      </c>
      <c r="C101" s="8" t="s">
        <v>8</v>
      </c>
      <c r="D101" s="8" t="s">
        <v>78</v>
      </c>
      <c r="E101" s="8">
        <v>-71.349999999999994</v>
      </c>
      <c r="F101" s="8" t="s">
        <v>169</v>
      </c>
      <c r="G101" s="8" t="s">
        <v>78</v>
      </c>
      <c r="H101" s="8" t="s">
        <v>79</v>
      </c>
      <c r="I101" s="8" t="s">
        <v>78</v>
      </c>
      <c r="J101" s="8" t="s">
        <v>80</v>
      </c>
      <c r="K101" s="8" t="s">
        <v>81</v>
      </c>
      <c r="L101" s="8" t="s">
        <v>32</v>
      </c>
      <c r="M101" s="8" t="s">
        <v>32</v>
      </c>
      <c r="N101" s="8" t="s">
        <v>32</v>
      </c>
      <c r="O101" s="8" t="s">
        <v>32</v>
      </c>
      <c r="P101" s="8" t="s">
        <v>32</v>
      </c>
      <c r="T101" s="8">
        <f>MATCH(D101,Allocation!A:A,0)</f>
        <v>8</v>
      </c>
    </row>
    <row r="102" spans="1:20" x14ac:dyDescent="0.35">
      <c r="A102" s="8" t="s">
        <v>171</v>
      </c>
      <c r="B102" s="8" t="s">
        <v>172</v>
      </c>
      <c r="C102" s="8" t="s">
        <v>9</v>
      </c>
      <c r="D102" s="8" t="s">
        <v>78</v>
      </c>
      <c r="E102" s="8">
        <v>-323.5</v>
      </c>
      <c r="F102" s="8" t="s">
        <v>169</v>
      </c>
      <c r="G102" s="8" t="s">
        <v>78</v>
      </c>
      <c r="H102" s="8" t="s">
        <v>79</v>
      </c>
      <c r="I102" s="8" t="s">
        <v>78</v>
      </c>
      <c r="J102" s="8" t="s">
        <v>80</v>
      </c>
      <c r="K102" s="8" t="s">
        <v>81</v>
      </c>
      <c r="L102" s="8" t="s">
        <v>32</v>
      </c>
      <c r="M102" s="8" t="s">
        <v>32</v>
      </c>
      <c r="N102" s="8" t="s">
        <v>32</v>
      </c>
      <c r="O102" s="8" t="s">
        <v>32</v>
      </c>
      <c r="P102" s="8" t="s">
        <v>32</v>
      </c>
      <c r="T102" s="8">
        <f>MATCH(D102,Allocation!A:A,0)</f>
        <v>8</v>
      </c>
    </row>
    <row r="103" spans="1:20" x14ac:dyDescent="0.35">
      <c r="A103" s="8" t="s">
        <v>173</v>
      </c>
      <c r="B103" s="8" t="s">
        <v>174</v>
      </c>
      <c r="C103" s="8" t="s">
        <v>10</v>
      </c>
      <c r="D103" s="8" t="s">
        <v>78</v>
      </c>
      <c r="E103" s="8">
        <v>357.5</v>
      </c>
      <c r="F103" s="8" t="s">
        <v>34</v>
      </c>
      <c r="G103" s="8" t="s">
        <v>78</v>
      </c>
      <c r="H103" s="8" t="s">
        <v>79</v>
      </c>
      <c r="I103" s="8" t="s">
        <v>78</v>
      </c>
      <c r="J103" s="8" t="s">
        <v>80</v>
      </c>
      <c r="K103" s="8" t="s">
        <v>81</v>
      </c>
      <c r="L103" s="8" t="s">
        <v>32</v>
      </c>
      <c r="M103" s="8" t="s">
        <v>32</v>
      </c>
      <c r="N103" s="8" t="s">
        <v>32</v>
      </c>
      <c r="O103" s="8" t="s">
        <v>32</v>
      </c>
      <c r="P103" s="8" t="s">
        <v>32</v>
      </c>
      <c r="T103" s="8">
        <f>MATCH(D103,Allocation!A:A,0)</f>
        <v>8</v>
      </c>
    </row>
    <row r="104" spans="1:20" x14ac:dyDescent="0.35">
      <c r="A104" s="8" t="s">
        <v>175</v>
      </c>
      <c r="B104" s="8" t="s">
        <v>172</v>
      </c>
      <c r="C104" s="8" t="s">
        <v>9</v>
      </c>
      <c r="D104" s="8" t="s">
        <v>78</v>
      </c>
      <c r="E104" s="8">
        <v>-71.349999999999994</v>
      </c>
      <c r="F104" s="8" t="s">
        <v>169</v>
      </c>
      <c r="G104" s="8" t="s">
        <v>78</v>
      </c>
      <c r="H104" s="8" t="s">
        <v>79</v>
      </c>
      <c r="I104" s="8" t="s">
        <v>78</v>
      </c>
      <c r="J104" s="8" t="s">
        <v>80</v>
      </c>
      <c r="K104" s="8" t="s">
        <v>81</v>
      </c>
      <c r="L104" s="8" t="s">
        <v>32</v>
      </c>
      <c r="M104" s="8" t="s">
        <v>32</v>
      </c>
      <c r="N104" s="8" t="s">
        <v>32</v>
      </c>
      <c r="O104" s="8" t="s">
        <v>32</v>
      </c>
      <c r="P104" s="8" t="s">
        <v>32</v>
      </c>
      <c r="T104" s="8">
        <f>MATCH(D104,Allocation!A:A,0)</f>
        <v>8</v>
      </c>
    </row>
    <row r="105" spans="1:20" x14ac:dyDescent="0.35">
      <c r="A105" s="8" t="s">
        <v>175</v>
      </c>
      <c r="B105" s="8" t="s">
        <v>32</v>
      </c>
      <c r="C105" s="8" t="s">
        <v>8</v>
      </c>
      <c r="D105" s="8" t="s">
        <v>78</v>
      </c>
      <c r="E105" s="8">
        <v>71.349999999999994</v>
      </c>
      <c r="F105" s="8" t="s">
        <v>34</v>
      </c>
      <c r="G105" s="8" t="s">
        <v>78</v>
      </c>
      <c r="H105" s="8" t="s">
        <v>79</v>
      </c>
      <c r="I105" s="8" t="s">
        <v>78</v>
      </c>
      <c r="J105" s="8" t="s">
        <v>80</v>
      </c>
      <c r="K105" s="8" t="s">
        <v>81</v>
      </c>
      <c r="L105" s="8" t="s">
        <v>32</v>
      </c>
      <c r="M105" s="8" t="s">
        <v>32</v>
      </c>
      <c r="N105" s="8" t="s">
        <v>32</v>
      </c>
      <c r="O105" s="8" t="s">
        <v>32</v>
      </c>
      <c r="P105" s="8" t="s">
        <v>32</v>
      </c>
      <c r="T105" s="8">
        <f>MATCH(D105,Allocation!A:A,0)</f>
        <v>8</v>
      </c>
    </row>
    <row r="106" spans="1:20" x14ac:dyDescent="0.35">
      <c r="A106" s="8" t="s">
        <v>31</v>
      </c>
      <c r="B106" s="8" t="s">
        <v>32</v>
      </c>
      <c r="C106" s="8" t="s">
        <v>6</v>
      </c>
      <c r="D106" s="8" t="s">
        <v>83</v>
      </c>
      <c r="E106" s="8">
        <v>93.03</v>
      </c>
      <c r="F106" s="8" t="s">
        <v>34</v>
      </c>
      <c r="G106" s="8" t="s">
        <v>84</v>
      </c>
      <c r="H106" s="8" t="s">
        <v>85</v>
      </c>
      <c r="I106" s="8" t="s">
        <v>84</v>
      </c>
      <c r="J106" s="8" t="s">
        <v>86</v>
      </c>
      <c r="K106" s="8" t="s">
        <v>87</v>
      </c>
      <c r="L106" s="8" t="s">
        <v>86</v>
      </c>
      <c r="M106" s="8" t="s">
        <v>66</v>
      </c>
      <c r="N106" s="8" t="s">
        <v>67</v>
      </c>
      <c r="O106" s="8" t="s">
        <v>66</v>
      </c>
      <c r="P106" s="8" t="s">
        <v>32</v>
      </c>
      <c r="T106" s="8">
        <f>MATCH(D106,Allocation!A:A,0)</f>
        <v>15</v>
      </c>
    </row>
    <row r="107" spans="1:20" x14ac:dyDescent="0.35">
      <c r="A107" s="8" t="s">
        <v>31</v>
      </c>
      <c r="B107" s="8" t="s">
        <v>37</v>
      </c>
      <c r="C107" s="8" t="s">
        <v>6</v>
      </c>
      <c r="D107" s="8" t="s">
        <v>83</v>
      </c>
      <c r="E107" s="8">
        <v>0</v>
      </c>
      <c r="F107" s="8" t="s">
        <v>34</v>
      </c>
      <c r="G107" s="8" t="s">
        <v>84</v>
      </c>
      <c r="H107" s="8" t="s">
        <v>85</v>
      </c>
      <c r="I107" s="8" t="s">
        <v>84</v>
      </c>
      <c r="J107" s="8" t="s">
        <v>86</v>
      </c>
      <c r="K107" s="8" t="s">
        <v>87</v>
      </c>
      <c r="L107" s="8" t="s">
        <v>86</v>
      </c>
      <c r="M107" s="8" t="s">
        <v>66</v>
      </c>
      <c r="N107" s="8" t="s">
        <v>67</v>
      </c>
      <c r="O107" s="8" t="s">
        <v>66</v>
      </c>
      <c r="P107" s="8" t="s">
        <v>32</v>
      </c>
      <c r="T107" s="8">
        <f>MATCH(D107,Allocation!A:A,0)</f>
        <v>15</v>
      </c>
    </row>
    <row r="108" spans="1:20" x14ac:dyDescent="0.35">
      <c r="A108" s="8" t="s">
        <v>167</v>
      </c>
      <c r="B108" s="8" t="s">
        <v>32</v>
      </c>
      <c r="C108" s="8" t="s">
        <v>7</v>
      </c>
      <c r="D108" s="8" t="s">
        <v>83</v>
      </c>
      <c r="E108" s="8">
        <v>-123.62</v>
      </c>
      <c r="F108" s="8" t="s">
        <v>169</v>
      </c>
      <c r="G108" s="8" t="s">
        <v>84</v>
      </c>
      <c r="H108" s="8" t="s">
        <v>85</v>
      </c>
      <c r="I108" s="8" t="s">
        <v>84</v>
      </c>
      <c r="J108" s="8" t="s">
        <v>86</v>
      </c>
      <c r="K108" s="8" t="s">
        <v>87</v>
      </c>
      <c r="L108" s="8" t="s">
        <v>86</v>
      </c>
      <c r="M108" s="8" t="s">
        <v>66</v>
      </c>
      <c r="N108" s="8" t="s">
        <v>67</v>
      </c>
      <c r="O108" s="8" t="s">
        <v>66</v>
      </c>
      <c r="P108" s="8" t="s">
        <v>32</v>
      </c>
      <c r="T108" s="8">
        <f>MATCH(D108,Allocation!A:A,0)</f>
        <v>15</v>
      </c>
    </row>
    <row r="109" spans="1:20" x14ac:dyDescent="0.35">
      <c r="A109" s="8" t="s">
        <v>167</v>
      </c>
      <c r="B109" s="8" t="s">
        <v>32</v>
      </c>
      <c r="C109" s="8" t="s">
        <v>8</v>
      </c>
      <c r="D109" s="8" t="s">
        <v>83</v>
      </c>
      <c r="E109" s="8">
        <v>-201.81</v>
      </c>
      <c r="F109" s="8" t="s">
        <v>169</v>
      </c>
      <c r="G109" s="8" t="s">
        <v>84</v>
      </c>
      <c r="H109" s="8" t="s">
        <v>85</v>
      </c>
      <c r="I109" s="8" t="s">
        <v>84</v>
      </c>
      <c r="J109" s="8" t="s">
        <v>86</v>
      </c>
      <c r="K109" s="8" t="s">
        <v>87</v>
      </c>
      <c r="L109" s="8" t="s">
        <v>86</v>
      </c>
      <c r="M109" s="8" t="s">
        <v>66</v>
      </c>
      <c r="N109" s="8" t="s">
        <v>67</v>
      </c>
      <c r="O109" s="8" t="s">
        <v>66</v>
      </c>
      <c r="P109" s="8" t="s">
        <v>32</v>
      </c>
      <c r="T109" s="8">
        <f>MATCH(D109,Allocation!A:A,0)</f>
        <v>15</v>
      </c>
    </row>
    <row r="110" spans="1:20" x14ac:dyDescent="0.35">
      <c r="A110" s="8" t="s">
        <v>171</v>
      </c>
      <c r="B110" s="8" t="s">
        <v>172</v>
      </c>
      <c r="C110" s="8" t="s">
        <v>9</v>
      </c>
      <c r="D110" s="8" t="s">
        <v>83</v>
      </c>
      <c r="E110" s="8">
        <v>-732.4</v>
      </c>
      <c r="F110" s="8" t="s">
        <v>169</v>
      </c>
      <c r="G110" s="8" t="s">
        <v>84</v>
      </c>
      <c r="H110" s="8" t="s">
        <v>85</v>
      </c>
      <c r="I110" s="8" t="s">
        <v>84</v>
      </c>
      <c r="J110" s="8" t="s">
        <v>86</v>
      </c>
      <c r="K110" s="8" t="s">
        <v>87</v>
      </c>
      <c r="L110" s="8" t="s">
        <v>86</v>
      </c>
      <c r="M110" s="8" t="s">
        <v>66</v>
      </c>
      <c r="N110" s="8" t="s">
        <v>67</v>
      </c>
      <c r="O110" s="8" t="s">
        <v>66</v>
      </c>
      <c r="P110" s="8" t="s">
        <v>32</v>
      </c>
      <c r="T110" s="8">
        <f>MATCH(D110,Allocation!A:A,0)</f>
        <v>15</v>
      </c>
    </row>
    <row r="111" spans="1:20" x14ac:dyDescent="0.35">
      <c r="A111" s="8" t="s">
        <v>173</v>
      </c>
      <c r="B111" s="8" t="s">
        <v>174</v>
      </c>
      <c r="C111" s="8" t="s">
        <v>10</v>
      </c>
      <c r="D111" s="8" t="s">
        <v>83</v>
      </c>
      <c r="E111" s="8">
        <v>964.8</v>
      </c>
      <c r="F111" s="8" t="s">
        <v>34</v>
      </c>
      <c r="G111" s="8" t="s">
        <v>84</v>
      </c>
      <c r="H111" s="8" t="s">
        <v>85</v>
      </c>
      <c r="I111" s="8" t="s">
        <v>84</v>
      </c>
      <c r="J111" s="8" t="s">
        <v>86</v>
      </c>
      <c r="K111" s="8" t="s">
        <v>87</v>
      </c>
      <c r="L111" s="8" t="s">
        <v>86</v>
      </c>
      <c r="M111" s="8" t="s">
        <v>66</v>
      </c>
      <c r="N111" s="8" t="s">
        <v>67</v>
      </c>
      <c r="O111" s="8" t="s">
        <v>66</v>
      </c>
      <c r="P111" s="8" t="s">
        <v>32</v>
      </c>
      <c r="T111" s="8">
        <f>MATCH(D111,Allocation!A:A,0)</f>
        <v>15</v>
      </c>
    </row>
    <row r="112" spans="1:20" x14ac:dyDescent="0.35">
      <c r="A112" s="8" t="s">
        <v>175</v>
      </c>
      <c r="B112" s="8" t="s">
        <v>172</v>
      </c>
      <c r="C112" s="8" t="s">
        <v>9</v>
      </c>
      <c r="D112" s="8" t="s">
        <v>83</v>
      </c>
      <c r="E112" s="8">
        <v>-201.81</v>
      </c>
      <c r="F112" s="8" t="s">
        <v>169</v>
      </c>
      <c r="G112" s="8" t="s">
        <v>84</v>
      </c>
      <c r="H112" s="8" t="s">
        <v>85</v>
      </c>
      <c r="I112" s="8" t="s">
        <v>84</v>
      </c>
      <c r="J112" s="8" t="s">
        <v>86</v>
      </c>
      <c r="K112" s="8" t="s">
        <v>87</v>
      </c>
      <c r="L112" s="8" t="s">
        <v>86</v>
      </c>
      <c r="M112" s="8" t="s">
        <v>66</v>
      </c>
      <c r="N112" s="8" t="s">
        <v>67</v>
      </c>
      <c r="O112" s="8" t="s">
        <v>66</v>
      </c>
      <c r="P112" s="8" t="s">
        <v>32</v>
      </c>
      <c r="T112" s="8">
        <f>MATCH(D112,Allocation!A:A,0)</f>
        <v>15</v>
      </c>
    </row>
    <row r="113" spans="1:20" x14ac:dyDescent="0.35">
      <c r="A113" s="8" t="s">
        <v>175</v>
      </c>
      <c r="B113" s="8" t="s">
        <v>32</v>
      </c>
      <c r="C113" s="8" t="s">
        <v>8</v>
      </c>
      <c r="D113" s="8" t="s">
        <v>83</v>
      </c>
      <c r="E113" s="8">
        <v>201.81</v>
      </c>
      <c r="F113" s="8" t="s">
        <v>34</v>
      </c>
      <c r="G113" s="8" t="s">
        <v>84</v>
      </c>
      <c r="H113" s="8" t="s">
        <v>85</v>
      </c>
      <c r="I113" s="8" t="s">
        <v>84</v>
      </c>
      <c r="J113" s="8" t="s">
        <v>86</v>
      </c>
      <c r="K113" s="8" t="s">
        <v>87</v>
      </c>
      <c r="L113" s="8" t="s">
        <v>86</v>
      </c>
      <c r="M113" s="8" t="s">
        <v>66</v>
      </c>
      <c r="N113" s="8" t="s">
        <v>67</v>
      </c>
      <c r="O113" s="8" t="s">
        <v>66</v>
      </c>
      <c r="P113" s="8" t="s">
        <v>32</v>
      </c>
      <c r="T113" s="8">
        <f>MATCH(D113,Allocation!A:A,0)</f>
        <v>15</v>
      </c>
    </row>
    <row r="114" spans="1:20" x14ac:dyDescent="0.35">
      <c r="A114" s="8" t="s">
        <v>31</v>
      </c>
      <c r="B114" s="8" t="s">
        <v>32</v>
      </c>
      <c r="C114" s="8" t="s">
        <v>6</v>
      </c>
      <c r="D114" s="8" t="s">
        <v>88</v>
      </c>
      <c r="E114" s="8">
        <v>43.02</v>
      </c>
      <c r="F114" s="8" t="s">
        <v>34</v>
      </c>
      <c r="G114" s="8" t="s">
        <v>89</v>
      </c>
      <c r="H114" s="8" t="s">
        <v>90</v>
      </c>
      <c r="I114" s="8" t="s">
        <v>89</v>
      </c>
      <c r="J114" s="8" t="s">
        <v>91</v>
      </c>
      <c r="K114" s="8" t="s">
        <v>92</v>
      </c>
      <c r="L114" s="8" t="s">
        <v>91</v>
      </c>
      <c r="M114" s="8" t="s">
        <v>93</v>
      </c>
      <c r="N114" s="8" t="s">
        <v>94</v>
      </c>
      <c r="O114" s="8" t="s">
        <v>93</v>
      </c>
      <c r="P114" s="8" t="s">
        <v>32</v>
      </c>
      <c r="T114" s="8">
        <f>MATCH(D114,Allocation!A:A,0)</f>
        <v>48</v>
      </c>
    </row>
    <row r="115" spans="1:20" x14ac:dyDescent="0.35">
      <c r="A115" s="8" t="s">
        <v>31</v>
      </c>
      <c r="B115" s="8" t="s">
        <v>37</v>
      </c>
      <c r="C115" s="8" t="s">
        <v>6</v>
      </c>
      <c r="D115" s="8" t="s">
        <v>88</v>
      </c>
      <c r="E115" s="8">
        <v>0</v>
      </c>
      <c r="F115" s="8" t="s">
        <v>34</v>
      </c>
      <c r="G115" s="8" t="s">
        <v>89</v>
      </c>
      <c r="H115" s="8" t="s">
        <v>90</v>
      </c>
      <c r="I115" s="8" t="s">
        <v>89</v>
      </c>
      <c r="J115" s="8" t="s">
        <v>91</v>
      </c>
      <c r="K115" s="8" t="s">
        <v>92</v>
      </c>
      <c r="L115" s="8" t="s">
        <v>91</v>
      </c>
      <c r="M115" s="8" t="s">
        <v>93</v>
      </c>
      <c r="N115" s="8" t="s">
        <v>94</v>
      </c>
      <c r="O115" s="8" t="s">
        <v>93</v>
      </c>
      <c r="P115" s="8" t="s">
        <v>32</v>
      </c>
      <c r="T115" s="8">
        <f>MATCH(D115,Allocation!A:A,0)</f>
        <v>48</v>
      </c>
    </row>
    <row r="116" spans="1:20" x14ac:dyDescent="0.35">
      <c r="A116" s="8" t="s">
        <v>167</v>
      </c>
      <c r="B116" s="8" t="s">
        <v>32</v>
      </c>
      <c r="C116" s="8" t="s">
        <v>7</v>
      </c>
      <c r="D116" s="8" t="s">
        <v>88</v>
      </c>
      <c r="E116" s="8">
        <v>-31.01</v>
      </c>
      <c r="F116" s="8" t="s">
        <v>169</v>
      </c>
      <c r="G116" s="8" t="s">
        <v>89</v>
      </c>
      <c r="H116" s="8" t="s">
        <v>90</v>
      </c>
      <c r="I116" s="8" t="s">
        <v>89</v>
      </c>
      <c r="J116" s="8" t="s">
        <v>91</v>
      </c>
      <c r="K116" s="8" t="s">
        <v>92</v>
      </c>
      <c r="L116" s="8" t="s">
        <v>91</v>
      </c>
      <c r="M116" s="8" t="s">
        <v>93</v>
      </c>
      <c r="N116" s="8" t="s">
        <v>94</v>
      </c>
      <c r="O116" s="8" t="s">
        <v>93</v>
      </c>
      <c r="P116" s="8" t="s">
        <v>32</v>
      </c>
      <c r="T116" s="8">
        <f>MATCH(D116,Allocation!A:A,0)</f>
        <v>48</v>
      </c>
    </row>
    <row r="117" spans="1:20" x14ac:dyDescent="0.35">
      <c r="A117" s="8" t="s">
        <v>167</v>
      </c>
      <c r="B117" s="8" t="s">
        <v>32</v>
      </c>
      <c r="C117" s="8" t="s">
        <v>8</v>
      </c>
      <c r="D117" s="8" t="s">
        <v>88</v>
      </c>
      <c r="E117" s="8">
        <v>-146.63</v>
      </c>
      <c r="F117" s="8" t="s">
        <v>169</v>
      </c>
      <c r="G117" s="8" t="s">
        <v>89</v>
      </c>
      <c r="H117" s="8" t="s">
        <v>90</v>
      </c>
      <c r="I117" s="8" t="s">
        <v>89</v>
      </c>
      <c r="J117" s="8" t="s">
        <v>91</v>
      </c>
      <c r="K117" s="8" t="s">
        <v>92</v>
      </c>
      <c r="L117" s="8" t="s">
        <v>91</v>
      </c>
      <c r="M117" s="8" t="s">
        <v>93</v>
      </c>
      <c r="N117" s="8" t="s">
        <v>94</v>
      </c>
      <c r="O117" s="8" t="s">
        <v>93</v>
      </c>
      <c r="P117" s="8" t="s">
        <v>32</v>
      </c>
      <c r="T117" s="8">
        <f>MATCH(D117,Allocation!A:A,0)</f>
        <v>48</v>
      </c>
    </row>
    <row r="118" spans="1:20" x14ac:dyDescent="0.35">
      <c r="A118" s="8" t="s">
        <v>171</v>
      </c>
      <c r="B118" s="8" t="s">
        <v>172</v>
      </c>
      <c r="C118" s="8" t="s">
        <v>9</v>
      </c>
      <c r="D118" s="8" t="s">
        <v>88</v>
      </c>
      <c r="E118" s="8">
        <v>-288.45999999999998</v>
      </c>
      <c r="F118" s="8" t="s">
        <v>169</v>
      </c>
      <c r="G118" s="8" t="s">
        <v>89</v>
      </c>
      <c r="H118" s="8" t="s">
        <v>90</v>
      </c>
      <c r="I118" s="8" t="s">
        <v>89</v>
      </c>
      <c r="J118" s="8" t="s">
        <v>91</v>
      </c>
      <c r="K118" s="8" t="s">
        <v>92</v>
      </c>
      <c r="L118" s="8" t="s">
        <v>91</v>
      </c>
      <c r="M118" s="8" t="s">
        <v>93</v>
      </c>
      <c r="N118" s="8" t="s">
        <v>94</v>
      </c>
      <c r="O118" s="8" t="s">
        <v>93</v>
      </c>
      <c r="P118" s="8" t="s">
        <v>32</v>
      </c>
      <c r="T118" s="8">
        <f>MATCH(D118,Allocation!A:A,0)</f>
        <v>48</v>
      </c>
    </row>
    <row r="119" spans="1:20" x14ac:dyDescent="0.35">
      <c r="A119" s="8" t="s">
        <v>173</v>
      </c>
      <c r="B119" s="8" t="s">
        <v>174</v>
      </c>
      <c r="C119" s="8" t="s">
        <v>10</v>
      </c>
      <c r="D119" s="8" t="s">
        <v>88</v>
      </c>
      <c r="E119" s="8">
        <v>423.08</v>
      </c>
      <c r="F119" s="8" t="s">
        <v>34</v>
      </c>
      <c r="G119" s="8" t="s">
        <v>89</v>
      </c>
      <c r="H119" s="8" t="s">
        <v>90</v>
      </c>
      <c r="I119" s="8" t="s">
        <v>89</v>
      </c>
      <c r="J119" s="8" t="s">
        <v>91</v>
      </c>
      <c r="K119" s="8" t="s">
        <v>92</v>
      </c>
      <c r="L119" s="8" t="s">
        <v>91</v>
      </c>
      <c r="M119" s="8" t="s">
        <v>93</v>
      </c>
      <c r="N119" s="8" t="s">
        <v>94</v>
      </c>
      <c r="O119" s="8" t="s">
        <v>93</v>
      </c>
      <c r="P119" s="8" t="s">
        <v>32</v>
      </c>
      <c r="T119" s="8">
        <f>MATCH(D119,Allocation!A:A,0)</f>
        <v>48</v>
      </c>
    </row>
    <row r="120" spans="1:20" x14ac:dyDescent="0.35">
      <c r="A120" s="8" t="s">
        <v>175</v>
      </c>
      <c r="B120" s="8" t="s">
        <v>172</v>
      </c>
      <c r="C120" s="8" t="s">
        <v>9</v>
      </c>
      <c r="D120" s="8" t="s">
        <v>88</v>
      </c>
      <c r="E120" s="8">
        <v>-146.63</v>
      </c>
      <c r="F120" s="8" t="s">
        <v>169</v>
      </c>
      <c r="G120" s="8" t="s">
        <v>89</v>
      </c>
      <c r="H120" s="8" t="s">
        <v>90</v>
      </c>
      <c r="I120" s="8" t="s">
        <v>89</v>
      </c>
      <c r="J120" s="8" t="s">
        <v>91</v>
      </c>
      <c r="K120" s="8" t="s">
        <v>92</v>
      </c>
      <c r="L120" s="8" t="s">
        <v>91</v>
      </c>
      <c r="M120" s="8" t="s">
        <v>93</v>
      </c>
      <c r="N120" s="8" t="s">
        <v>94</v>
      </c>
      <c r="O120" s="8" t="s">
        <v>93</v>
      </c>
      <c r="P120" s="8" t="s">
        <v>32</v>
      </c>
      <c r="T120" s="8">
        <f>MATCH(D120,Allocation!A:A,0)</f>
        <v>48</v>
      </c>
    </row>
    <row r="121" spans="1:20" x14ac:dyDescent="0.35">
      <c r="A121" s="8" t="s">
        <v>175</v>
      </c>
      <c r="B121" s="8" t="s">
        <v>32</v>
      </c>
      <c r="C121" s="8" t="s">
        <v>8</v>
      </c>
      <c r="D121" s="8" t="s">
        <v>88</v>
      </c>
      <c r="E121" s="8">
        <v>146.63</v>
      </c>
      <c r="F121" s="8" t="s">
        <v>34</v>
      </c>
      <c r="G121" s="8" t="s">
        <v>89</v>
      </c>
      <c r="H121" s="8" t="s">
        <v>90</v>
      </c>
      <c r="I121" s="8" t="s">
        <v>89</v>
      </c>
      <c r="J121" s="8" t="s">
        <v>91</v>
      </c>
      <c r="K121" s="8" t="s">
        <v>92</v>
      </c>
      <c r="L121" s="8" t="s">
        <v>91</v>
      </c>
      <c r="M121" s="8" t="s">
        <v>93</v>
      </c>
      <c r="N121" s="8" t="s">
        <v>94</v>
      </c>
      <c r="O121" s="8" t="s">
        <v>93</v>
      </c>
      <c r="P121" s="8" t="s">
        <v>32</v>
      </c>
      <c r="T121" s="8">
        <f>MATCH(D121,Allocation!A:A,0)</f>
        <v>48</v>
      </c>
    </row>
    <row r="122" spans="1:20" x14ac:dyDescent="0.35">
      <c r="A122" s="8" t="s">
        <v>31</v>
      </c>
      <c r="B122" s="8" t="s">
        <v>32</v>
      </c>
      <c r="C122" s="8" t="s">
        <v>6</v>
      </c>
      <c r="D122" s="8" t="s">
        <v>95</v>
      </c>
      <c r="E122" s="8">
        <v>83.43</v>
      </c>
      <c r="F122" s="8" t="s">
        <v>34</v>
      </c>
      <c r="G122" s="8" t="s">
        <v>89</v>
      </c>
      <c r="H122" s="8" t="s">
        <v>90</v>
      </c>
      <c r="I122" s="8" t="s">
        <v>89</v>
      </c>
      <c r="J122" s="8" t="s">
        <v>96</v>
      </c>
      <c r="K122" s="8" t="s">
        <v>97</v>
      </c>
      <c r="L122" s="8" t="s">
        <v>96</v>
      </c>
      <c r="M122" s="8" t="s">
        <v>61</v>
      </c>
      <c r="N122" s="8" t="s">
        <v>62</v>
      </c>
      <c r="O122" s="8" t="s">
        <v>61</v>
      </c>
      <c r="P122" s="8" t="s">
        <v>32</v>
      </c>
      <c r="T122" s="8">
        <f>MATCH(D122,Allocation!A:A,0)</f>
        <v>43</v>
      </c>
    </row>
    <row r="123" spans="1:20" x14ac:dyDescent="0.35">
      <c r="A123" s="8" t="s">
        <v>31</v>
      </c>
      <c r="B123" s="8" t="s">
        <v>37</v>
      </c>
      <c r="C123" s="8" t="s">
        <v>6</v>
      </c>
      <c r="D123" s="8" t="s">
        <v>95</v>
      </c>
      <c r="E123" s="8">
        <v>0</v>
      </c>
      <c r="F123" s="8" t="s">
        <v>34</v>
      </c>
      <c r="G123" s="8" t="s">
        <v>89</v>
      </c>
      <c r="H123" s="8" t="s">
        <v>90</v>
      </c>
      <c r="I123" s="8" t="s">
        <v>89</v>
      </c>
      <c r="J123" s="8" t="s">
        <v>96</v>
      </c>
      <c r="K123" s="8" t="s">
        <v>97</v>
      </c>
      <c r="L123" s="8" t="s">
        <v>96</v>
      </c>
      <c r="M123" s="8" t="s">
        <v>61</v>
      </c>
      <c r="N123" s="8" t="s">
        <v>62</v>
      </c>
      <c r="O123" s="8" t="s">
        <v>61</v>
      </c>
      <c r="P123" s="8" t="s">
        <v>32</v>
      </c>
      <c r="T123" s="8">
        <f>MATCH(D123,Allocation!A:A,0)</f>
        <v>43</v>
      </c>
    </row>
    <row r="124" spans="1:20" x14ac:dyDescent="0.35">
      <c r="A124" s="8" t="s">
        <v>167</v>
      </c>
      <c r="B124" s="8" t="s">
        <v>170</v>
      </c>
      <c r="C124" s="8" t="s">
        <v>7</v>
      </c>
      <c r="D124" s="8" t="s">
        <v>95</v>
      </c>
      <c r="E124" s="8">
        <v>-23.86</v>
      </c>
      <c r="F124" s="8" t="s">
        <v>169</v>
      </c>
      <c r="G124" s="8" t="s">
        <v>89</v>
      </c>
      <c r="H124" s="8" t="s">
        <v>90</v>
      </c>
      <c r="I124" s="8" t="s">
        <v>89</v>
      </c>
      <c r="J124" s="8" t="s">
        <v>96</v>
      </c>
      <c r="K124" s="8" t="s">
        <v>97</v>
      </c>
      <c r="L124" s="8" t="s">
        <v>96</v>
      </c>
      <c r="M124" s="8" t="s">
        <v>61</v>
      </c>
      <c r="N124" s="8" t="s">
        <v>62</v>
      </c>
      <c r="O124" s="8" t="s">
        <v>61</v>
      </c>
      <c r="P124" s="8" t="s">
        <v>32</v>
      </c>
      <c r="T124" s="8">
        <f>MATCH(D124,Allocation!A:A,0)</f>
        <v>43</v>
      </c>
    </row>
    <row r="125" spans="1:20" x14ac:dyDescent="0.35">
      <c r="A125" s="8" t="s">
        <v>167</v>
      </c>
      <c r="B125" s="8" t="s">
        <v>32</v>
      </c>
      <c r="C125" s="8" t="s">
        <v>8</v>
      </c>
      <c r="D125" s="8" t="s">
        <v>95</v>
      </c>
      <c r="E125" s="8">
        <v>-290.52999999999997</v>
      </c>
      <c r="F125" s="8" t="s">
        <v>169</v>
      </c>
      <c r="G125" s="8" t="s">
        <v>89</v>
      </c>
      <c r="H125" s="8" t="s">
        <v>90</v>
      </c>
      <c r="I125" s="8" t="s">
        <v>89</v>
      </c>
      <c r="J125" s="8" t="s">
        <v>96</v>
      </c>
      <c r="K125" s="8" t="s">
        <v>97</v>
      </c>
      <c r="L125" s="8" t="s">
        <v>96</v>
      </c>
      <c r="M125" s="8" t="s">
        <v>61</v>
      </c>
      <c r="N125" s="8" t="s">
        <v>62</v>
      </c>
      <c r="O125" s="8" t="s">
        <v>61</v>
      </c>
      <c r="P125" s="8" t="s">
        <v>32</v>
      </c>
      <c r="T125" s="8">
        <f>MATCH(D125,Allocation!A:A,0)</f>
        <v>43</v>
      </c>
    </row>
    <row r="126" spans="1:20" x14ac:dyDescent="0.35">
      <c r="A126" s="8" t="s">
        <v>171</v>
      </c>
      <c r="B126" s="8" t="s">
        <v>172</v>
      </c>
      <c r="C126" s="8" t="s">
        <v>9</v>
      </c>
      <c r="D126" s="8" t="s">
        <v>95</v>
      </c>
      <c r="E126" s="8">
        <v>-586.29</v>
      </c>
      <c r="F126" s="8" t="s">
        <v>169</v>
      </c>
      <c r="G126" s="8" t="s">
        <v>89</v>
      </c>
      <c r="H126" s="8" t="s">
        <v>90</v>
      </c>
      <c r="I126" s="8" t="s">
        <v>89</v>
      </c>
      <c r="J126" s="8" t="s">
        <v>96</v>
      </c>
      <c r="K126" s="8" t="s">
        <v>97</v>
      </c>
      <c r="L126" s="8" t="s">
        <v>96</v>
      </c>
      <c r="M126" s="8" t="s">
        <v>61</v>
      </c>
      <c r="N126" s="8" t="s">
        <v>62</v>
      </c>
      <c r="O126" s="8" t="s">
        <v>61</v>
      </c>
      <c r="P126" s="8" t="s">
        <v>32</v>
      </c>
      <c r="T126" s="8">
        <f>MATCH(D126,Allocation!A:A,0)</f>
        <v>43</v>
      </c>
    </row>
    <row r="127" spans="1:20" x14ac:dyDescent="0.35">
      <c r="A127" s="8" t="s">
        <v>173</v>
      </c>
      <c r="B127" s="8" t="s">
        <v>174</v>
      </c>
      <c r="C127" s="8" t="s">
        <v>10</v>
      </c>
      <c r="D127" s="8" t="s">
        <v>95</v>
      </c>
      <c r="E127" s="8">
        <v>817.25</v>
      </c>
      <c r="F127" s="8" t="s">
        <v>34</v>
      </c>
      <c r="G127" s="8" t="s">
        <v>89</v>
      </c>
      <c r="H127" s="8" t="s">
        <v>90</v>
      </c>
      <c r="I127" s="8" t="s">
        <v>89</v>
      </c>
      <c r="J127" s="8" t="s">
        <v>96</v>
      </c>
      <c r="K127" s="8" t="s">
        <v>97</v>
      </c>
      <c r="L127" s="8" t="s">
        <v>96</v>
      </c>
      <c r="M127" s="8" t="s">
        <v>61</v>
      </c>
      <c r="N127" s="8" t="s">
        <v>62</v>
      </c>
      <c r="O127" s="8" t="s">
        <v>61</v>
      </c>
      <c r="P127" s="8" t="s">
        <v>32</v>
      </c>
      <c r="T127" s="8">
        <f>MATCH(D127,Allocation!A:A,0)</f>
        <v>43</v>
      </c>
    </row>
    <row r="128" spans="1:20" x14ac:dyDescent="0.35">
      <c r="A128" s="8" t="s">
        <v>175</v>
      </c>
      <c r="B128" s="8" t="s">
        <v>172</v>
      </c>
      <c r="C128" s="8" t="s">
        <v>9</v>
      </c>
      <c r="D128" s="8" t="s">
        <v>95</v>
      </c>
      <c r="E128" s="8">
        <v>-290.52999999999997</v>
      </c>
      <c r="F128" s="8" t="s">
        <v>169</v>
      </c>
      <c r="G128" s="8" t="s">
        <v>89</v>
      </c>
      <c r="H128" s="8" t="s">
        <v>90</v>
      </c>
      <c r="I128" s="8" t="s">
        <v>89</v>
      </c>
      <c r="J128" s="8" t="s">
        <v>96</v>
      </c>
      <c r="K128" s="8" t="s">
        <v>97</v>
      </c>
      <c r="L128" s="8" t="s">
        <v>96</v>
      </c>
      <c r="M128" s="8" t="s">
        <v>61</v>
      </c>
      <c r="N128" s="8" t="s">
        <v>62</v>
      </c>
      <c r="O128" s="8" t="s">
        <v>61</v>
      </c>
      <c r="P128" s="8" t="s">
        <v>32</v>
      </c>
      <c r="T128" s="8">
        <f>MATCH(D128,Allocation!A:A,0)</f>
        <v>43</v>
      </c>
    </row>
    <row r="129" spans="1:20" x14ac:dyDescent="0.35">
      <c r="A129" s="8" t="s">
        <v>175</v>
      </c>
      <c r="B129" s="8" t="s">
        <v>32</v>
      </c>
      <c r="C129" s="8" t="s">
        <v>8</v>
      </c>
      <c r="D129" s="8" t="s">
        <v>95</v>
      </c>
      <c r="E129" s="8">
        <v>290.52999999999997</v>
      </c>
      <c r="F129" s="8" t="s">
        <v>34</v>
      </c>
      <c r="G129" s="8" t="s">
        <v>89</v>
      </c>
      <c r="H129" s="8" t="s">
        <v>90</v>
      </c>
      <c r="I129" s="8" t="s">
        <v>89</v>
      </c>
      <c r="J129" s="8" t="s">
        <v>96</v>
      </c>
      <c r="K129" s="8" t="s">
        <v>97</v>
      </c>
      <c r="L129" s="8" t="s">
        <v>96</v>
      </c>
      <c r="M129" s="8" t="s">
        <v>61</v>
      </c>
      <c r="N129" s="8" t="s">
        <v>62</v>
      </c>
      <c r="O129" s="8" t="s">
        <v>61</v>
      </c>
      <c r="P129" s="8" t="s">
        <v>32</v>
      </c>
      <c r="T129" s="8">
        <f>MATCH(D129,Allocation!A:A,0)</f>
        <v>43</v>
      </c>
    </row>
    <row r="130" spans="1:20" x14ac:dyDescent="0.35">
      <c r="A130" s="8" t="s">
        <v>31</v>
      </c>
      <c r="B130" s="8" t="s">
        <v>32</v>
      </c>
      <c r="C130" s="8" t="s">
        <v>6</v>
      </c>
      <c r="D130" s="8" t="s">
        <v>315</v>
      </c>
      <c r="E130" s="8">
        <v>71.239999999999995</v>
      </c>
      <c r="F130" s="8" t="s">
        <v>34</v>
      </c>
      <c r="G130" s="8" t="s">
        <v>316</v>
      </c>
      <c r="H130" s="8" t="s">
        <v>243</v>
      </c>
      <c r="I130" s="8" t="s">
        <v>316</v>
      </c>
      <c r="J130" s="8" t="s">
        <v>105</v>
      </c>
      <c r="K130" s="8" t="s">
        <v>106</v>
      </c>
      <c r="L130" s="8" t="s">
        <v>105</v>
      </c>
      <c r="M130" s="8" t="s">
        <v>107</v>
      </c>
      <c r="N130" s="8" t="s">
        <v>108</v>
      </c>
      <c r="O130" s="8" t="s">
        <v>107</v>
      </c>
      <c r="P130" s="8" t="s">
        <v>32</v>
      </c>
      <c r="T130" s="8">
        <f>MATCH(D130,Allocation!A:A,0)</f>
        <v>31</v>
      </c>
    </row>
    <row r="131" spans="1:20" x14ac:dyDescent="0.35">
      <c r="A131" s="8" t="s">
        <v>31</v>
      </c>
      <c r="B131" s="8" t="s">
        <v>37</v>
      </c>
      <c r="C131" s="8" t="s">
        <v>6</v>
      </c>
      <c r="D131" s="8" t="s">
        <v>315</v>
      </c>
      <c r="E131" s="8">
        <v>0</v>
      </c>
      <c r="F131" s="8" t="s">
        <v>34</v>
      </c>
      <c r="G131" s="8" t="s">
        <v>316</v>
      </c>
      <c r="H131" s="8" t="s">
        <v>243</v>
      </c>
      <c r="I131" s="8" t="s">
        <v>316</v>
      </c>
      <c r="J131" s="8" t="s">
        <v>105</v>
      </c>
      <c r="K131" s="8" t="s">
        <v>106</v>
      </c>
      <c r="L131" s="8" t="s">
        <v>105</v>
      </c>
      <c r="M131" s="8" t="s">
        <v>107</v>
      </c>
      <c r="N131" s="8" t="s">
        <v>108</v>
      </c>
      <c r="O131" s="8" t="s">
        <v>107</v>
      </c>
      <c r="P131" s="8" t="s">
        <v>32</v>
      </c>
      <c r="T131" s="8">
        <f>MATCH(D131,Allocation!A:A,0)</f>
        <v>31</v>
      </c>
    </row>
    <row r="132" spans="1:20" x14ac:dyDescent="0.35">
      <c r="A132" s="8" t="s">
        <v>167</v>
      </c>
      <c r="B132" s="8" t="s">
        <v>170</v>
      </c>
      <c r="C132" s="8" t="s">
        <v>7</v>
      </c>
      <c r="D132" s="8" t="s">
        <v>315</v>
      </c>
      <c r="E132" s="8">
        <v>-43.93</v>
      </c>
      <c r="F132" s="8" t="s">
        <v>169</v>
      </c>
      <c r="G132" s="8" t="s">
        <v>316</v>
      </c>
      <c r="H132" s="8" t="s">
        <v>243</v>
      </c>
      <c r="I132" s="8" t="s">
        <v>316</v>
      </c>
      <c r="J132" s="8" t="s">
        <v>105</v>
      </c>
      <c r="K132" s="8" t="s">
        <v>106</v>
      </c>
      <c r="L132" s="8" t="s">
        <v>105</v>
      </c>
      <c r="M132" s="8" t="s">
        <v>107</v>
      </c>
      <c r="N132" s="8" t="s">
        <v>108</v>
      </c>
      <c r="O132" s="8" t="s">
        <v>107</v>
      </c>
      <c r="P132" s="8" t="s">
        <v>32</v>
      </c>
      <c r="T132" s="8">
        <f>MATCH(D132,Allocation!A:A,0)</f>
        <v>31</v>
      </c>
    </row>
    <row r="133" spans="1:20" x14ac:dyDescent="0.35">
      <c r="A133" s="8" t="s">
        <v>167</v>
      </c>
      <c r="B133" s="8" t="s">
        <v>32</v>
      </c>
      <c r="C133" s="8" t="s">
        <v>8</v>
      </c>
      <c r="D133" s="8" t="s">
        <v>315</v>
      </c>
      <c r="E133" s="8">
        <v>-186.8</v>
      </c>
      <c r="F133" s="8" t="s">
        <v>169</v>
      </c>
      <c r="G133" s="8" t="s">
        <v>316</v>
      </c>
      <c r="H133" s="8" t="s">
        <v>243</v>
      </c>
      <c r="I133" s="8" t="s">
        <v>316</v>
      </c>
      <c r="J133" s="8" t="s">
        <v>105</v>
      </c>
      <c r="K133" s="8" t="s">
        <v>106</v>
      </c>
      <c r="L133" s="8" t="s">
        <v>105</v>
      </c>
      <c r="M133" s="8" t="s">
        <v>107</v>
      </c>
      <c r="N133" s="8" t="s">
        <v>108</v>
      </c>
      <c r="O133" s="8" t="s">
        <v>107</v>
      </c>
      <c r="P133" s="8" t="s">
        <v>32</v>
      </c>
      <c r="T133" s="8">
        <f>MATCH(D133,Allocation!A:A,0)</f>
        <v>31</v>
      </c>
    </row>
    <row r="134" spans="1:20" x14ac:dyDescent="0.35">
      <c r="A134" s="8" t="s">
        <v>171</v>
      </c>
      <c r="B134" s="8" t="s">
        <v>172</v>
      </c>
      <c r="C134" s="8" t="s">
        <v>9</v>
      </c>
      <c r="D134" s="8" t="s">
        <v>315</v>
      </c>
      <c r="E134" s="8">
        <v>-561.66</v>
      </c>
      <c r="F134" s="8" t="s">
        <v>169</v>
      </c>
      <c r="G134" s="8" t="s">
        <v>316</v>
      </c>
      <c r="H134" s="8" t="s">
        <v>243</v>
      </c>
      <c r="I134" s="8" t="s">
        <v>316</v>
      </c>
      <c r="J134" s="8" t="s">
        <v>105</v>
      </c>
      <c r="K134" s="8" t="s">
        <v>106</v>
      </c>
      <c r="L134" s="8" t="s">
        <v>105</v>
      </c>
      <c r="M134" s="8" t="s">
        <v>107</v>
      </c>
      <c r="N134" s="8" t="s">
        <v>108</v>
      </c>
      <c r="O134" s="8" t="s">
        <v>107</v>
      </c>
      <c r="P134" s="8" t="s">
        <v>32</v>
      </c>
      <c r="T134" s="8">
        <f>MATCH(D134,Allocation!A:A,0)</f>
        <v>31</v>
      </c>
    </row>
    <row r="135" spans="1:20" x14ac:dyDescent="0.35">
      <c r="A135" s="8" t="s">
        <v>173</v>
      </c>
      <c r="B135" s="8" t="s">
        <v>174</v>
      </c>
      <c r="C135" s="8" t="s">
        <v>10</v>
      </c>
      <c r="D135" s="8" t="s">
        <v>315</v>
      </c>
      <c r="E135" s="8">
        <v>721.15</v>
      </c>
      <c r="F135" s="8" t="s">
        <v>34</v>
      </c>
      <c r="G135" s="8" t="s">
        <v>316</v>
      </c>
      <c r="H135" s="8" t="s">
        <v>243</v>
      </c>
      <c r="I135" s="8" t="s">
        <v>316</v>
      </c>
      <c r="J135" s="8" t="s">
        <v>105</v>
      </c>
      <c r="K135" s="8" t="s">
        <v>106</v>
      </c>
      <c r="L135" s="8" t="s">
        <v>105</v>
      </c>
      <c r="M135" s="8" t="s">
        <v>107</v>
      </c>
      <c r="N135" s="8" t="s">
        <v>108</v>
      </c>
      <c r="O135" s="8" t="s">
        <v>107</v>
      </c>
      <c r="P135" s="8" t="s">
        <v>32</v>
      </c>
      <c r="T135" s="8">
        <f>MATCH(D135,Allocation!A:A,0)</f>
        <v>31</v>
      </c>
    </row>
    <row r="136" spans="1:20" x14ac:dyDescent="0.35">
      <c r="A136" s="8" t="s">
        <v>175</v>
      </c>
      <c r="B136" s="8" t="s">
        <v>172</v>
      </c>
      <c r="C136" s="8" t="s">
        <v>9</v>
      </c>
      <c r="D136" s="8" t="s">
        <v>315</v>
      </c>
      <c r="E136" s="8">
        <v>-186.8</v>
      </c>
      <c r="F136" s="8" t="s">
        <v>169</v>
      </c>
      <c r="G136" s="8" t="s">
        <v>316</v>
      </c>
      <c r="H136" s="8" t="s">
        <v>243</v>
      </c>
      <c r="I136" s="8" t="s">
        <v>316</v>
      </c>
      <c r="J136" s="8" t="s">
        <v>105</v>
      </c>
      <c r="K136" s="8" t="s">
        <v>106</v>
      </c>
      <c r="L136" s="8" t="s">
        <v>105</v>
      </c>
      <c r="M136" s="8" t="s">
        <v>107</v>
      </c>
      <c r="N136" s="8" t="s">
        <v>108</v>
      </c>
      <c r="O136" s="8" t="s">
        <v>107</v>
      </c>
      <c r="P136" s="8" t="s">
        <v>32</v>
      </c>
      <c r="T136" s="8">
        <f>MATCH(D136,Allocation!A:A,0)</f>
        <v>31</v>
      </c>
    </row>
    <row r="137" spans="1:20" x14ac:dyDescent="0.35">
      <c r="A137" s="8" t="s">
        <v>175</v>
      </c>
      <c r="B137" s="8" t="s">
        <v>32</v>
      </c>
      <c r="C137" s="8" t="s">
        <v>8</v>
      </c>
      <c r="D137" s="8" t="s">
        <v>315</v>
      </c>
      <c r="E137" s="8">
        <v>186.8</v>
      </c>
      <c r="F137" s="8" t="s">
        <v>34</v>
      </c>
      <c r="G137" s="8" t="s">
        <v>316</v>
      </c>
      <c r="H137" s="8" t="s">
        <v>243</v>
      </c>
      <c r="I137" s="8" t="s">
        <v>316</v>
      </c>
      <c r="J137" s="8" t="s">
        <v>105</v>
      </c>
      <c r="K137" s="8" t="s">
        <v>106</v>
      </c>
      <c r="L137" s="8" t="s">
        <v>105</v>
      </c>
      <c r="M137" s="8" t="s">
        <v>107</v>
      </c>
      <c r="N137" s="8" t="s">
        <v>108</v>
      </c>
      <c r="O137" s="8" t="s">
        <v>107</v>
      </c>
      <c r="P137" s="8" t="s">
        <v>32</v>
      </c>
      <c r="T137" s="8">
        <f>MATCH(D137,Allocation!A:A,0)</f>
        <v>31</v>
      </c>
    </row>
    <row r="138" spans="1:20" x14ac:dyDescent="0.35">
      <c r="A138" s="8" t="s">
        <v>31</v>
      </c>
      <c r="B138" s="8" t="s">
        <v>32</v>
      </c>
      <c r="C138" s="8" t="s">
        <v>6</v>
      </c>
      <c r="D138" s="8" t="s">
        <v>102</v>
      </c>
      <c r="E138" s="8">
        <v>71.260000000000005</v>
      </c>
      <c r="F138" s="8" t="s">
        <v>34</v>
      </c>
      <c r="G138" s="8" t="s">
        <v>103</v>
      </c>
      <c r="H138" s="8" t="s">
        <v>104</v>
      </c>
      <c r="I138" s="8" t="s">
        <v>103</v>
      </c>
      <c r="J138" s="8" t="s">
        <v>105</v>
      </c>
      <c r="K138" s="8" t="s">
        <v>106</v>
      </c>
      <c r="L138" s="8" t="s">
        <v>105</v>
      </c>
      <c r="M138" s="8" t="s">
        <v>107</v>
      </c>
      <c r="N138" s="8" t="s">
        <v>108</v>
      </c>
      <c r="O138" s="8" t="s">
        <v>107</v>
      </c>
      <c r="P138" s="8" t="s">
        <v>32</v>
      </c>
      <c r="T138" s="8">
        <f>MATCH(D138,Allocation!A:A,0)</f>
        <v>32</v>
      </c>
    </row>
    <row r="139" spans="1:20" x14ac:dyDescent="0.35">
      <c r="A139" s="8" t="s">
        <v>31</v>
      </c>
      <c r="B139" s="8" t="s">
        <v>37</v>
      </c>
      <c r="C139" s="8" t="s">
        <v>6</v>
      </c>
      <c r="D139" s="8" t="s">
        <v>102</v>
      </c>
      <c r="E139" s="8">
        <v>0</v>
      </c>
      <c r="F139" s="8" t="s">
        <v>34</v>
      </c>
      <c r="G139" s="8" t="s">
        <v>103</v>
      </c>
      <c r="H139" s="8" t="s">
        <v>104</v>
      </c>
      <c r="I139" s="8" t="s">
        <v>103</v>
      </c>
      <c r="J139" s="8" t="s">
        <v>105</v>
      </c>
      <c r="K139" s="8" t="s">
        <v>106</v>
      </c>
      <c r="L139" s="8" t="s">
        <v>105</v>
      </c>
      <c r="M139" s="8" t="s">
        <v>107</v>
      </c>
      <c r="N139" s="8" t="s">
        <v>108</v>
      </c>
      <c r="O139" s="8" t="s">
        <v>107</v>
      </c>
      <c r="P139" s="8" t="s">
        <v>32</v>
      </c>
      <c r="T139" s="8">
        <f>MATCH(D139,Allocation!A:A,0)</f>
        <v>32</v>
      </c>
    </row>
    <row r="140" spans="1:20" x14ac:dyDescent="0.35">
      <c r="A140" s="8" t="s">
        <v>167</v>
      </c>
      <c r="B140" s="8" t="s">
        <v>170</v>
      </c>
      <c r="C140" s="8" t="s">
        <v>7</v>
      </c>
      <c r="D140" s="8" t="s">
        <v>102</v>
      </c>
      <c r="E140" s="8">
        <v>-43.93</v>
      </c>
      <c r="F140" s="8" t="s">
        <v>169</v>
      </c>
      <c r="G140" s="8" t="s">
        <v>103</v>
      </c>
      <c r="H140" s="8" t="s">
        <v>104</v>
      </c>
      <c r="I140" s="8" t="s">
        <v>103</v>
      </c>
      <c r="J140" s="8" t="s">
        <v>105</v>
      </c>
      <c r="K140" s="8" t="s">
        <v>106</v>
      </c>
      <c r="L140" s="8" t="s">
        <v>105</v>
      </c>
      <c r="M140" s="8" t="s">
        <v>107</v>
      </c>
      <c r="N140" s="8" t="s">
        <v>108</v>
      </c>
      <c r="O140" s="8" t="s">
        <v>107</v>
      </c>
      <c r="P140" s="8" t="s">
        <v>32</v>
      </c>
      <c r="T140" s="8">
        <f>MATCH(D140,Allocation!A:A,0)</f>
        <v>32</v>
      </c>
    </row>
    <row r="141" spans="1:20" x14ac:dyDescent="0.35">
      <c r="A141" s="8" t="s">
        <v>167</v>
      </c>
      <c r="B141" s="8" t="s">
        <v>32</v>
      </c>
      <c r="C141" s="8" t="s">
        <v>8</v>
      </c>
      <c r="D141" s="8" t="s">
        <v>102</v>
      </c>
      <c r="E141" s="8">
        <v>-186.87</v>
      </c>
      <c r="F141" s="8" t="s">
        <v>169</v>
      </c>
      <c r="G141" s="8" t="s">
        <v>103</v>
      </c>
      <c r="H141" s="8" t="s">
        <v>104</v>
      </c>
      <c r="I141" s="8" t="s">
        <v>103</v>
      </c>
      <c r="J141" s="8" t="s">
        <v>105</v>
      </c>
      <c r="K141" s="8" t="s">
        <v>106</v>
      </c>
      <c r="L141" s="8" t="s">
        <v>105</v>
      </c>
      <c r="M141" s="8" t="s">
        <v>107</v>
      </c>
      <c r="N141" s="8" t="s">
        <v>108</v>
      </c>
      <c r="O141" s="8" t="s">
        <v>107</v>
      </c>
      <c r="P141" s="8" t="s">
        <v>32</v>
      </c>
      <c r="T141" s="8">
        <f>MATCH(D141,Allocation!A:A,0)</f>
        <v>32</v>
      </c>
    </row>
    <row r="142" spans="1:20" x14ac:dyDescent="0.35">
      <c r="A142" s="8" t="s">
        <v>171</v>
      </c>
      <c r="B142" s="8" t="s">
        <v>172</v>
      </c>
      <c r="C142" s="8" t="s">
        <v>9</v>
      </c>
      <c r="D142" s="8" t="s">
        <v>102</v>
      </c>
      <c r="E142" s="8">
        <v>-561.62</v>
      </c>
      <c r="F142" s="8" t="s">
        <v>169</v>
      </c>
      <c r="G142" s="8" t="s">
        <v>103</v>
      </c>
      <c r="H142" s="8" t="s">
        <v>104</v>
      </c>
      <c r="I142" s="8" t="s">
        <v>103</v>
      </c>
      <c r="J142" s="8" t="s">
        <v>105</v>
      </c>
      <c r="K142" s="8" t="s">
        <v>106</v>
      </c>
      <c r="L142" s="8" t="s">
        <v>105</v>
      </c>
      <c r="M142" s="8" t="s">
        <v>107</v>
      </c>
      <c r="N142" s="8" t="s">
        <v>108</v>
      </c>
      <c r="O142" s="8" t="s">
        <v>107</v>
      </c>
      <c r="P142" s="8" t="s">
        <v>32</v>
      </c>
      <c r="T142" s="8">
        <f>MATCH(D142,Allocation!A:A,0)</f>
        <v>32</v>
      </c>
    </row>
    <row r="143" spans="1:20" x14ac:dyDescent="0.35">
      <c r="A143" s="8" t="s">
        <v>173</v>
      </c>
      <c r="B143" s="8" t="s">
        <v>174</v>
      </c>
      <c r="C143" s="8" t="s">
        <v>10</v>
      </c>
      <c r="D143" s="8" t="s">
        <v>102</v>
      </c>
      <c r="E143" s="8">
        <v>721.16</v>
      </c>
      <c r="F143" s="8" t="s">
        <v>34</v>
      </c>
      <c r="G143" s="8" t="s">
        <v>103</v>
      </c>
      <c r="H143" s="8" t="s">
        <v>104</v>
      </c>
      <c r="I143" s="8" t="s">
        <v>103</v>
      </c>
      <c r="J143" s="8" t="s">
        <v>105</v>
      </c>
      <c r="K143" s="8" t="s">
        <v>106</v>
      </c>
      <c r="L143" s="8" t="s">
        <v>105</v>
      </c>
      <c r="M143" s="8" t="s">
        <v>107</v>
      </c>
      <c r="N143" s="8" t="s">
        <v>108</v>
      </c>
      <c r="O143" s="8" t="s">
        <v>107</v>
      </c>
      <c r="P143" s="8" t="s">
        <v>32</v>
      </c>
      <c r="T143" s="8">
        <f>MATCH(D143,Allocation!A:A,0)</f>
        <v>32</v>
      </c>
    </row>
    <row r="144" spans="1:20" x14ac:dyDescent="0.35">
      <c r="A144" s="8" t="s">
        <v>175</v>
      </c>
      <c r="B144" s="8" t="s">
        <v>172</v>
      </c>
      <c r="C144" s="8" t="s">
        <v>9</v>
      </c>
      <c r="D144" s="8" t="s">
        <v>102</v>
      </c>
      <c r="E144" s="8">
        <v>-186.87</v>
      </c>
      <c r="F144" s="8" t="s">
        <v>169</v>
      </c>
      <c r="G144" s="8" t="s">
        <v>103</v>
      </c>
      <c r="H144" s="8" t="s">
        <v>104</v>
      </c>
      <c r="I144" s="8" t="s">
        <v>103</v>
      </c>
      <c r="J144" s="8" t="s">
        <v>105</v>
      </c>
      <c r="K144" s="8" t="s">
        <v>106</v>
      </c>
      <c r="L144" s="8" t="s">
        <v>105</v>
      </c>
      <c r="M144" s="8" t="s">
        <v>107</v>
      </c>
      <c r="N144" s="8" t="s">
        <v>108</v>
      </c>
      <c r="O144" s="8" t="s">
        <v>107</v>
      </c>
      <c r="P144" s="8" t="s">
        <v>32</v>
      </c>
      <c r="T144" s="8">
        <f>MATCH(D144,Allocation!A:A,0)</f>
        <v>32</v>
      </c>
    </row>
    <row r="145" spans="1:20" x14ac:dyDescent="0.35">
      <c r="A145" s="8" t="s">
        <v>175</v>
      </c>
      <c r="B145" s="8" t="s">
        <v>32</v>
      </c>
      <c r="C145" s="8" t="s">
        <v>8</v>
      </c>
      <c r="D145" s="8" t="s">
        <v>102</v>
      </c>
      <c r="E145" s="8">
        <v>186.87</v>
      </c>
      <c r="F145" s="8" t="s">
        <v>34</v>
      </c>
      <c r="G145" s="8" t="s">
        <v>103</v>
      </c>
      <c r="H145" s="8" t="s">
        <v>104</v>
      </c>
      <c r="I145" s="8" t="s">
        <v>103</v>
      </c>
      <c r="J145" s="8" t="s">
        <v>105</v>
      </c>
      <c r="K145" s="8" t="s">
        <v>106</v>
      </c>
      <c r="L145" s="8" t="s">
        <v>105</v>
      </c>
      <c r="M145" s="8" t="s">
        <v>107</v>
      </c>
      <c r="N145" s="8" t="s">
        <v>108</v>
      </c>
      <c r="O145" s="8" t="s">
        <v>107</v>
      </c>
      <c r="P145" s="8" t="s">
        <v>32</v>
      </c>
      <c r="T145" s="8">
        <f>MATCH(D145,Allocation!A:A,0)</f>
        <v>32</v>
      </c>
    </row>
    <row r="146" spans="1:20" x14ac:dyDescent="0.35">
      <c r="A146" s="8" t="s">
        <v>31</v>
      </c>
      <c r="B146" s="8" t="s">
        <v>32</v>
      </c>
      <c r="C146" s="8" t="s">
        <v>6</v>
      </c>
      <c r="D146" s="8" t="s">
        <v>109</v>
      </c>
      <c r="E146" s="8">
        <v>250.27</v>
      </c>
      <c r="F146" s="8" t="s">
        <v>34</v>
      </c>
      <c r="G146" s="8" t="s">
        <v>103</v>
      </c>
      <c r="H146" s="8" t="s">
        <v>104</v>
      </c>
      <c r="I146" s="8" t="s">
        <v>103</v>
      </c>
      <c r="J146" s="8" t="s">
        <v>96</v>
      </c>
      <c r="K146" s="8" t="s">
        <v>97</v>
      </c>
      <c r="L146" s="8" t="s">
        <v>96</v>
      </c>
      <c r="M146" s="8" t="s">
        <v>61</v>
      </c>
      <c r="N146" s="8" t="s">
        <v>62</v>
      </c>
      <c r="O146" s="8" t="s">
        <v>61</v>
      </c>
      <c r="P146" s="8" t="s">
        <v>32</v>
      </c>
      <c r="T146" s="8">
        <f>MATCH(D146,Allocation!A:A,0)</f>
        <v>44</v>
      </c>
    </row>
    <row r="147" spans="1:20" x14ac:dyDescent="0.35">
      <c r="A147" s="8" t="s">
        <v>31</v>
      </c>
      <c r="B147" s="8" t="s">
        <v>37</v>
      </c>
      <c r="C147" s="8" t="s">
        <v>6</v>
      </c>
      <c r="D147" s="8" t="s">
        <v>109</v>
      </c>
      <c r="E147" s="8">
        <v>0</v>
      </c>
      <c r="F147" s="8" t="s">
        <v>34</v>
      </c>
      <c r="G147" s="8" t="s">
        <v>103</v>
      </c>
      <c r="H147" s="8" t="s">
        <v>104</v>
      </c>
      <c r="I147" s="8" t="s">
        <v>103</v>
      </c>
      <c r="J147" s="8" t="s">
        <v>96</v>
      </c>
      <c r="K147" s="8" t="s">
        <v>97</v>
      </c>
      <c r="L147" s="8" t="s">
        <v>96</v>
      </c>
      <c r="M147" s="8" t="s">
        <v>61</v>
      </c>
      <c r="N147" s="8" t="s">
        <v>62</v>
      </c>
      <c r="O147" s="8" t="s">
        <v>61</v>
      </c>
      <c r="P147" s="8" t="s">
        <v>32</v>
      </c>
      <c r="T147" s="8">
        <f>MATCH(D147,Allocation!A:A,0)</f>
        <v>44</v>
      </c>
    </row>
    <row r="148" spans="1:20" x14ac:dyDescent="0.35">
      <c r="A148" s="8" t="s">
        <v>167</v>
      </c>
      <c r="B148" s="8" t="s">
        <v>170</v>
      </c>
      <c r="C148" s="8" t="s">
        <v>7</v>
      </c>
      <c r="D148" s="8" t="s">
        <v>109</v>
      </c>
      <c r="E148" s="8">
        <v>-71.56</v>
      </c>
      <c r="F148" s="8" t="s">
        <v>169</v>
      </c>
      <c r="G148" s="8" t="s">
        <v>103</v>
      </c>
      <c r="H148" s="8" t="s">
        <v>104</v>
      </c>
      <c r="I148" s="8" t="s">
        <v>103</v>
      </c>
      <c r="J148" s="8" t="s">
        <v>96</v>
      </c>
      <c r="K148" s="8" t="s">
        <v>97</v>
      </c>
      <c r="L148" s="8" t="s">
        <v>96</v>
      </c>
      <c r="M148" s="8" t="s">
        <v>61</v>
      </c>
      <c r="N148" s="8" t="s">
        <v>62</v>
      </c>
      <c r="O148" s="8" t="s">
        <v>61</v>
      </c>
      <c r="P148" s="8" t="s">
        <v>32</v>
      </c>
      <c r="T148" s="8">
        <f>MATCH(D148,Allocation!A:A,0)</f>
        <v>44</v>
      </c>
    </row>
    <row r="149" spans="1:20" x14ac:dyDescent="0.35">
      <c r="A149" s="8" t="s">
        <v>167</v>
      </c>
      <c r="B149" s="8" t="s">
        <v>32</v>
      </c>
      <c r="C149" s="8" t="s">
        <v>8</v>
      </c>
      <c r="D149" s="8" t="s">
        <v>109</v>
      </c>
      <c r="E149" s="8">
        <v>-871.53</v>
      </c>
      <c r="F149" s="8" t="s">
        <v>169</v>
      </c>
      <c r="G149" s="8" t="s">
        <v>103</v>
      </c>
      <c r="H149" s="8" t="s">
        <v>104</v>
      </c>
      <c r="I149" s="8" t="s">
        <v>103</v>
      </c>
      <c r="J149" s="8" t="s">
        <v>96</v>
      </c>
      <c r="K149" s="8" t="s">
        <v>97</v>
      </c>
      <c r="L149" s="8" t="s">
        <v>96</v>
      </c>
      <c r="M149" s="8" t="s">
        <v>61</v>
      </c>
      <c r="N149" s="8" t="s">
        <v>62</v>
      </c>
      <c r="O149" s="8" t="s">
        <v>61</v>
      </c>
      <c r="P149" s="8" t="s">
        <v>32</v>
      </c>
      <c r="T149" s="8">
        <f>MATCH(D149,Allocation!A:A,0)</f>
        <v>44</v>
      </c>
    </row>
    <row r="150" spans="1:20" x14ac:dyDescent="0.35">
      <c r="A150" s="8" t="s">
        <v>171</v>
      </c>
      <c r="B150" s="8" t="s">
        <v>172</v>
      </c>
      <c r="C150" s="8" t="s">
        <v>9</v>
      </c>
      <c r="D150" s="8" t="s">
        <v>109</v>
      </c>
      <c r="E150" s="8">
        <v>-1758.93</v>
      </c>
      <c r="F150" s="8" t="s">
        <v>169</v>
      </c>
      <c r="G150" s="8" t="s">
        <v>103</v>
      </c>
      <c r="H150" s="8" t="s">
        <v>104</v>
      </c>
      <c r="I150" s="8" t="s">
        <v>103</v>
      </c>
      <c r="J150" s="8" t="s">
        <v>96</v>
      </c>
      <c r="K150" s="8" t="s">
        <v>97</v>
      </c>
      <c r="L150" s="8" t="s">
        <v>96</v>
      </c>
      <c r="M150" s="8" t="s">
        <v>61</v>
      </c>
      <c r="N150" s="8" t="s">
        <v>62</v>
      </c>
      <c r="O150" s="8" t="s">
        <v>61</v>
      </c>
      <c r="P150" s="8" t="s">
        <v>32</v>
      </c>
      <c r="T150" s="8">
        <f>MATCH(D150,Allocation!A:A,0)</f>
        <v>44</v>
      </c>
    </row>
    <row r="151" spans="1:20" x14ac:dyDescent="0.35">
      <c r="A151" s="8" t="s">
        <v>173</v>
      </c>
      <c r="B151" s="8" t="s">
        <v>174</v>
      </c>
      <c r="C151" s="8" t="s">
        <v>10</v>
      </c>
      <c r="D151" s="8" t="s">
        <v>109</v>
      </c>
      <c r="E151" s="8">
        <v>2451.75</v>
      </c>
      <c r="F151" s="8" t="s">
        <v>34</v>
      </c>
      <c r="G151" s="8" t="s">
        <v>103</v>
      </c>
      <c r="H151" s="8" t="s">
        <v>104</v>
      </c>
      <c r="I151" s="8" t="s">
        <v>103</v>
      </c>
      <c r="J151" s="8" t="s">
        <v>96</v>
      </c>
      <c r="K151" s="8" t="s">
        <v>97</v>
      </c>
      <c r="L151" s="8" t="s">
        <v>96</v>
      </c>
      <c r="M151" s="8" t="s">
        <v>61</v>
      </c>
      <c r="N151" s="8" t="s">
        <v>62</v>
      </c>
      <c r="O151" s="8" t="s">
        <v>61</v>
      </c>
      <c r="P151" s="8" t="s">
        <v>32</v>
      </c>
      <c r="T151" s="8">
        <f>MATCH(D151,Allocation!A:A,0)</f>
        <v>44</v>
      </c>
    </row>
    <row r="152" spans="1:20" x14ac:dyDescent="0.35">
      <c r="A152" s="8" t="s">
        <v>175</v>
      </c>
      <c r="B152" s="8" t="s">
        <v>172</v>
      </c>
      <c r="C152" s="8" t="s">
        <v>9</v>
      </c>
      <c r="D152" s="8" t="s">
        <v>109</v>
      </c>
      <c r="E152" s="8">
        <v>-871.53</v>
      </c>
      <c r="F152" s="8" t="s">
        <v>169</v>
      </c>
      <c r="G152" s="8" t="s">
        <v>103</v>
      </c>
      <c r="H152" s="8" t="s">
        <v>104</v>
      </c>
      <c r="I152" s="8" t="s">
        <v>103</v>
      </c>
      <c r="J152" s="8" t="s">
        <v>96</v>
      </c>
      <c r="K152" s="8" t="s">
        <v>97</v>
      </c>
      <c r="L152" s="8" t="s">
        <v>96</v>
      </c>
      <c r="M152" s="8" t="s">
        <v>61</v>
      </c>
      <c r="N152" s="8" t="s">
        <v>62</v>
      </c>
      <c r="O152" s="8" t="s">
        <v>61</v>
      </c>
      <c r="P152" s="8" t="s">
        <v>32</v>
      </c>
      <c r="T152" s="8">
        <f>MATCH(D152,Allocation!A:A,0)</f>
        <v>44</v>
      </c>
    </row>
    <row r="153" spans="1:20" x14ac:dyDescent="0.35">
      <c r="A153" s="8" t="s">
        <v>175</v>
      </c>
      <c r="B153" s="8" t="s">
        <v>32</v>
      </c>
      <c r="C153" s="8" t="s">
        <v>8</v>
      </c>
      <c r="D153" s="8" t="s">
        <v>109</v>
      </c>
      <c r="E153" s="8">
        <v>871.53</v>
      </c>
      <c r="F153" s="8" t="s">
        <v>34</v>
      </c>
      <c r="G153" s="8" t="s">
        <v>103</v>
      </c>
      <c r="H153" s="8" t="s">
        <v>104</v>
      </c>
      <c r="I153" s="8" t="s">
        <v>103</v>
      </c>
      <c r="J153" s="8" t="s">
        <v>96</v>
      </c>
      <c r="K153" s="8" t="s">
        <v>97</v>
      </c>
      <c r="L153" s="8" t="s">
        <v>96</v>
      </c>
      <c r="M153" s="8" t="s">
        <v>61</v>
      </c>
      <c r="N153" s="8" t="s">
        <v>62</v>
      </c>
      <c r="O153" s="8" t="s">
        <v>61</v>
      </c>
      <c r="P153" s="8" t="s">
        <v>32</v>
      </c>
      <c r="T153" s="8">
        <f>MATCH(D153,Allocation!A:A,0)</f>
        <v>44</v>
      </c>
    </row>
    <row r="154" spans="1:20" x14ac:dyDescent="0.35">
      <c r="A154" s="8" t="s">
        <v>31</v>
      </c>
      <c r="B154" s="8" t="s">
        <v>32</v>
      </c>
      <c r="C154" s="8" t="s">
        <v>6</v>
      </c>
      <c r="D154" s="8" t="s">
        <v>112</v>
      </c>
      <c r="E154" s="8">
        <v>70.709999999999994</v>
      </c>
      <c r="F154" s="8" t="s">
        <v>34</v>
      </c>
      <c r="G154" s="8" t="s">
        <v>112</v>
      </c>
      <c r="H154" s="8" t="s">
        <v>111</v>
      </c>
      <c r="I154" s="8" t="s">
        <v>112</v>
      </c>
      <c r="J154" s="8" t="s">
        <v>161</v>
      </c>
      <c r="K154" s="8" t="s">
        <v>162</v>
      </c>
      <c r="L154" s="8" t="s">
        <v>32</v>
      </c>
      <c r="M154" s="8" t="s">
        <v>131</v>
      </c>
      <c r="N154" s="8" t="s">
        <v>132</v>
      </c>
      <c r="O154" s="8" t="s">
        <v>131</v>
      </c>
      <c r="P154" s="8" t="s">
        <v>32</v>
      </c>
      <c r="T154" s="8" t="e">
        <f>MATCH(D154,Allocation!A:A,0)</f>
        <v>#N/A</v>
      </c>
    </row>
    <row r="155" spans="1:20" x14ac:dyDescent="0.35">
      <c r="A155" s="8" t="s">
        <v>31</v>
      </c>
      <c r="B155" s="8" t="s">
        <v>37</v>
      </c>
      <c r="C155" s="8" t="s">
        <v>6</v>
      </c>
      <c r="D155" s="8" t="s">
        <v>112</v>
      </c>
      <c r="E155" s="8">
        <v>0</v>
      </c>
      <c r="F155" s="8" t="s">
        <v>34</v>
      </c>
      <c r="G155" s="8" t="s">
        <v>112</v>
      </c>
      <c r="H155" s="8" t="s">
        <v>111</v>
      </c>
      <c r="I155" s="8" t="s">
        <v>112</v>
      </c>
      <c r="J155" s="8" t="s">
        <v>161</v>
      </c>
      <c r="K155" s="8" t="s">
        <v>162</v>
      </c>
      <c r="L155" s="8" t="s">
        <v>32</v>
      </c>
      <c r="M155" s="8" t="s">
        <v>131</v>
      </c>
      <c r="N155" s="8" t="s">
        <v>132</v>
      </c>
      <c r="O155" s="8" t="s">
        <v>131</v>
      </c>
      <c r="P155" s="8" t="s">
        <v>32</v>
      </c>
      <c r="T155" s="8" t="e">
        <f>MATCH(D155,Allocation!A:A,0)</f>
        <v>#N/A</v>
      </c>
    </row>
    <row r="156" spans="1:20" x14ac:dyDescent="0.35">
      <c r="A156" s="8" t="s">
        <v>167</v>
      </c>
      <c r="B156" s="8" t="s">
        <v>32</v>
      </c>
      <c r="C156" s="8" t="s">
        <v>7</v>
      </c>
      <c r="D156" s="8" t="s">
        <v>112</v>
      </c>
      <c r="E156" s="8">
        <v>-99.72</v>
      </c>
      <c r="F156" s="8" t="s">
        <v>169</v>
      </c>
      <c r="G156" s="8" t="s">
        <v>112</v>
      </c>
      <c r="H156" s="8" t="s">
        <v>111</v>
      </c>
      <c r="I156" s="8" t="s">
        <v>112</v>
      </c>
      <c r="J156" s="8" t="s">
        <v>161</v>
      </c>
      <c r="K156" s="8" t="s">
        <v>162</v>
      </c>
      <c r="L156" s="8" t="s">
        <v>32</v>
      </c>
      <c r="M156" s="8" t="s">
        <v>131</v>
      </c>
      <c r="N156" s="8" t="s">
        <v>132</v>
      </c>
      <c r="O156" s="8" t="s">
        <v>131</v>
      </c>
      <c r="P156" s="8" t="s">
        <v>32</v>
      </c>
      <c r="T156" s="8" t="e">
        <f>MATCH(D156,Allocation!A:A,0)</f>
        <v>#N/A</v>
      </c>
    </row>
    <row r="157" spans="1:20" x14ac:dyDescent="0.35">
      <c r="A157" s="8" t="s">
        <v>167</v>
      </c>
      <c r="B157" s="8" t="s">
        <v>32</v>
      </c>
      <c r="C157" s="8" t="s">
        <v>8</v>
      </c>
      <c r="D157" s="8" t="s">
        <v>112</v>
      </c>
      <c r="E157" s="8">
        <v>-240.79</v>
      </c>
      <c r="F157" s="8" t="s">
        <v>169</v>
      </c>
      <c r="G157" s="8" t="s">
        <v>112</v>
      </c>
      <c r="H157" s="8" t="s">
        <v>111</v>
      </c>
      <c r="I157" s="8" t="s">
        <v>112</v>
      </c>
      <c r="J157" s="8" t="s">
        <v>161</v>
      </c>
      <c r="K157" s="8" t="s">
        <v>162</v>
      </c>
      <c r="L157" s="8" t="s">
        <v>32</v>
      </c>
      <c r="M157" s="8" t="s">
        <v>131</v>
      </c>
      <c r="N157" s="8" t="s">
        <v>132</v>
      </c>
      <c r="O157" s="8" t="s">
        <v>131</v>
      </c>
      <c r="P157" s="8" t="s">
        <v>32</v>
      </c>
      <c r="T157" s="8" t="e">
        <f>MATCH(D157,Allocation!A:A,0)</f>
        <v>#N/A</v>
      </c>
    </row>
    <row r="158" spans="1:20" x14ac:dyDescent="0.35">
      <c r="A158" s="8" t="s">
        <v>171</v>
      </c>
      <c r="B158" s="8" t="s">
        <v>172</v>
      </c>
      <c r="C158" s="8" t="s">
        <v>9</v>
      </c>
      <c r="D158" s="8" t="s">
        <v>112</v>
      </c>
      <c r="E158" s="8">
        <v>-422.51</v>
      </c>
      <c r="F158" s="8" t="s">
        <v>169</v>
      </c>
      <c r="G158" s="8" t="s">
        <v>112</v>
      </c>
      <c r="H158" s="8" t="s">
        <v>111</v>
      </c>
      <c r="I158" s="8" t="s">
        <v>112</v>
      </c>
      <c r="J158" s="8" t="s">
        <v>161</v>
      </c>
      <c r="K158" s="8" t="s">
        <v>162</v>
      </c>
      <c r="L158" s="8" t="s">
        <v>32</v>
      </c>
      <c r="M158" s="8" t="s">
        <v>131</v>
      </c>
      <c r="N158" s="8" t="s">
        <v>132</v>
      </c>
      <c r="O158" s="8" t="s">
        <v>131</v>
      </c>
      <c r="P158" s="8" t="s">
        <v>32</v>
      </c>
      <c r="T158" s="8" t="e">
        <f>MATCH(D158,Allocation!A:A,0)</f>
        <v>#N/A</v>
      </c>
    </row>
    <row r="159" spans="1:20" x14ac:dyDescent="0.35">
      <c r="A159" s="8" t="s">
        <v>173</v>
      </c>
      <c r="B159" s="8" t="s">
        <v>174</v>
      </c>
      <c r="C159" s="8" t="s">
        <v>10</v>
      </c>
      <c r="D159" s="8" t="s">
        <v>112</v>
      </c>
      <c r="E159" s="8">
        <v>692.31</v>
      </c>
      <c r="F159" s="8" t="s">
        <v>34</v>
      </c>
      <c r="G159" s="8" t="s">
        <v>112</v>
      </c>
      <c r="H159" s="8" t="s">
        <v>111</v>
      </c>
      <c r="I159" s="8" t="s">
        <v>112</v>
      </c>
      <c r="J159" s="8" t="s">
        <v>161</v>
      </c>
      <c r="K159" s="8" t="s">
        <v>162</v>
      </c>
      <c r="L159" s="8" t="s">
        <v>32</v>
      </c>
      <c r="M159" s="8" t="s">
        <v>131</v>
      </c>
      <c r="N159" s="8" t="s">
        <v>132</v>
      </c>
      <c r="O159" s="8" t="s">
        <v>131</v>
      </c>
      <c r="P159" s="8" t="s">
        <v>32</v>
      </c>
      <c r="T159" s="8" t="e">
        <f>MATCH(D159,Allocation!A:A,0)</f>
        <v>#N/A</v>
      </c>
    </row>
    <row r="160" spans="1:20" x14ac:dyDescent="0.35">
      <c r="A160" s="8" t="s">
        <v>175</v>
      </c>
      <c r="B160" s="8" t="s">
        <v>172</v>
      </c>
      <c r="C160" s="8" t="s">
        <v>9</v>
      </c>
      <c r="D160" s="8" t="s">
        <v>112</v>
      </c>
      <c r="E160" s="8">
        <v>-240.79</v>
      </c>
      <c r="F160" s="8" t="s">
        <v>169</v>
      </c>
      <c r="G160" s="8" t="s">
        <v>112</v>
      </c>
      <c r="H160" s="8" t="s">
        <v>111</v>
      </c>
      <c r="I160" s="8" t="s">
        <v>112</v>
      </c>
      <c r="J160" s="8" t="s">
        <v>161</v>
      </c>
      <c r="K160" s="8" t="s">
        <v>162</v>
      </c>
      <c r="L160" s="8" t="s">
        <v>32</v>
      </c>
      <c r="M160" s="8" t="s">
        <v>131</v>
      </c>
      <c r="N160" s="8" t="s">
        <v>132</v>
      </c>
      <c r="O160" s="8" t="s">
        <v>131</v>
      </c>
      <c r="P160" s="8" t="s">
        <v>32</v>
      </c>
      <c r="T160" s="8" t="e">
        <f>MATCH(D160,Allocation!A:A,0)</f>
        <v>#N/A</v>
      </c>
    </row>
    <row r="161" spans="1:20" x14ac:dyDescent="0.35">
      <c r="A161" s="8" t="s">
        <v>175</v>
      </c>
      <c r="B161" s="8" t="s">
        <v>32</v>
      </c>
      <c r="C161" s="8" t="s">
        <v>8</v>
      </c>
      <c r="D161" s="8" t="s">
        <v>112</v>
      </c>
      <c r="E161" s="8">
        <v>240.79</v>
      </c>
      <c r="F161" s="8" t="s">
        <v>34</v>
      </c>
      <c r="G161" s="8" t="s">
        <v>112</v>
      </c>
      <c r="H161" s="8" t="s">
        <v>111</v>
      </c>
      <c r="I161" s="8" t="s">
        <v>112</v>
      </c>
      <c r="J161" s="8" t="s">
        <v>161</v>
      </c>
      <c r="K161" s="8" t="s">
        <v>162</v>
      </c>
      <c r="L161" s="8" t="s">
        <v>32</v>
      </c>
      <c r="M161" s="8" t="s">
        <v>131</v>
      </c>
      <c r="N161" s="8" t="s">
        <v>132</v>
      </c>
      <c r="O161" s="8" t="s">
        <v>131</v>
      </c>
      <c r="P161" s="8" t="s">
        <v>32</v>
      </c>
      <c r="T161" s="8" t="e">
        <f>MATCH(D161,Allocation!A:A,0)</f>
        <v>#N/A</v>
      </c>
    </row>
    <row r="162" spans="1:20" x14ac:dyDescent="0.35">
      <c r="A162" s="8" t="s">
        <v>31</v>
      </c>
      <c r="B162" s="8" t="s">
        <v>32</v>
      </c>
      <c r="C162" s="8" t="s">
        <v>6</v>
      </c>
      <c r="D162" s="8" t="s">
        <v>317</v>
      </c>
      <c r="E162" s="8">
        <v>142.77000000000001</v>
      </c>
      <c r="F162" s="8" t="s">
        <v>34</v>
      </c>
      <c r="G162" s="8" t="s">
        <v>32</v>
      </c>
      <c r="H162" s="8" t="s">
        <v>32</v>
      </c>
      <c r="I162" s="8" t="s">
        <v>32</v>
      </c>
      <c r="J162" s="8" t="s">
        <v>318</v>
      </c>
      <c r="K162" s="8" t="s">
        <v>319</v>
      </c>
      <c r="L162" s="8" t="s">
        <v>318</v>
      </c>
      <c r="M162" s="8" t="s">
        <v>115</v>
      </c>
      <c r="N162" s="8" t="s">
        <v>116</v>
      </c>
      <c r="O162" s="8" t="s">
        <v>115</v>
      </c>
      <c r="P162" s="8" t="s">
        <v>32</v>
      </c>
      <c r="T162" s="8">
        <f>MATCH(D162,Allocation!A:A,0)</f>
        <v>29</v>
      </c>
    </row>
    <row r="163" spans="1:20" x14ac:dyDescent="0.35">
      <c r="A163" s="8" t="s">
        <v>31</v>
      </c>
      <c r="B163" s="8" t="s">
        <v>37</v>
      </c>
      <c r="C163" s="8" t="s">
        <v>6</v>
      </c>
      <c r="D163" s="8" t="s">
        <v>317</v>
      </c>
      <c r="E163" s="8">
        <v>0</v>
      </c>
      <c r="F163" s="8" t="s">
        <v>34</v>
      </c>
      <c r="G163" s="8" t="s">
        <v>32</v>
      </c>
      <c r="H163" s="8" t="s">
        <v>32</v>
      </c>
      <c r="I163" s="8" t="s">
        <v>32</v>
      </c>
      <c r="J163" s="8" t="s">
        <v>318</v>
      </c>
      <c r="K163" s="8" t="s">
        <v>319</v>
      </c>
      <c r="L163" s="8" t="s">
        <v>318</v>
      </c>
      <c r="M163" s="8" t="s">
        <v>115</v>
      </c>
      <c r="N163" s="8" t="s">
        <v>116</v>
      </c>
      <c r="O163" s="8" t="s">
        <v>115</v>
      </c>
      <c r="P163" s="8" t="s">
        <v>32</v>
      </c>
      <c r="T163" s="8">
        <f>MATCH(D163,Allocation!A:A,0)</f>
        <v>29</v>
      </c>
    </row>
    <row r="164" spans="1:20" x14ac:dyDescent="0.35">
      <c r="A164" s="8" t="s">
        <v>167</v>
      </c>
      <c r="B164" s="8" t="s">
        <v>170</v>
      </c>
      <c r="C164" s="8" t="s">
        <v>7</v>
      </c>
      <c r="D164" s="8" t="s">
        <v>317</v>
      </c>
      <c r="E164" s="8">
        <v>-116.83</v>
      </c>
      <c r="F164" s="8" t="s">
        <v>169</v>
      </c>
      <c r="G164" s="8" t="s">
        <v>32</v>
      </c>
      <c r="H164" s="8" t="s">
        <v>32</v>
      </c>
      <c r="I164" s="8" t="s">
        <v>32</v>
      </c>
      <c r="J164" s="8" t="s">
        <v>318</v>
      </c>
      <c r="K164" s="8" t="s">
        <v>319</v>
      </c>
      <c r="L164" s="8" t="s">
        <v>318</v>
      </c>
      <c r="M164" s="8" t="s">
        <v>115</v>
      </c>
      <c r="N164" s="8" t="s">
        <v>116</v>
      </c>
      <c r="O164" s="8" t="s">
        <v>115</v>
      </c>
      <c r="P164" s="8" t="s">
        <v>32</v>
      </c>
      <c r="T164" s="8">
        <f>MATCH(D164,Allocation!A:A,0)</f>
        <v>29</v>
      </c>
    </row>
    <row r="165" spans="1:20" x14ac:dyDescent="0.35">
      <c r="A165" s="8" t="s">
        <v>167</v>
      </c>
      <c r="B165" s="8" t="s">
        <v>32</v>
      </c>
      <c r="C165" s="8" t="s">
        <v>8</v>
      </c>
      <c r="D165" s="8" t="s">
        <v>317</v>
      </c>
      <c r="E165" s="8">
        <v>-381.83</v>
      </c>
      <c r="F165" s="8" t="s">
        <v>169</v>
      </c>
      <c r="G165" s="8" t="s">
        <v>32</v>
      </c>
      <c r="H165" s="8" t="s">
        <v>32</v>
      </c>
      <c r="I165" s="8" t="s">
        <v>32</v>
      </c>
      <c r="J165" s="8" t="s">
        <v>318</v>
      </c>
      <c r="K165" s="8" t="s">
        <v>319</v>
      </c>
      <c r="L165" s="8" t="s">
        <v>318</v>
      </c>
      <c r="M165" s="8" t="s">
        <v>115</v>
      </c>
      <c r="N165" s="8" t="s">
        <v>116</v>
      </c>
      <c r="O165" s="8" t="s">
        <v>115</v>
      </c>
      <c r="P165" s="8" t="s">
        <v>32</v>
      </c>
      <c r="T165" s="8">
        <f>MATCH(D165,Allocation!A:A,0)</f>
        <v>29</v>
      </c>
    </row>
    <row r="166" spans="1:20" x14ac:dyDescent="0.35">
      <c r="A166" s="8" t="s">
        <v>171</v>
      </c>
      <c r="B166" s="8" t="s">
        <v>172</v>
      </c>
      <c r="C166" s="8" t="s">
        <v>9</v>
      </c>
      <c r="D166" s="8" t="s">
        <v>317</v>
      </c>
      <c r="E166" s="8">
        <v>-1105.6600000000001</v>
      </c>
      <c r="F166" s="8" t="s">
        <v>169</v>
      </c>
      <c r="G166" s="8" t="s">
        <v>32</v>
      </c>
      <c r="H166" s="8" t="s">
        <v>32</v>
      </c>
      <c r="I166" s="8" t="s">
        <v>32</v>
      </c>
      <c r="J166" s="8" t="s">
        <v>318</v>
      </c>
      <c r="K166" s="8" t="s">
        <v>319</v>
      </c>
      <c r="L166" s="8" t="s">
        <v>318</v>
      </c>
      <c r="M166" s="8" t="s">
        <v>115</v>
      </c>
      <c r="N166" s="8" t="s">
        <v>116</v>
      </c>
      <c r="O166" s="8" t="s">
        <v>115</v>
      </c>
      <c r="P166" s="8" t="s">
        <v>32</v>
      </c>
      <c r="T166" s="8">
        <f>MATCH(D166,Allocation!A:A,0)</f>
        <v>29</v>
      </c>
    </row>
    <row r="167" spans="1:20" x14ac:dyDescent="0.35">
      <c r="A167" s="8" t="s">
        <v>173</v>
      </c>
      <c r="B167" s="8" t="s">
        <v>174</v>
      </c>
      <c r="C167" s="8" t="s">
        <v>10</v>
      </c>
      <c r="D167" s="8" t="s">
        <v>317</v>
      </c>
      <c r="E167" s="8">
        <v>1461.55</v>
      </c>
      <c r="F167" s="8" t="s">
        <v>34</v>
      </c>
      <c r="G167" s="8" t="s">
        <v>32</v>
      </c>
      <c r="H167" s="8" t="s">
        <v>32</v>
      </c>
      <c r="I167" s="8" t="s">
        <v>32</v>
      </c>
      <c r="J167" s="8" t="s">
        <v>318</v>
      </c>
      <c r="K167" s="8" t="s">
        <v>319</v>
      </c>
      <c r="L167" s="8" t="s">
        <v>318</v>
      </c>
      <c r="M167" s="8" t="s">
        <v>115</v>
      </c>
      <c r="N167" s="8" t="s">
        <v>116</v>
      </c>
      <c r="O167" s="8" t="s">
        <v>115</v>
      </c>
      <c r="P167" s="8" t="s">
        <v>32</v>
      </c>
      <c r="T167" s="8">
        <f>MATCH(D167,Allocation!A:A,0)</f>
        <v>29</v>
      </c>
    </row>
    <row r="168" spans="1:20" x14ac:dyDescent="0.35">
      <c r="A168" s="8" t="s">
        <v>175</v>
      </c>
      <c r="B168" s="8" t="s">
        <v>172</v>
      </c>
      <c r="C168" s="8" t="s">
        <v>9</v>
      </c>
      <c r="D168" s="8" t="s">
        <v>317</v>
      </c>
      <c r="E168" s="8">
        <v>-381.83</v>
      </c>
      <c r="F168" s="8" t="s">
        <v>169</v>
      </c>
      <c r="G168" s="8" t="s">
        <v>32</v>
      </c>
      <c r="H168" s="8" t="s">
        <v>32</v>
      </c>
      <c r="I168" s="8" t="s">
        <v>32</v>
      </c>
      <c r="J168" s="8" t="s">
        <v>318</v>
      </c>
      <c r="K168" s="8" t="s">
        <v>319</v>
      </c>
      <c r="L168" s="8" t="s">
        <v>318</v>
      </c>
      <c r="M168" s="8" t="s">
        <v>115</v>
      </c>
      <c r="N168" s="8" t="s">
        <v>116</v>
      </c>
      <c r="O168" s="8" t="s">
        <v>115</v>
      </c>
      <c r="P168" s="8" t="s">
        <v>32</v>
      </c>
      <c r="T168" s="8">
        <f>MATCH(D168,Allocation!A:A,0)</f>
        <v>29</v>
      </c>
    </row>
    <row r="169" spans="1:20" x14ac:dyDescent="0.35">
      <c r="A169" s="8" t="s">
        <v>175</v>
      </c>
      <c r="B169" s="8" t="s">
        <v>32</v>
      </c>
      <c r="C169" s="8" t="s">
        <v>8</v>
      </c>
      <c r="D169" s="8" t="s">
        <v>317</v>
      </c>
      <c r="E169" s="8">
        <v>381.83</v>
      </c>
      <c r="F169" s="8" t="s">
        <v>34</v>
      </c>
      <c r="G169" s="8" t="s">
        <v>32</v>
      </c>
      <c r="H169" s="8" t="s">
        <v>32</v>
      </c>
      <c r="I169" s="8" t="s">
        <v>32</v>
      </c>
      <c r="J169" s="8" t="s">
        <v>318</v>
      </c>
      <c r="K169" s="8" t="s">
        <v>319</v>
      </c>
      <c r="L169" s="8" t="s">
        <v>318</v>
      </c>
      <c r="M169" s="8" t="s">
        <v>115</v>
      </c>
      <c r="N169" s="8" t="s">
        <v>116</v>
      </c>
      <c r="O169" s="8" t="s">
        <v>115</v>
      </c>
      <c r="P169" s="8" t="s">
        <v>32</v>
      </c>
      <c r="T169" s="8">
        <f>MATCH(D169,Allocation!A:A,0)</f>
        <v>29</v>
      </c>
    </row>
    <row r="170" spans="1:20" x14ac:dyDescent="0.35">
      <c r="A170" s="8" t="s">
        <v>31</v>
      </c>
      <c r="B170" s="8" t="s">
        <v>32</v>
      </c>
      <c r="C170" s="8" t="s">
        <v>6</v>
      </c>
      <c r="D170" s="8" t="s">
        <v>110</v>
      </c>
      <c r="E170" s="8">
        <v>90.39</v>
      </c>
      <c r="F170" s="8" t="s">
        <v>34</v>
      </c>
      <c r="G170" s="8" t="s">
        <v>112</v>
      </c>
      <c r="H170" s="8" t="s">
        <v>111</v>
      </c>
      <c r="I170" s="8" t="s">
        <v>112</v>
      </c>
      <c r="J170" s="8" t="s">
        <v>113</v>
      </c>
      <c r="K170" s="8" t="s">
        <v>114</v>
      </c>
      <c r="L170" s="8" t="s">
        <v>113</v>
      </c>
      <c r="M170" s="8" t="s">
        <v>115</v>
      </c>
      <c r="N170" s="8" t="s">
        <v>116</v>
      </c>
      <c r="O170" s="8" t="s">
        <v>115</v>
      </c>
      <c r="P170" s="8" t="s">
        <v>32</v>
      </c>
      <c r="T170" s="8">
        <f>MATCH(D170,Allocation!A:A,0)</f>
        <v>12</v>
      </c>
    </row>
    <row r="171" spans="1:20" x14ac:dyDescent="0.35">
      <c r="A171" s="8" t="s">
        <v>31</v>
      </c>
      <c r="B171" s="8" t="s">
        <v>37</v>
      </c>
      <c r="C171" s="8" t="s">
        <v>6</v>
      </c>
      <c r="D171" s="8" t="s">
        <v>110</v>
      </c>
      <c r="E171" s="8">
        <v>0</v>
      </c>
      <c r="F171" s="8" t="s">
        <v>34</v>
      </c>
      <c r="G171" s="8" t="s">
        <v>112</v>
      </c>
      <c r="H171" s="8" t="s">
        <v>111</v>
      </c>
      <c r="I171" s="8" t="s">
        <v>112</v>
      </c>
      <c r="J171" s="8" t="s">
        <v>113</v>
      </c>
      <c r="K171" s="8" t="s">
        <v>114</v>
      </c>
      <c r="L171" s="8" t="s">
        <v>113</v>
      </c>
      <c r="M171" s="8" t="s">
        <v>115</v>
      </c>
      <c r="N171" s="8" t="s">
        <v>116</v>
      </c>
      <c r="O171" s="8" t="s">
        <v>115</v>
      </c>
      <c r="P171" s="8" t="s">
        <v>32</v>
      </c>
      <c r="T171" s="8">
        <f>MATCH(D171,Allocation!A:A,0)</f>
        <v>12</v>
      </c>
    </row>
    <row r="172" spans="1:20" x14ac:dyDescent="0.35">
      <c r="A172" s="8" t="s">
        <v>167</v>
      </c>
      <c r="B172" s="8" t="s">
        <v>170</v>
      </c>
      <c r="C172" s="8" t="s">
        <v>7</v>
      </c>
      <c r="D172" s="8" t="s">
        <v>110</v>
      </c>
      <c r="E172" s="8">
        <v>-98.62</v>
      </c>
      <c r="F172" s="8" t="s">
        <v>169</v>
      </c>
      <c r="G172" s="8" t="s">
        <v>112</v>
      </c>
      <c r="H172" s="8" t="s">
        <v>111</v>
      </c>
      <c r="I172" s="8" t="s">
        <v>112</v>
      </c>
      <c r="J172" s="8" t="s">
        <v>113</v>
      </c>
      <c r="K172" s="8" t="s">
        <v>114</v>
      </c>
      <c r="L172" s="8" t="s">
        <v>113</v>
      </c>
      <c r="M172" s="8" t="s">
        <v>115</v>
      </c>
      <c r="N172" s="8" t="s">
        <v>116</v>
      </c>
      <c r="O172" s="8" t="s">
        <v>115</v>
      </c>
      <c r="P172" s="8" t="s">
        <v>32</v>
      </c>
      <c r="T172" s="8">
        <f>MATCH(D172,Allocation!A:A,0)</f>
        <v>12</v>
      </c>
    </row>
    <row r="173" spans="1:20" x14ac:dyDescent="0.35">
      <c r="A173" s="8" t="s">
        <v>167</v>
      </c>
      <c r="B173" s="8" t="s">
        <v>32</v>
      </c>
      <c r="C173" s="8" t="s">
        <v>8</v>
      </c>
      <c r="D173" s="8" t="s">
        <v>110</v>
      </c>
      <c r="E173" s="8">
        <v>-270.47000000000003</v>
      </c>
      <c r="F173" s="8" t="s">
        <v>169</v>
      </c>
      <c r="G173" s="8" t="s">
        <v>112</v>
      </c>
      <c r="H173" s="8" t="s">
        <v>111</v>
      </c>
      <c r="I173" s="8" t="s">
        <v>112</v>
      </c>
      <c r="J173" s="8" t="s">
        <v>113</v>
      </c>
      <c r="K173" s="8" t="s">
        <v>114</v>
      </c>
      <c r="L173" s="8" t="s">
        <v>113</v>
      </c>
      <c r="M173" s="8" t="s">
        <v>115</v>
      </c>
      <c r="N173" s="8" t="s">
        <v>116</v>
      </c>
      <c r="O173" s="8" t="s">
        <v>115</v>
      </c>
      <c r="P173" s="8" t="s">
        <v>32</v>
      </c>
      <c r="T173" s="8">
        <f>MATCH(D173,Allocation!A:A,0)</f>
        <v>12</v>
      </c>
    </row>
    <row r="174" spans="1:20" x14ac:dyDescent="0.35">
      <c r="A174" s="8" t="s">
        <v>171</v>
      </c>
      <c r="B174" s="8" t="s">
        <v>172</v>
      </c>
      <c r="C174" s="8" t="s">
        <v>9</v>
      </c>
      <c r="D174" s="8" t="s">
        <v>110</v>
      </c>
      <c r="E174" s="8">
        <v>-660.86</v>
      </c>
      <c r="F174" s="8" t="s">
        <v>169</v>
      </c>
      <c r="G174" s="8" t="s">
        <v>112</v>
      </c>
      <c r="H174" s="8" t="s">
        <v>111</v>
      </c>
      <c r="I174" s="8" t="s">
        <v>112</v>
      </c>
      <c r="J174" s="8" t="s">
        <v>113</v>
      </c>
      <c r="K174" s="8" t="s">
        <v>114</v>
      </c>
      <c r="L174" s="8" t="s">
        <v>113</v>
      </c>
      <c r="M174" s="8" t="s">
        <v>115</v>
      </c>
      <c r="N174" s="8" t="s">
        <v>116</v>
      </c>
      <c r="O174" s="8" t="s">
        <v>115</v>
      </c>
      <c r="P174" s="8" t="s">
        <v>32</v>
      </c>
      <c r="T174" s="8">
        <f>MATCH(D174,Allocation!A:A,0)</f>
        <v>12</v>
      </c>
    </row>
    <row r="175" spans="1:20" x14ac:dyDescent="0.35">
      <c r="A175" s="8" t="s">
        <v>173</v>
      </c>
      <c r="B175" s="8" t="s">
        <v>174</v>
      </c>
      <c r="C175" s="8" t="s">
        <v>10</v>
      </c>
      <c r="D175" s="8" t="s">
        <v>110</v>
      </c>
      <c r="E175" s="8">
        <v>939.56</v>
      </c>
      <c r="F175" s="8" t="s">
        <v>34</v>
      </c>
      <c r="G175" s="8" t="s">
        <v>112</v>
      </c>
      <c r="H175" s="8" t="s">
        <v>111</v>
      </c>
      <c r="I175" s="8" t="s">
        <v>112</v>
      </c>
      <c r="J175" s="8" t="s">
        <v>113</v>
      </c>
      <c r="K175" s="8" t="s">
        <v>114</v>
      </c>
      <c r="L175" s="8" t="s">
        <v>113</v>
      </c>
      <c r="M175" s="8" t="s">
        <v>115</v>
      </c>
      <c r="N175" s="8" t="s">
        <v>116</v>
      </c>
      <c r="O175" s="8" t="s">
        <v>115</v>
      </c>
      <c r="P175" s="8" t="s">
        <v>32</v>
      </c>
      <c r="T175" s="8">
        <f>MATCH(D175,Allocation!A:A,0)</f>
        <v>12</v>
      </c>
    </row>
    <row r="176" spans="1:20" x14ac:dyDescent="0.35">
      <c r="A176" s="8" t="s">
        <v>175</v>
      </c>
      <c r="B176" s="8" t="s">
        <v>172</v>
      </c>
      <c r="C176" s="8" t="s">
        <v>9</v>
      </c>
      <c r="D176" s="8" t="s">
        <v>110</v>
      </c>
      <c r="E176" s="8">
        <v>-270.47000000000003</v>
      </c>
      <c r="F176" s="8" t="s">
        <v>169</v>
      </c>
      <c r="G176" s="8" t="s">
        <v>112</v>
      </c>
      <c r="H176" s="8" t="s">
        <v>111</v>
      </c>
      <c r="I176" s="8" t="s">
        <v>112</v>
      </c>
      <c r="J176" s="8" t="s">
        <v>113</v>
      </c>
      <c r="K176" s="8" t="s">
        <v>114</v>
      </c>
      <c r="L176" s="8" t="s">
        <v>113</v>
      </c>
      <c r="M176" s="8" t="s">
        <v>115</v>
      </c>
      <c r="N176" s="8" t="s">
        <v>116</v>
      </c>
      <c r="O176" s="8" t="s">
        <v>115</v>
      </c>
      <c r="P176" s="8" t="s">
        <v>32</v>
      </c>
      <c r="T176" s="8">
        <f>MATCH(D176,Allocation!A:A,0)</f>
        <v>12</v>
      </c>
    </row>
    <row r="177" spans="1:20" x14ac:dyDescent="0.35">
      <c r="A177" s="8" t="s">
        <v>175</v>
      </c>
      <c r="B177" s="8" t="s">
        <v>32</v>
      </c>
      <c r="C177" s="8" t="s">
        <v>8</v>
      </c>
      <c r="D177" s="8" t="s">
        <v>110</v>
      </c>
      <c r="E177" s="8">
        <v>270.47000000000003</v>
      </c>
      <c r="F177" s="8" t="s">
        <v>34</v>
      </c>
      <c r="G177" s="8" t="s">
        <v>112</v>
      </c>
      <c r="H177" s="8" t="s">
        <v>111</v>
      </c>
      <c r="I177" s="8" t="s">
        <v>112</v>
      </c>
      <c r="J177" s="8" t="s">
        <v>113</v>
      </c>
      <c r="K177" s="8" t="s">
        <v>114</v>
      </c>
      <c r="L177" s="8" t="s">
        <v>113</v>
      </c>
      <c r="M177" s="8" t="s">
        <v>115</v>
      </c>
      <c r="N177" s="8" t="s">
        <v>116</v>
      </c>
      <c r="O177" s="8" t="s">
        <v>115</v>
      </c>
      <c r="P177" s="8" t="s">
        <v>32</v>
      </c>
      <c r="T177" s="8">
        <f>MATCH(D177,Allocation!A:A,0)</f>
        <v>12</v>
      </c>
    </row>
    <row r="178" spans="1:20" x14ac:dyDescent="0.35">
      <c r="A178" s="8" t="s">
        <v>31</v>
      </c>
      <c r="B178" s="8" t="s">
        <v>32</v>
      </c>
      <c r="C178" s="8" t="s">
        <v>6</v>
      </c>
      <c r="D178" s="8" t="s">
        <v>117</v>
      </c>
      <c r="E178" s="8">
        <v>78.36</v>
      </c>
      <c r="F178" s="8" t="s">
        <v>34</v>
      </c>
      <c r="G178" s="8" t="s">
        <v>112</v>
      </c>
      <c r="H178" s="8" t="s">
        <v>111</v>
      </c>
      <c r="I178" s="8" t="s">
        <v>112</v>
      </c>
      <c r="J178" s="8" t="s">
        <v>118</v>
      </c>
      <c r="K178" s="8" t="s">
        <v>119</v>
      </c>
      <c r="L178" s="8" t="s">
        <v>118</v>
      </c>
      <c r="M178" s="8" t="s">
        <v>115</v>
      </c>
      <c r="N178" s="8" t="s">
        <v>116</v>
      </c>
      <c r="O178" s="8" t="s">
        <v>115</v>
      </c>
      <c r="P178" s="8" t="s">
        <v>32</v>
      </c>
      <c r="T178" s="8">
        <f>MATCH(D178,Allocation!A:A,0)</f>
        <v>24</v>
      </c>
    </row>
    <row r="179" spans="1:20" x14ac:dyDescent="0.35">
      <c r="A179" s="8" t="s">
        <v>31</v>
      </c>
      <c r="B179" s="8" t="s">
        <v>37</v>
      </c>
      <c r="C179" s="8" t="s">
        <v>6</v>
      </c>
      <c r="D179" s="8" t="s">
        <v>117</v>
      </c>
      <c r="E179" s="8">
        <v>0</v>
      </c>
      <c r="F179" s="8" t="s">
        <v>34</v>
      </c>
      <c r="G179" s="8" t="s">
        <v>112</v>
      </c>
      <c r="H179" s="8" t="s">
        <v>111</v>
      </c>
      <c r="I179" s="8" t="s">
        <v>112</v>
      </c>
      <c r="J179" s="8" t="s">
        <v>118</v>
      </c>
      <c r="K179" s="8" t="s">
        <v>119</v>
      </c>
      <c r="L179" s="8" t="s">
        <v>118</v>
      </c>
      <c r="M179" s="8" t="s">
        <v>115</v>
      </c>
      <c r="N179" s="8" t="s">
        <v>116</v>
      </c>
      <c r="O179" s="8" t="s">
        <v>115</v>
      </c>
      <c r="P179" s="8" t="s">
        <v>32</v>
      </c>
      <c r="T179" s="8">
        <f>MATCH(D179,Allocation!A:A,0)</f>
        <v>24</v>
      </c>
    </row>
    <row r="180" spans="1:20" x14ac:dyDescent="0.35">
      <c r="A180" s="8" t="s">
        <v>167</v>
      </c>
      <c r="B180" s="8" t="s">
        <v>32</v>
      </c>
      <c r="C180" s="8" t="s">
        <v>8</v>
      </c>
      <c r="D180" s="8" t="s">
        <v>117</v>
      </c>
      <c r="E180" s="8">
        <v>-178.24</v>
      </c>
      <c r="F180" s="8" t="s">
        <v>169</v>
      </c>
      <c r="G180" s="8" t="s">
        <v>112</v>
      </c>
      <c r="H180" s="8" t="s">
        <v>111</v>
      </c>
      <c r="I180" s="8" t="s">
        <v>112</v>
      </c>
      <c r="J180" s="8" t="s">
        <v>118</v>
      </c>
      <c r="K180" s="8" t="s">
        <v>119</v>
      </c>
      <c r="L180" s="8" t="s">
        <v>118</v>
      </c>
      <c r="M180" s="8" t="s">
        <v>115</v>
      </c>
      <c r="N180" s="8" t="s">
        <v>116</v>
      </c>
      <c r="O180" s="8" t="s">
        <v>115</v>
      </c>
      <c r="P180" s="8" t="s">
        <v>32</v>
      </c>
      <c r="T180" s="8">
        <f>MATCH(D180,Allocation!A:A,0)</f>
        <v>24</v>
      </c>
    </row>
    <row r="181" spans="1:20" x14ac:dyDescent="0.35">
      <c r="A181" s="8" t="s">
        <v>171</v>
      </c>
      <c r="B181" s="8" t="s">
        <v>172</v>
      </c>
      <c r="C181" s="8" t="s">
        <v>9</v>
      </c>
      <c r="D181" s="8" t="s">
        <v>117</v>
      </c>
      <c r="E181" s="8">
        <v>-649.96</v>
      </c>
      <c r="F181" s="8" t="s">
        <v>169</v>
      </c>
      <c r="G181" s="8" t="s">
        <v>112</v>
      </c>
      <c r="H181" s="8" t="s">
        <v>111</v>
      </c>
      <c r="I181" s="8" t="s">
        <v>112</v>
      </c>
      <c r="J181" s="8" t="s">
        <v>118</v>
      </c>
      <c r="K181" s="8" t="s">
        <v>119</v>
      </c>
      <c r="L181" s="8" t="s">
        <v>118</v>
      </c>
      <c r="M181" s="8" t="s">
        <v>115</v>
      </c>
      <c r="N181" s="8" t="s">
        <v>116</v>
      </c>
      <c r="O181" s="8" t="s">
        <v>115</v>
      </c>
      <c r="P181" s="8" t="s">
        <v>32</v>
      </c>
      <c r="T181" s="8">
        <f>MATCH(D181,Allocation!A:A,0)</f>
        <v>24</v>
      </c>
    </row>
    <row r="182" spans="1:20" x14ac:dyDescent="0.35">
      <c r="A182" s="8" t="s">
        <v>173</v>
      </c>
      <c r="B182" s="8" t="s">
        <v>174</v>
      </c>
      <c r="C182" s="8" t="s">
        <v>10</v>
      </c>
      <c r="D182" s="8" t="s">
        <v>117</v>
      </c>
      <c r="E182" s="8">
        <v>749.84</v>
      </c>
      <c r="F182" s="8" t="s">
        <v>34</v>
      </c>
      <c r="G182" s="8" t="s">
        <v>112</v>
      </c>
      <c r="H182" s="8" t="s">
        <v>111</v>
      </c>
      <c r="I182" s="8" t="s">
        <v>112</v>
      </c>
      <c r="J182" s="8" t="s">
        <v>118</v>
      </c>
      <c r="K182" s="8" t="s">
        <v>119</v>
      </c>
      <c r="L182" s="8" t="s">
        <v>118</v>
      </c>
      <c r="M182" s="8" t="s">
        <v>115</v>
      </c>
      <c r="N182" s="8" t="s">
        <v>116</v>
      </c>
      <c r="O182" s="8" t="s">
        <v>115</v>
      </c>
      <c r="P182" s="8" t="s">
        <v>32</v>
      </c>
      <c r="T182" s="8">
        <f>MATCH(D182,Allocation!A:A,0)</f>
        <v>24</v>
      </c>
    </row>
    <row r="183" spans="1:20" x14ac:dyDescent="0.35">
      <c r="A183" s="8" t="s">
        <v>175</v>
      </c>
      <c r="B183" s="8" t="s">
        <v>172</v>
      </c>
      <c r="C183" s="8" t="s">
        <v>9</v>
      </c>
      <c r="D183" s="8" t="s">
        <v>117</v>
      </c>
      <c r="E183" s="8">
        <v>-178.24</v>
      </c>
      <c r="F183" s="8" t="s">
        <v>169</v>
      </c>
      <c r="G183" s="8" t="s">
        <v>112</v>
      </c>
      <c r="H183" s="8" t="s">
        <v>111</v>
      </c>
      <c r="I183" s="8" t="s">
        <v>112</v>
      </c>
      <c r="J183" s="8" t="s">
        <v>118</v>
      </c>
      <c r="K183" s="8" t="s">
        <v>119</v>
      </c>
      <c r="L183" s="8" t="s">
        <v>118</v>
      </c>
      <c r="M183" s="8" t="s">
        <v>115</v>
      </c>
      <c r="N183" s="8" t="s">
        <v>116</v>
      </c>
      <c r="O183" s="8" t="s">
        <v>115</v>
      </c>
      <c r="P183" s="8" t="s">
        <v>32</v>
      </c>
      <c r="T183" s="8">
        <f>MATCH(D183,Allocation!A:A,0)</f>
        <v>24</v>
      </c>
    </row>
    <row r="184" spans="1:20" x14ac:dyDescent="0.35">
      <c r="A184" s="8" t="s">
        <v>175</v>
      </c>
      <c r="B184" s="8" t="s">
        <v>32</v>
      </c>
      <c r="C184" s="8" t="s">
        <v>8</v>
      </c>
      <c r="D184" s="8" t="s">
        <v>117</v>
      </c>
      <c r="E184" s="8">
        <v>178.24</v>
      </c>
      <c r="F184" s="8" t="s">
        <v>34</v>
      </c>
      <c r="G184" s="8" t="s">
        <v>112</v>
      </c>
      <c r="H184" s="8" t="s">
        <v>111</v>
      </c>
      <c r="I184" s="8" t="s">
        <v>112</v>
      </c>
      <c r="J184" s="8" t="s">
        <v>118</v>
      </c>
      <c r="K184" s="8" t="s">
        <v>119</v>
      </c>
      <c r="L184" s="8" t="s">
        <v>118</v>
      </c>
      <c r="M184" s="8" t="s">
        <v>115</v>
      </c>
      <c r="N184" s="8" t="s">
        <v>116</v>
      </c>
      <c r="O184" s="8" t="s">
        <v>115</v>
      </c>
      <c r="P184" s="8" t="s">
        <v>32</v>
      </c>
      <c r="T184" s="8">
        <f>MATCH(D184,Allocation!A:A,0)</f>
        <v>24</v>
      </c>
    </row>
    <row r="185" spans="1:20" x14ac:dyDescent="0.35">
      <c r="A185" s="8" t="s">
        <v>31</v>
      </c>
      <c r="B185" s="8" t="s">
        <v>32</v>
      </c>
      <c r="C185" s="8" t="s">
        <v>6</v>
      </c>
      <c r="D185" s="8" t="s">
        <v>120</v>
      </c>
      <c r="E185" s="8">
        <v>253.7</v>
      </c>
      <c r="F185" s="8" t="s">
        <v>34</v>
      </c>
      <c r="G185" s="8" t="s">
        <v>112</v>
      </c>
      <c r="H185" s="8" t="s">
        <v>111</v>
      </c>
      <c r="I185" s="8" t="s">
        <v>112</v>
      </c>
      <c r="J185" s="8" t="s">
        <v>121</v>
      </c>
      <c r="K185" s="8" t="s">
        <v>122</v>
      </c>
      <c r="L185" s="8" t="s">
        <v>121</v>
      </c>
      <c r="M185" s="8" t="s">
        <v>115</v>
      </c>
      <c r="N185" s="8" t="s">
        <v>116</v>
      </c>
      <c r="O185" s="8" t="s">
        <v>115</v>
      </c>
      <c r="P185" s="8" t="s">
        <v>32</v>
      </c>
      <c r="T185" s="8">
        <f>MATCH(D185,Allocation!A:A,0)</f>
        <v>36</v>
      </c>
    </row>
    <row r="186" spans="1:20" x14ac:dyDescent="0.35">
      <c r="A186" s="8" t="s">
        <v>31</v>
      </c>
      <c r="B186" s="8" t="s">
        <v>37</v>
      </c>
      <c r="C186" s="8" t="s">
        <v>6</v>
      </c>
      <c r="D186" s="8" t="s">
        <v>120</v>
      </c>
      <c r="E186" s="8">
        <v>0</v>
      </c>
      <c r="F186" s="8" t="s">
        <v>34</v>
      </c>
      <c r="G186" s="8" t="s">
        <v>112</v>
      </c>
      <c r="H186" s="8" t="s">
        <v>111</v>
      </c>
      <c r="I186" s="8" t="s">
        <v>112</v>
      </c>
      <c r="J186" s="8" t="s">
        <v>121</v>
      </c>
      <c r="K186" s="8" t="s">
        <v>122</v>
      </c>
      <c r="L186" s="8" t="s">
        <v>121</v>
      </c>
      <c r="M186" s="8" t="s">
        <v>115</v>
      </c>
      <c r="N186" s="8" t="s">
        <v>116</v>
      </c>
      <c r="O186" s="8" t="s">
        <v>115</v>
      </c>
      <c r="P186" s="8" t="s">
        <v>32</v>
      </c>
      <c r="T186" s="8">
        <f>MATCH(D186,Allocation!A:A,0)</f>
        <v>36</v>
      </c>
    </row>
    <row r="187" spans="1:20" x14ac:dyDescent="0.35">
      <c r="A187" s="8" t="s">
        <v>167</v>
      </c>
      <c r="B187" s="8" t="s">
        <v>170</v>
      </c>
      <c r="C187" s="8" t="s">
        <v>7</v>
      </c>
      <c r="D187" s="8" t="s">
        <v>120</v>
      </c>
      <c r="E187" s="8">
        <v>-95.42</v>
      </c>
      <c r="F187" s="8" t="s">
        <v>169</v>
      </c>
      <c r="G187" s="8" t="s">
        <v>112</v>
      </c>
      <c r="H187" s="8" t="s">
        <v>111</v>
      </c>
      <c r="I187" s="8" t="s">
        <v>112</v>
      </c>
      <c r="J187" s="8" t="s">
        <v>121</v>
      </c>
      <c r="K187" s="8" t="s">
        <v>122</v>
      </c>
      <c r="L187" s="8" t="s">
        <v>121</v>
      </c>
      <c r="M187" s="8" t="s">
        <v>115</v>
      </c>
      <c r="N187" s="8" t="s">
        <v>116</v>
      </c>
      <c r="O187" s="8" t="s">
        <v>115</v>
      </c>
      <c r="P187" s="8" t="s">
        <v>32</v>
      </c>
      <c r="T187" s="8">
        <f>MATCH(D187,Allocation!A:A,0)</f>
        <v>36</v>
      </c>
    </row>
    <row r="188" spans="1:20" x14ac:dyDescent="0.35">
      <c r="A188" s="8" t="s">
        <v>167</v>
      </c>
      <c r="B188" s="8" t="s">
        <v>32</v>
      </c>
      <c r="C188" s="8" t="s">
        <v>8</v>
      </c>
      <c r="D188" s="8" t="s">
        <v>120</v>
      </c>
      <c r="E188" s="8">
        <v>-839.23</v>
      </c>
      <c r="F188" s="8" t="s">
        <v>169</v>
      </c>
      <c r="G188" s="8" t="s">
        <v>112</v>
      </c>
      <c r="H188" s="8" t="s">
        <v>111</v>
      </c>
      <c r="I188" s="8" t="s">
        <v>112</v>
      </c>
      <c r="J188" s="8" t="s">
        <v>121</v>
      </c>
      <c r="K188" s="8" t="s">
        <v>122</v>
      </c>
      <c r="L188" s="8" t="s">
        <v>121</v>
      </c>
      <c r="M188" s="8" t="s">
        <v>115</v>
      </c>
      <c r="N188" s="8" t="s">
        <v>116</v>
      </c>
      <c r="O188" s="8" t="s">
        <v>115</v>
      </c>
      <c r="P188" s="8" t="s">
        <v>32</v>
      </c>
      <c r="T188" s="8">
        <f>MATCH(D188,Allocation!A:A,0)</f>
        <v>36</v>
      </c>
    </row>
    <row r="189" spans="1:20" x14ac:dyDescent="0.35">
      <c r="A189" s="8" t="s">
        <v>171</v>
      </c>
      <c r="B189" s="8" t="s">
        <v>172</v>
      </c>
      <c r="C189" s="8" t="s">
        <v>9</v>
      </c>
      <c r="D189" s="8" t="s">
        <v>120</v>
      </c>
      <c r="E189" s="8">
        <v>-1819.05</v>
      </c>
      <c r="F189" s="8" t="s">
        <v>169</v>
      </c>
      <c r="G189" s="8" t="s">
        <v>112</v>
      </c>
      <c r="H189" s="8" t="s">
        <v>111</v>
      </c>
      <c r="I189" s="8" t="s">
        <v>112</v>
      </c>
      <c r="J189" s="8" t="s">
        <v>121</v>
      </c>
      <c r="K189" s="8" t="s">
        <v>122</v>
      </c>
      <c r="L189" s="8" t="s">
        <v>121</v>
      </c>
      <c r="M189" s="8" t="s">
        <v>115</v>
      </c>
      <c r="N189" s="8" t="s">
        <v>116</v>
      </c>
      <c r="O189" s="8" t="s">
        <v>115</v>
      </c>
      <c r="P189" s="8" t="s">
        <v>32</v>
      </c>
      <c r="T189" s="8">
        <f>MATCH(D189,Allocation!A:A,0)</f>
        <v>36</v>
      </c>
    </row>
    <row r="190" spans="1:20" x14ac:dyDescent="0.35">
      <c r="A190" s="8" t="s">
        <v>173</v>
      </c>
      <c r="B190" s="8" t="s">
        <v>174</v>
      </c>
      <c r="C190" s="8" t="s">
        <v>10</v>
      </c>
      <c r="D190" s="8" t="s">
        <v>120</v>
      </c>
      <c r="E190" s="8">
        <v>2500</v>
      </c>
      <c r="F190" s="8" t="s">
        <v>34</v>
      </c>
      <c r="G190" s="8" t="s">
        <v>112</v>
      </c>
      <c r="H190" s="8" t="s">
        <v>111</v>
      </c>
      <c r="I190" s="8" t="s">
        <v>112</v>
      </c>
      <c r="J190" s="8" t="s">
        <v>121</v>
      </c>
      <c r="K190" s="8" t="s">
        <v>122</v>
      </c>
      <c r="L190" s="8" t="s">
        <v>121</v>
      </c>
      <c r="M190" s="8" t="s">
        <v>115</v>
      </c>
      <c r="N190" s="8" t="s">
        <v>116</v>
      </c>
      <c r="O190" s="8" t="s">
        <v>115</v>
      </c>
      <c r="P190" s="8" t="s">
        <v>32</v>
      </c>
      <c r="T190" s="8">
        <f>MATCH(D190,Allocation!A:A,0)</f>
        <v>36</v>
      </c>
    </row>
    <row r="191" spans="1:20" x14ac:dyDescent="0.35">
      <c r="A191" s="8" t="s">
        <v>175</v>
      </c>
      <c r="B191" s="8" t="s">
        <v>172</v>
      </c>
      <c r="C191" s="8" t="s">
        <v>9</v>
      </c>
      <c r="D191" s="8" t="s">
        <v>120</v>
      </c>
      <c r="E191" s="8">
        <v>-839.23</v>
      </c>
      <c r="F191" s="8" t="s">
        <v>169</v>
      </c>
      <c r="G191" s="8" t="s">
        <v>112</v>
      </c>
      <c r="H191" s="8" t="s">
        <v>111</v>
      </c>
      <c r="I191" s="8" t="s">
        <v>112</v>
      </c>
      <c r="J191" s="8" t="s">
        <v>121</v>
      </c>
      <c r="K191" s="8" t="s">
        <v>122</v>
      </c>
      <c r="L191" s="8" t="s">
        <v>121</v>
      </c>
      <c r="M191" s="8" t="s">
        <v>115</v>
      </c>
      <c r="N191" s="8" t="s">
        <v>116</v>
      </c>
      <c r="O191" s="8" t="s">
        <v>115</v>
      </c>
      <c r="P191" s="8" t="s">
        <v>32</v>
      </c>
      <c r="T191" s="8">
        <f>MATCH(D191,Allocation!A:A,0)</f>
        <v>36</v>
      </c>
    </row>
    <row r="192" spans="1:20" x14ac:dyDescent="0.35">
      <c r="A192" s="8" t="s">
        <v>175</v>
      </c>
      <c r="B192" s="8" t="s">
        <v>32</v>
      </c>
      <c r="C192" s="8" t="s">
        <v>8</v>
      </c>
      <c r="D192" s="8" t="s">
        <v>120</v>
      </c>
      <c r="E192" s="8">
        <v>839.23</v>
      </c>
      <c r="F192" s="8" t="s">
        <v>34</v>
      </c>
      <c r="G192" s="8" t="s">
        <v>112</v>
      </c>
      <c r="H192" s="8" t="s">
        <v>111</v>
      </c>
      <c r="I192" s="8" t="s">
        <v>112</v>
      </c>
      <c r="J192" s="8" t="s">
        <v>121</v>
      </c>
      <c r="K192" s="8" t="s">
        <v>122</v>
      </c>
      <c r="L192" s="8" t="s">
        <v>121</v>
      </c>
      <c r="M192" s="8" t="s">
        <v>115</v>
      </c>
      <c r="N192" s="8" t="s">
        <v>116</v>
      </c>
      <c r="O192" s="8" t="s">
        <v>115</v>
      </c>
      <c r="P192" s="8" t="s">
        <v>32</v>
      </c>
      <c r="T192" s="8">
        <f>MATCH(D192,Allocation!A:A,0)</f>
        <v>36</v>
      </c>
    </row>
    <row r="193" spans="1:20" x14ac:dyDescent="0.35">
      <c r="A193" s="8" t="s">
        <v>31</v>
      </c>
      <c r="B193" s="8" t="s">
        <v>32</v>
      </c>
      <c r="C193" s="8" t="s">
        <v>6</v>
      </c>
      <c r="D193" s="8" t="s">
        <v>123</v>
      </c>
      <c r="E193" s="8">
        <v>160.77000000000001</v>
      </c>
      <c r="F193" s="8" t="s">
        <v>34</v>
      </c>
      <c r="G193" s="8" t="s">
        <v>112</v>
      </c>
      <c r="H193" s="8" t="s">
        <v>111</v>
      </c>
      <c r="I193" s="8" t="s">
        <v>112</v>
      </c>
      <c r="J193" s="8" t="s">
        <v>124</v>
      </c>
      <c r="K193" s="8" t="s">
        <v>125</v>
      </c>
      <c r="L193" s="8" t="s">
        <v>124</v>
      </c>
      <c r="M193" s="8" t="s">
        <v>107</v>
      </c>
      <c r="N193" s="8" t="s">
        <v>108</v>
      </c>
      <c r="O193" s="8" t="s">
        <v>107</v>
      </c>
      <c r="P193" s="8" t="s">
        <v>32</v>
      </c>
      <c r="T193" s="8">
        <f>MATCH(D193,Allocation!A:A,0)</f>
        <v>25</v>
      </c>
    </row>
    <row r="194" spans="1:20" x14ac:dyDescent="0.35">
      <c r="A194" s="8" t="s">
        <v>31</v>
      </c>
      <c r="B194" s="8" t="s">
        <v>37</v>
      </c>
      <c r="C194" s="8" t="s">
        <v>6</v>
      </c>
      <c r="D194" s="8" t="s">
        <v>123</v>
      </c>
      <c r="E194" s="8">
        <v>0</v>
      </c>
      <c r="F194" s="8" t="s">
        <v>34</v>
      </c>
      <c r="G194" s="8" t="s">
        <v>112</v>
      </c>
      <c r="H194" s="8" t="s">
        <v>111</v>
      </c>
      <c r="I194" s="8" t="s">
        <v>112</v>
      </c>
      <c r="J194" s="8" t="s">
        <v>124</v>
      </c>
      <c r="K194" s="8" t="s">
        <v>125</v>
      </c>
      <c r="L194" s="8" t="s">
        <v>124</v>
      </c>
      <c r="M194" s="8" t="s">
        <v>107</v>
      </c>
      <c r="N194" s="8" t="s">
        <v>108</v>
      </c>
      <c r="O194" s="8" t="s">
        <v>107</v>
      </c>
      <c r="P194" s="8" t="s">
        <v>32</v>
      </c>
      <c r="T194" s="8">
        <f>MATCH(D194,Allocation!A:A,0)</f>
        <v>25</v>
      </c>
    </row>
    <row r="195" spans="1:20" x14ac:dyDescent="0.35">
      <c r="A195" s="8" t="s">
        <v>167</v>
      </c>
      <c r="B195" s="8" t="s">
        <v>32</v>
      </c>
      <c r="C195" s="8" t="s">
        <v>8</v>
      </c>
      <c r="D195" s="8" t="s">
        <v>123</v>
      </c>
      <c r="E195" s="8">
        <v>-318.08</v>
      </c>
      <c r="F195" s="8" t="s">
        <v>169</v>
      </c>
      <c r="G195" s="8" t="s">
        <v>112</v>
      </c>
      <c r="H195" s="8" t="s">
        <v>111</v>
      </c>
      <c r="I195" s="8" t="s">
        <v>112</v>
      </c>
      <c r="J195" s="8" t="s">
        <v>124</v>
      </c>
      <c r="K195" s="8" t="s">
        <v>125</v>
      </c>
      <c r="L195" s="8" t="s">
        <v>124</v>
      </c>
      <c r="M195" s="8" t="s">
        <v>107</v>
      </c>
      <c r="N195" s="8" t="s">
        <v>108</v>
      </c>
      <c r="O195" s="8" t="s">
        <v>107</v>
      </c>
      <c r="P195" s="8" t="s">
        <v>32</v>
      </c>
      <c r="T195" s="8">
        <f>MATCH(D195,Allocation!A:A,0)</f>
        <v>25</v>
      </c>
    </row>
    <row r="196" spans="1:20" x14ac:dyDescent="0.35">
      <c r="A196" s="8" t="s">
        <v>171</v>
      </c>
      <c r="B196" s="8" t="s">
        <v>172</v>
      </c>
      <c r="C196" s="8" t="s">
        <v>9</v>
      </c>
      <c r="D196" s="8" t="s">
        <v>123</v>
      </c>
      <c r="E196" s="8">
        <v>-1381.15</v>
      </c>
      <c r="F196" s="8" t="s">
        <v>169</v>
      </c>
      <c r="G196" s="8" t="s">
        <v>112</v>
      </c>
      <c r="H196" s="8" t="s">
        <v>111</v>
      </c>
      <c r="I196" s="8" t="s">
        <v>112</v>
      </c>
      <c r="J196" s="8" t="s">
        <v>124</v>
      </c>
      <c r="K196" s="8" t="s">
        <v>125</v>
      </c>
      <c r="L196" s="8" t="s">
        <v>124</v>
      </c>
      <c r="M196" s="8" t="s">
        <v>107</v>
      </c>
      <c r="N196" s="8" t="s">
        <v>108</v>
      </c>
      <c r="O196" s="8" t="s">
        <v>107</v>
      </c>
      <c r="P196" s="8" t="s">
        <v>32</v>
      </c>
      <c r="T196" s="8">
        <f>MATCH(D196,Allocation!A:A,0)</f>
        <v>25</v>
      </c>
    </row>
    <row r="197" spans="1:20" x14ac:dyDescent="0.35">
      <c r="A197" s="8" t="s">
        <v>173</v>
      </c>
      <c r="B197" s="8" t="s">
        <v>174</v>
      </c>
      <c r="C197" s="8" t="s">
        <v>10</v>
      </c>
      <c r="D197" s="8" t="s">
        <v>123</v>
      </c>
      <c r="E197" s="8">
        <v>1538.46</v>
      </c>
      <c r="F197" s="8" t="s">
        <v>34</v>
      </c>
      <c r="G197" s="8" t="s">
        <v>112</v>
      </c>
      <c r="H197" s="8" t="s">
        <v>111</v>
      </c>
      <c r="I197" s="8" t="s">
        <v>112</v>
      </c>
      <c r="J197" s="8" t="s">
        <v>124</v>
      </c>
      <c r="K197" s="8" t="s">
        <v>125</v>
      </c>
      <c r="L197" s="8" t="s">
        <v>124</v>
      </c>
      <c r="M197" s="8" t="s">
        <v>107</v>
      </c>
      <c r="N197" s="8" t="s">
        <v>108</v>
      </c>
      <c r="O197" s="8" t="s">
        <v>107</v>
      </c>
      <c r="P197" s="8" t="s">
        <v>32</v>
      </c>
      <c r="T197" s="8">
        <f>MATCH(D197,Allocation!A:A,0)</f>
        <v>25</v>
      </c>
    </row>
    <row r="198" spans="1:20" x14ac:dyDescent="0.35">
      <c r="A198" s="8" t="s">
        <v>175</v>
      </c>
      <c r="B198" s="8" t="s">
        <v>172</v>
      </c>
      <c r="C198" s="8" t="s">
        <v>9</v>
      </c>
      <c r="D198" s="8" t="s">
        <v>123</v>
      </c>
      <c r="E198" s="8">
        <v>-318.08</v>
      </c>
      <c r="F198" s="8" t="s">
        <v>169</v>
      </c>
      <c r="G198" s="8" t="s">
        <v>112</v>
      </c>
      <c r="H198" s="8" t="s">
        <v>111</v>
      </c>
      <c r="I198" s="8" t="s">
        <v>112</v>
      </c>
      <c r="J198" s="8" t="s">
        <v>124</v>
      </c>
      <c r="K198" s="8" t="s">
        <v>125</v>
      </c>
      <c r="L198" s="8" t="s">
        <v>124</v>
      </c>
      <c r="M198" s="8" t="s">
        <v>107</v>
      </c>
      <c r="N198" s="8" t="s">
        <v>108</v>
      </c>
      <c r="O198" s="8" t="s">
        <v>107</v>
      </c>
      <c r="P198" s="8" t="s">
        <v>32</v>
      </c>
      <c r="T198" s="8">
        <f>MATCH(D198,Allocation!A:A,0)</f>
        <v>25</v>
      </c>
    </row>
    <row r="199" spans="1:20" x14ac:dyDescent="0.35">
      <c r="A199" s="8" t="s">
        <v>175</v>
      </c>
      <c r="B199" s="8" t="s">
        <v>32</v>
      </c>
      <c r="C199" s="8" t="s">
        <v>8</v>
      </c>
      <c r="D199" s="8" t="s">
        <v>123</v>
      </c>
      <c r="E199" s="8">
        <v>318.08</v>
      </c>
      <c r="F199" s="8" t="s">
        <v>34</v>
      </c>
      <c r="G199" s="8" t="s">
        <v>112</v>
      </c>
      <c r="H199" s="8" t="s">
        <v>111</v>
      </c>
      <c r="I199" s="8" t="s">
        <v>112</v>
      </c>
      <c r="J199" s="8" t="s">
        <v>124</v>
      </c>
      <c r="K199" s="8" t="s">
        <v>125</v>
      </c>
      <c r="L199" s="8" t="s">
        <v>124</v>
      </c>
      <c r="M199" s="8" t="s">
        <v>107</v>
      </c>
      <c r="N199" s="8" t="s">
        <v>108</v>
      </c>
      <c r="O199" s="8" t="s">
        <v>107</v>
      </c>
      <c r="P199" s="8" t="s">
        <v>32</v>
      </c>
      <c r="T199" s="8">
        <f>MATCH(D199,Allocation!A:A,0)</f>
        <v>25</v>
      </c>
    </row>
    <row r="200" spans="1:20" x14ac:dyDescent="0.35">
      <c r="A200" s="8" t="s">
        <v>31</v>
      </c>
      <c r="B200" s="8" t="s">
        <v>32</v>
      </c>
      <c r="C200" s="8" t="s">
        <v>6</v>
      </c>
      <c r="D200" s="8" t="s">
        <v>320</v>
      </c>
      <c r="E200" s="8">
        <v>149.01</v>
      </c>
      <c r="F200" s="8" t="s">
        <v>34</v>
      </c>
      <c r="G200" s="8" t="s">
        <v>320</v>
      </c>
      <c r="H200" s="8" t="s">
        <v>321</v>
      </c>
      <c r="I200" s="8" t="s">
        <v>320</v>
      </c>
      <c r="J200" s="8" t="s">
        <v>161</v>
      </c>
      <c r="K200" s="8" t="s">
        <v>162</v>
      </c>
      <c r="L200" s="8" t="s">
        <v>32</v>
      </c>
      <c r="M200" s="8" t="s">
        <v>131</v>
      </c>
      <c r="N200" s="8" t="s">
        <v>132</v>
      </c>
      <c r="O200" s="8" t="s">
        <v>131</v>
      </c>
      <c r="P200" s="8" t="s">
        <v>32</v>
      </c>
      <c r="T200" s="8" t="e">
        <f>MATCH(D200,Allocation!A:A,0)</f>
        <v>#N/A</v>
      </c>
    </row>
    <row r="201" spans="1:20" x14ac:dyDescent="0.35">
      <c r="A201" s="8" t="s">
        <v>31</v>
      </c>
      <c r="B201" s="8" t="s">
        <v>37</v>
      </c>
      <c r="C201" s="8" t="s">
        <v>6</v>
      </c>
      <c r="D201" s="8" t="s">
        <v>320</v>
      </c>
      <c r="E201" s="8">
        <v>0</v>
      </c>
      <c r="F201" s="8" t="s">
        <v>34</v>
      </c>
      <c r="G201" s="8" t="s">
        <v>320</v>
      </c>
      <c r="H201" s="8" t="s">
        <v>321</v>
      </c>
      <c r="I201" s="8" t="s">
        <v>320</v>
      </c>
      <c r="J201" s="8" t="s">
        <v>161</v>
      </c>
      <c r="K201" s="8" t="s">
        <v>162</v>
      </c>
      <c r="L201" s="8" t="s">
        <v>32</v>
      </c>
      <c r="M201" s="8" t="s">
        <v>131</v>
      </c>
      <c r="N201" s="8" t="s">
        <v>132</v>
      </c>
      <c r="O201" s="8" t="s">
        <v>131</v>
      </c>
      <c r="P201" s="8" t="s">
        <v>32</v>
      </c>
      <c r="T201" s="8" t="e">
        <f>MATCH(D201,Allocation!A:A,0)</f>
        <v>#N/A</v>
      </c>
    </row>
    <row r="202" spans="1:20" x14ac:dyDescent="0.35">
      <c r="A202" s="8" t="s">
        <v>167</v>
      </c>
      <c r="B202" s="8" t="s">
        <v>32</v>
      </c>
      <c r="C202" s="8" t="s">
        <v>7</v>
      </c>
      <c r="D202" s="8" t="s">
        <v>320</v>
      </c>
      <c r="E202" s="8">
        <v>-210.14</v>
      </c>
      <c r="F202" s="8" t="s">
        <v>169</v>
      </c>
      <c r="G202" s="8" t="s">
        <v>320</v>
      </c>
      <c r="H202" s="8" t="s">
        <v>321</v>
      </c>
      <c r="I202" s="8" t="s">
        <v>320</v>
      </c>
      <c r="J202" s="8" t="s">
        <v>161</v>
      </c>
      <c r="K202" s="8" t="s">
        <v>162</v>
      </c>
      <c r="L202" s="8" t="s">
        <v>32</v>
      </c>
      <c r="M202" s="8" t="s">
        <v>131</v>
      </c>
      <c r="N202" s="8" t="s">
        <v>132</v>
      </c>
      <c r="O202" s="8" t="s">
        <v>131</v>
      </c>
      <c r="P202" s="8" t="s">
        <v>32</v>
      </c>
      <c r="T202" s="8" t="e">
        <f>MATCH(D202,Allocation!A:A,0)</f>
        <v>#N/A</v>
      </c>
    </row>
    <row r="203" spans="1:20" x14ac:dyDescent="0.35">
      <c r="A203" s="8" t="s">
        <v>167</v>
      </c>
      <c r="B203" s="8" t="s">
        <v>32</v>
      </c>
      <c r="C203" s="8" t="s">
        <v>8</v>
      </c>
      <c r="D203" s="8" t="s">
        <v>320</v>
      </c>
      <c r="E203" s="8">
        <v>-507.37</v>
      </c>
      <c r="F203" s="8" t="s">
        <v>169</v>
      </c>
      <c r="G203" s="8" t="s">
        <v>320</v>
      </c>
      <c r="H203" s="8" t="s">
        <v>321</v>
      </c>
      <c r="I203" s="8" t="s">
        <v>320</v>
      </c>
      <c r="J203" s="8" t="s">
        <v>161</v>
      </c>
      <c r="K203" s="8" t="s">
        <v>162</v>
      </c>
      <c r="L203" s="8" t="s">
        <v>32</v>
      </c>
      <c r="M203" s="8" t="s">
        <v>131</v>
      </c>
      <c r="N203" s="8" t="s">
        <v>132</v>
      </c>
      <c r="O203" s="8" t="s">
        <v>131</v>
      </c>
      <c r="P203" s="8" t="s">
        <v>32</v>
      </c>
      <c r="T203" s="8" t="e">
        <f>MATCH(D203,Allocation!A:A,0)</f>
        <v>#N/A</v>
      </c>
    </row>
    <row r="204" spans="1:20" x14ac:dyDescent="0.35">
      <c r="A204" s="8" t="s">
        <v>171</v>
      </c>
      <c r="B204" s="8" t="s">
        <v>172</v>
      </c>
      <c r="C204" s="8" t="s">
        <v>9</v>
      </c>
      <c r="D204" s="8" t="s">
        <v>320</v>
      </c>
      <c r="E204" s="8">
        <v>-890.29</v>
      </c>
      <c r="F204" s="8" t="s">
        <v>169</v>
      </c>
      <c r="G204" s="8" t="s">
        <v>320</v>
      </c>
      <c r="H204" s="8" t="s">
        <v>321</v>
      </c>
      <c r="I204" s="8" t="s">
        <v>320</v>
      </c>
      <c r="J204" s="8" t="s">
        <v>161</v>
      </c>
      <c r="K204" s="8" t="s">
        <v>162</v>
      </c>
      <c r="L204" s="8" t="s">
        <v>32</v>
      </c>
      <c r="M204" s="8" t="s">
        <v>131</v>
      </c>
      <c r="N204" s="8" t="s">
        <v>132</v>
      </c>
      <c r="O204" s="8" t="s">
        <v>131</v>
      </c>
      <c r="P204" s="8" t="s">
        <v>32</v>
      </c>
      <c r="T204" s="8" t="e">
        <f>MATCH(D204,Allocation!A:A,0)</f>
        <v>#N/A</v>
      </c>
    </row>
    <row r="205" spans="1:20" x14ac:dyDescent="0.35">
      <c r="A205" s="8" t="s">
        <v>173</v>
      </c>
      <c r="B205" s="8" t="s">
        <v>174</v>
      </c>
      <c r="C205" s="8" t="s">
        <v>10</v>
      </c>
      <c r="D205" s="8" t="s">
        <v>320</v>
      </c>
      <c r="E205" s="8">
        <v>1458.79</v>
      </c>
      <c r="F205" s="8" t="s">
        <v>34</v>
      </c>
      <c r="G205" s="8" t="s">
        <v>320</v>
      </c>
      <c r="H205" s="8" t="s">
        <v>321</v>
      </c>
      <c r="I205" s="8" t="s">
        <v>320</v>
      </c>
      <c r="J205" s="8" t="s">
        <v>161</v>
      </c>
      <c r="K205" s="8" t="s">
        <v>162</v>
      </c>
      <c r="L205" s="8" t="s">
        <v>32</v>
      </c>
      <c r="M205" s="8" t="s">
        <v>131</v>
      </c>
      <c r="N205" s="8" t="s">
        <v>132</v>
      </c>
      <c r="O205" s="8" t="s">
        <v>131</v>
      </c>
      <c r="P205" s="8" t="s">
        <v>32</v>
      </c>
      <c r="T205" s="8" t="e">
        <f>MATCH(D205,Allocation!A:A,0)</f>
        <v>#N/A</v>
      </c>
    </row>
    <row r="206" spans="1:20" x14ac:dyDescent="0.35">
      <c r="A206" s="8" t="s">
        <v>175</v>
      </c>
      <c r="B206" s="8" t="s">
        <v>172</v>
      </c>
      <c r="C206" s="8" t="s">
        <v>9</v>
      </c>
      <c r="D206" s="8" t="s">
        <v>320</v>
      </c>
      <c r="E206" s="8">
        <v>-507.37</v>
      </c>
      <c r="F206" s="8" t="s">
        <v>169</v>
      </c>
      <c r="G206" s="8" t="s">
        <v>320</v>
      </c>
      <c r="H206" s="8" t="s">
        <v>321</v>
      </c>
      <c r="I206" s="8" t="s">
        <v>320</v>
      </c>
      <c r="J206" s="8" t="s">
        <v>161</v>
      </c>
      <c r="K206" s="8" t="s">
        <v>162</v>
      </c>
      <c r="L206" s="8" t="s">
        <v>32</v>
      </c>
      <c r="M206" s="8" t="s">
        <v>131</v>
      </c>
      <c r="N206" s="8" t="s">
        <v>132</v>
      </c>
      <c r="O206" s="8" t="s">
        <v>131</v>
      </c>
      <c r="P206" s="8" t="s">
        <v>32</v>
      </c>
      <c r="T206" s="8" t="e">
        <f>MATCH(D206,Allocation!A:A,0)</f>
        <v>#N/A</v>
      </c>
    </row>
    <row r="207" spans="1:20" x14ac:dyDescent="0.35">
      <c r="A207" s="8" t="s">
        <v>175</v>
      </c>
      <c r="B207" s="8" t="s">
        <v>32</v>
      </c>
      <c r="C207" s="8" t="s">
        <v>8</v>
      </c>
      <c r="D207" s="8" t="s">
        <v>320</v>
      </c>
      <c r="E207" s="8">
        <v>507.37</v>
      </c>
      <c r="F207" s="8" t="s">
        <v>34</v>
      </c>
      <c r="G207" s="8" t="s">
        <v>320</v>
      </c>
      <c r="H207" s="8" t="s">
        <v>321</v>
      </c>
      <c r="I207" s="8" t="s">
        <v>320</v>
      </c>
      <c r="J207" s="8" t="s">
        <v>161</v>
      </c>
      <c r="K207" s="8" t="s">
        <v>162</v>
      </c>
      <c r="L207" s="8" t="s">
        <v>32</v>
      </c>
      <c r="M207" s="8" t="s">
        <v>131</v>
      </c>
      <c r="N207" s="8" t="s">
        <v>132</v>
      </c>
      <c r="O207" s="8" t="s">
        <v>131</v>
      </c>
      <c r="P207" s="8" t="s">
        <v>32</v>
      </c>
      <c r="T207" s="8" t="e">
        <f>MATCH(D207,Allocation!A:A,0)</f>
        <v>#N/A</v>
      </c>
    </row>
    <row r="208" spans="1:20" x14ac:dyDescent="0.35">
      <c r="A208" s="8" t="s">
        <v>31</v>
      </c>
      <c r="B208" s="8" t="s">
        <v>32</v>
      </c>
      <c r="C208" s="8" t="s">
        <v>6</v>
      </c>
      <c r="D208" s="8" t="s">
        <v>128</v>
      </c>
      <c r="E208" s="8">
        <v>294.64</v>
      </c>
      <c r="F208" s="8" t="s">
        <v>34</v>
      </c>
      <c r="G208" s="8" t="s">
        <v>128</v>
      </c>
      <c r="H208" s="8" t="s">
        <v>127</v>
      </c>
      <c r="I208" s="8" t="s">
        <v>128</v>
      </c>
      <c r="J208" s="8" t="s">
        <v>32</v>
      </c>
      <c r="K208" s="8" t="s">
        <v>32</v>
      </c>
      <c r="L208" s="8" t="s">
        <v>32</v>
      </c>
      <c r="M208" s="8" t="s">
        <v>32</v>
      </c>
      <c r="N208" s="8" t="s">
        <v>32</v>
      </c>
      <c r="O208" s="8" t="s">
        <v>32</v>
      </c>
      <c r="P208" s="8" t="s">
        <v>32</v>
      </c>
      <c r="T208" s="8" t="e">
        <f>MATCH(D208,Allocation!A:A,0)</f>
        <v>#N/A</v>
      </c>
    </row>
    <row r="209" spans="1:20" x14ac:dyDescent="0.35">
      <c r="A209" s="8" t="s">
        <v>31</v>
      </c>
      <c r="B209" s="8" t="s">
        <v>37</v>
      </c>
      <c r="C209" s="8" t="s">
        <v>6</v>
      </c>
      <c r="D209" s="8" t="s">
        <v>128</v>
      </c>
      <c r="E209" s="8">
        <v>0</v>
      </c>
      <c r="F209" s="8" t="s">
        <v>34</v>
      </c>
      <c r="G209" s="8" t="s">
        <v>128</v>
      </c>
      <c r="H209" s="8" t="s">
        <v>127</v>
      </c>
      <c r="I209" s="8" t="s">
        <v>128</v>
      </c>
      <c r="J209" s="8" t="s">
        <v>32</v>
      </c>
      <c r="K209" s="8" t="s">
        <v>32</v>
      </c>
      <c r="L209" s="8" t="s">
        <v>32</v>
      </c>
      <c r="M209" s="8" t="s">
        <v>32</v>
      </c>
      <c r="N209" s="8" t="s">
        <v>32</v>
      </c>
      <c r="O209" s="8" t="s">
        <v>32</v>
      </c>
      <c r="P209" s="8" t="s">
        <v>32</v>
      </c>
      <c r="T209" s="8" t="e">
        <f>MATCH(D209,Allocation!A:A,0)</f>
        <v>#N/A</v>
      </c>
    </row>
    <row r="210" spans="1:20" x14ac:dyDescent="0.35">
      <c r="A210" s="8" t="s">
        <v>167</v>
      </c>
      <c r="B210" s="8" t="s">
        <v>32</v>
      </c>
      <c r="C210" s="8" t="s">
        <v>7</v>
      </c>
      <c r="D210" s="8" t="s">
        <v>128</v>
      </c>
      <c r="E210" s="8">
        <v>-188.76</v>
      </c>
      <c r="F210" s="8" t="s">
        <v>169</v>
      </c>
      <c r="G210" s="8" t="s">
        <v>128</v>
      </c>
      <c r="H210" s="8" t="s">
        <v>127</v>
      </c>
      <c r="I210" s="8" t="s">
        <v>128</v>
      </c>
      <c r="J210" s="8" t="s">
        <v>161</v>
      </c>
      <c r="K210" s="8" t="s">
        <v>162</v>
      </c>
      <c r="L210" s="8" t="s">
        <v>32</v>
      </c>
      <c r="M210" s="8" t="s">
        <v>131</v>
      </c>
      <c r="N210" s="8" t="s">
        <v>132</v>
      </c>
      <c r="O210" s="8" t="s">
        <v>131</v>
      </c>
      <c r="P210" s="8" t="s">
        <v>32</v>
      </c>
      <c r="T210" s="8" t="e">
        <f>MATCH(D210,Allocation!A:A,0)</f>
        <v>#N/A</v>
      </c>
    </row>
    <row r="211" spans="1:20" x14ac:dyDescent="0.35">
      <c r="A211" s="8" t="s">
        <v>167</v>
      </c>
      <c r="B211" s="8" t="s">
        <v>32</v>
      </c>
      <c r="C211" s="8" t="s">
        <v>8</v>
      </c>
      <c r="D211" s="8" t="s">
        <v>128</v>
      </c>
      <c r="E211" s="8">
        <v>-887.69</v>
      </c>
      <c r="F211" s="8" t="s">
        <v>169</v>
      </c>
      <c r="G211" s="8" t="s">
        <v>128</v>
      </c>
      <c r="H211" s="8" t="s">
        <v>127</v>
      </c>
      <c r="I211" s="8" t="s">
        <v>128</v>
      </c>
      <c r="J211" s="8" t="s">
        <v>32</v>
      </c>
      <c r="K211" s="8" t="s">
        <v>32</v>
      </c>
      <c r="L211" s="8" t="s">
        <v>32</v>
      </c>
      <c r="M211" s="8" t="s">
        <v>32</v>
      </c>
      <c r="N211" s="8" t="s">
        <v>32</v>
      </c>
      <c r="O211" s="8" t="s">
        <v>32</v>
      </c>
      <c r="P211" s="8" t="s">
        <v>32</v>
      </c>
      <c r="T211" s="8" t="e">
        <f>MATCH(D211,Allocation!A:A,0)</f>
        <v>#N/A</v>
      </c>
    </row>
    <row r="212" spans="1:20" x14ac:dyDescent="0.35">
      <c r="A212" s="8" t="s">
        <v>171</v>
      </c>
      <c r="B212" s="8" t="s">
        <v>172</v>
      </c>
      <c r="C212" s="8" t="s">
        <v>9</v>
      </c>
      <c r="D212" s="8" t="s">
        <v>128</v>
      </c>
      <c r="E212" s="8">
        <v>-2067.09</v>
      </c>
      <c r="F212" s="8" t="s">
        <v>169</v>
      </c>
      <c r="G212" s="8" t="s">
        <v>128</v>
      </c>
      <c r="H212" s="8" t="s">
        <v>127</v>
      </c>
      <c r="I212" s="8" t="s">
        <v>128</v>
      </c>
      <c r="J212" s="8" t="s">
        <v>32</v>
      </c>
      <c r="K212" s="8" t="s">
        <v>32</v>
      </c>
      <c r="L212" s="8" t="s">
        <v>32</v>
      </c>
      <c r="M212" s="8" t="s">
        <v>32</v>
      </c>
      <c r="N212" s="8" t="s">
        <v>32</v>
      </c>
      <c r="O212" s="8" t="s">
        <v>32</v>
      </c>
      <c r="P212" s="8" t="s">
        <v>32</v>
      </c>
      <c r="T212" s="8" t="e">
        <f>MATCH(D212,Allocation!A:A,0)</f>
        <v>#N/A</v>
      </c>
    </row>
    <row r="213" spans="1:20" x14ac:dyDescent="0.35">
      <c r="A213" s="8" t="s">
        <v>173</v>
      </c>
      <c r="B213" s="8" t="s">
        <v>174</v>
      </c>
      <c r="C213" s="8" t="s">
        <v>10</v>
      </c>
      <c r="D213" s="8" t="s">
        <v>128</v>
      </c>
      <c r="E213" s="8">
        <v>2848.9</v>
      </c>
      <c r="F213" s="8" t="s">
        <v>34</v>
      </c>
      <c r="G213" s="8" t="s">
        <v>128</v>
      </c>
      <c r="H213" s="8" t="s">
        <v>127</v>
      </c>
      <c r="I213" s="8" t="s">
        <v>128</v>
      </c>
      <c r="J213" s="8" t="s">
        <v>32</v>
      </c>
      <c r="K213" s="8" t="s">
        <v>32</v>
      </c>
      <c r="L213" s="8" t="s">
        <v>32</v>
      </c>
      <c r="M213" s="8" t="s">
        <v>32</v>
      </c>
      <c r="N213" s="8" t="s">
        <v>32</v>
      </c>
      <c r="O213" s="8" t="s">
        <v>32</v>
      </c>
      <c r="P213" s="8" t="s">
        <v>32</v>
      </c>
      <c r="T213" s="8" t="e">
        <f>MATCH(D213,Allocation!A:A,0)</f>
        <v>#N/A</v>
      </c>
    </row>
    <row r="214" spans="1:20" x14ac:dyDescent="0.35">
      <c r="A214" s="8" t="s">
        <v>175</v>
      </c>
      <c r="B214" s="8" t="s">
        <v>172</v>
      </c>
      <c r="C214" s="8" t="s">
        <v>9</v>
      </c>
      <c r="D214" s="8" t="s">
        <v>128</v>
      </c>
      <c r="E214" s="8">
        <v>-887.69</v>
      </c>
      <c r="F214" s="8" t="s">
        <v>169</v>
      </c>
      <c r="G214" s="8" t="s">
        <v>128</v>
      </c>
      <c r="H214" s="8" t="s">
        <v>127</v>
      </c>
      <c r="I214" s="8" t="s">
        <v>128</v>
      </c>
      <c r="J214" s="8" t="s">
        <v>32</v>
      </c>
      <c r="K214" s="8" t="s">
        <v>32</v>
      </c>
      <c r="L214" s="8" t="s">
        <v>32</v>
      </c>
      <c r="M214" s="8" t="s">
        <v>32</v>
      </c>
      <c r="N214" s="8" t="s">
        <v>32</v>
      </c>
      <c r="O214" s="8" t="s">
        <v>32</v>
      </c>
      <c r="P214" s="8" t="s">
        <v>32</v>
      </c>
      <c r="T214" s="8" t="e">
        <f>MATCH(D214,Allocation!A:A,0)</f>
        <v>#N/A</v>
      </c>
    </row>
    <row r="215" spans="1:20" x14ac:dyDescent="0.35">
      <c r="A215" s="8" t="s">
        <v>175</v>
      </c>
      <c r="B215" s="8" t="s">
        <v>32</v>
      </c>
      <c r="C215" s="8" t="s">
        <v>8</v>
      </c>
      <c r="D215" s="8" t="s">
        <v>128</v>
      </c>
      <c r="E215" s="8">
        <v>887.69</v>
      </c>
      <c r="F215" s="8" t="s">
        <v>34</v>
      </c>
      <c r="G215" s="8" t="s">
        <v>128</v>
      </c>
      <c r="H215" s="8" t="s">
        <v>127</v>
      </c>
      <c r="I215" s="8" t="s">
        <v>128</v>
      </c>
      <c r="J215" s="8" t="s">
        <v>32</v>
      </c>
      <c r="K215" s="8" t="s">
        <v>32</v>
      </c>
      <c r="L215" s="8" t="s">
        <v>32</v>
      </c>
      <c r="M215" s="8" t="s">
        <v>32</v>
      </c>
      <c r="N215" s="8" t="s">
        <v>32</v>
      </c>
      <c r="O215" s="8" t="s">
        <v>32</v>
      </c>
      <c r="P215" s="8" t="s">
        <v>32</v>
      </c>
      <c r="T215" s="8" t="e">
        <f>MATCH(D215,Allocation!A:A,0)</f>
        <v>#N/A</v>
      </c>
    </row>
    <row r="216" spans="1:20" x14ac:dyDescent="0.35">
      <c r="A216" s="8" t="s">
        <v>31</v>
      </c>
      <c r="B216" s="8" t="s">
        <v>32</v>
      </c>
      <c r="C216" s="8" t="s">
        <v>6</v>
      </c>
      <c r="D216" s="8" t="s">
        <v>126</v>
      </c>
      <c r="E216" s="8">
        <v>329.57</v>
      </c>
      <c r="F216" s="8" t="s">
        <v>34</v>
      </c>
      <c r="G216" s="8" t="s">
        <v>128</v>
      </c>
      <c r="H216" s="8" t="s">
        <v>127</v>
      </c>
      <c r="I216" s="8" t="s">
        <v>128</v>
      </c>
      <c r="J216" s="8" t="s">
        <v>129</v>
      </c>
      <c r="K216" s="8" t="s">
        <v>130</v>
      </c>
      <c r="L216" s="8" t="s">
        <v>129</v>
      </c>
      <c r="M216" s="8" t="s">
        <v>131</v>
      </c>
      <c r="N216" s="8" t="s">
        <v>132</v>
      </c>
      <c r="O216" s="8" t="s">
        <v>131</v>
      </c>
      <c r="P216" s="8" t="s">
        <v>32</v>
      </c>
      <c r="T216" s="8">
        <f>MATCH(D216,Allocation!A:A,0)</f>
        <v>17</v>
      </c>
    </row>
    <row r="217" spans="1:20" x14ac:dyDescent="0.35">
      <c r="A217" s="8" t="s">
        <v>31</v>
      </c>
      <c r="B217" s="8" t="s">
        <v>37</v>
      </c>
      <c r="C217" s="8" t="s">
        <v>6</v>
      </c>
      <c r="D217" s="8" t="s">
        <v>126</v>
      </c>
      <c r="E217" s="8">
        <v>0</v>
      </c>
      <c r="F217" s="8" t="s">
        <v>34</v>
      </c>
      <c r="G217" s="8" t="s">
        <v>128</v>
      </c>
      <c r="H217" s="8" t="s">
        <v>127</v>
      </c>
      <c r="I217" s="8" t="s">
        <v>128</v>
      </c>
      <c r="J217" s="8" t="s">
        <v>129</v>
      </c>
      <c r="K217" s="8" t="s">
        <v>130</v>
      </c>
      <c r="L217" s="8" t="s">
        <v>129</v>
      </c>
      <c r="M217" s="8" t="s">
        <v>131</v>
      </c>
      <c r="N217" s="8" t="s">
        <v>132</v>
      </c>
      <c r="O217" s="8" t="s">
        <v>131</v>
      </c>
      <c r="P217" s="8" t="s">
        <v>32</v>
      </c>
      <c r="T217" s="8">
        <f>MATCH(D217,Allocation!A:A,0)</f>
        <v>17</v>
      </c>
    </row>
    <row r="218" spans="1:20" x14ac:dyDescent="0.35">
      <c r="A218" s="8" t="s">
        <v>167</v>
      </c>
      <c r="B218" s="8" t="s">
        <v>168</v>
      </c>
      <c r="C218" s="8" t="s">
        <v>7</v>
      </c>
      <c r="D218" s="8" t="s">
        <v>126</v>
      </c>
      <c r="E218" s="8">
        <v>-500</v>
      </c>
      <c r="F218" s="8" t="s">
        <v>169</v>
      </c>
      <c r="G218" s="8" t="s">
        <v>128</v>
      </c>
      <c r="H218" s="8" t="s">
        <v>127</v>
      </c>
      <c r="I218" s="8" t="s">
        <v>128</v>
      </c>
      <c r="J218" s="8" t="s">
        <v>129</v>
      </c>
      <c r="K218" s="8" t="s">
        <v>130</v>
      </c>
      <c r="L218" s="8" t="s">
        <v>129</v>
      </c>
      <c r="M218" s="8" t="s">
        <v>131</v>
      </c>
      <c r="N218" s="8" t="s">
        <v>132</v>
      </c>
      <c r="O218" s="8" t="s">
        <v>131</v>
      </c>
      <c r="P218" s="8" t="s">
        <v>32</v>
      </c>
      <c r="T218" s="8">
        <f>MATCH(D218,Allocation!A:A,0)</f>
        <v>17</v>
      </c>
    </row>
    <row r="219" spans="1:20" x14ac:dyDescent="0.35">
      <c r="A219" s="8" t="s">
        <v>167</v>
      </c>
      <c r="B219" s="8" t="s">
        <v>32</v>
      </c>
      <c r="C219" s="8" t="s">
        <v>8</v>
      </c>
      <c r="D219" s="8" t="s">
        <v>126</v>
      </c>
      <c r="E219" s="8">
        <v>-885.47</v>
      </c>
      <c r="F219" s="8" t="s">
        <v>169</v>
      </c>
      <c r="G219" s="8" t="s">
        <v>128</v>
      </c>
      <c r="H219" s="8" t="s">
        <v>127</v>
      </c>
      <c r="I219" s="8" t="s">
        <v>128</v>
      </c>
      <c r="J219" s="8" t="s">
        <v>129</v>
      </c>
      <c r="K219" s="8" t="s">
        <v>130</v>
      </c>
      <c r="L219" s="8" t="s">
        <v>129</v>
      </c>
      <c r="M219" s="8" t="s">
        <v>131</v>
      </c>
      <c r="N219" s="8" t="s">
        <v>132</v>
      </c>
      <c r="O219" s="8" t="s">
        <v>131</v>
      </c>
      <c r="P219" s="8" t="s">
        <v>32</v>
      </c>
      <c r="T219" s="8">
        <f>MATCH(D219,Allocation!A:A,0)</f>
        <v>17</v>
      </c>
    </row>
    <row r="220" spans="1:20" x14ac:dyDescent="0.35">
      <c r="A220" s="8" t="s">
        <v>171</v>
      </c>
      <c r="B220" s="8" t="s">
        <v>172</v>
      </c>
      <c r="C220" s="8" t="s">
        <v>9</v>
      </c>
      <c r="D220" s="8" t="s">
        <v>126</v>
      </c>
      <c r="E220" s="8">
        <v>-2097.9499999999998</v>
      </c>
      <c r="F220" s="8" t="s">
        <v>169</v>
      </c>
      <c r="G220" s="8" t="s">
        <v>128</v>
      </c>
      <c r="H220" s="8" t="s">
        <v>127</v>
      </c>
      <c r="I220" s="8" t="s">
        <v>128</v>
      </c>
      <c r="J220" s="8" t="s">
        <v>129</v>
      </c>
      <c r="K220" s="8" t="s">
        <v>130</v>
      </c>
      <c r="L220" s="8" t="s">
        <v>129</v>
      </c>
      <c r="M220" s="8" t="s">
        <v>131</v>
      </c>
      <c r="N220" s="8" t="s">
        <v>132</v>
      </c>
      <c r="O220" s="8" t="s">
        <v>131</v>
      </c>
      <c r="P220" s="8" t="s">
        <v>32</v>
      </c>
      <c r="T220" s="8">
        <f>MATCH(D220,Allocation!A:A,0)</f>
        <v>17</v>
      </c>
    </row>
    <row r="221" spans="1:20" x14ac:dyDescent="0.35">
      <c r="A221" s="8" t="s">
        <v>173</v>
      </c>
      <c r="B221" s="8" t="s">
        <v>174</v>
      </c>
      <c r="C221" s="8" t="s">
        <v>10</v>
      </c>
      <c r="D221" s="8" t="s">
        <v>126</v>
      </c>
      <c r="E221" s="8">
        <v>3153.85</v>
      </c>
      <c r="F221" s="8" t="s">
        <v>34</v>
      </c>
      <c r="G221" s="8" t="s">
        <v>128</v>
      </c>
      <c r="H221" s="8" t="s">
        <v>127</v>
      </c>
      <c r="I221" s="8" t="s">
        <v>128</v>
      </c>
      <c r="J221" s="8" t="s">
        <v>129</v>
      </c>
      <c r="K221" s="8" t="s">
        <v>130</v>
      </c>
      <c r="L221" s="8" t="s">
        <v>129</v>
      </c>
      <c r="M221" s="8" t="s">
        <v>131</v>
      </c>
      <c r="N221" s="8" t="s">
        <v>132</v>
      </c>
      <c r="O221" s="8" t="s">
        <v>131</v>
      </c>
      <c r="P221" s="8" t="s">
        <v>32</v>
      </c>
      <c r="T221" s="8">
        <f>MATCH(D221,Allocation!A:A,0)</f>
        <v>17</v>
      </c>
    </row>
    <row r="222" spans="1:20" x14ac:dyDescent="0.35">
      <c r="A222" s="8" t="s">
        <v>175</v>
      </c>
      <c r="B222" s="8" t="s">
        <v>172</v>
      </c>
      <c r="C222" s="8" t="s">
        <v>9</v>
      </c>
      <c r="D222" s="8" t="s">
        <v>126</v>
      </c>
      <c r="E222" s="8">
        <v>-885.47</v>
      </c>
      <c r="F222" s="8" t="s">
        <v>169</v>
      </c>
      <c r="G222" s="8" t="s">
        <v>128</v>
      </c>
      <c r="H222" s="8" t="s">
        <v>127</v>
      </c>
      <c r="I222" s="8" t="s">
        <v>128</v>
      </c>
      <c r="J222" s="8" t="s">
        <v>129</v>
      </c>
      <c r="K222" s="8" t="s">
        <v>130</v>
      </c>
      <c r="L222" s="8" t="s">
        <v>129</v>
      </c>
      <c r="M222" s="8" t="s">
        <v>131</v>
      </c>
      <c r="N222" s="8" t="s">
        <v>132</v>
      </c>
      <c r="O222" s="8" t="s">
        <v>131</v>
      </c>
      <c r="P222" s="8" t="s">
        <v>32</v>
      </c>
      <c r="T222" s="8">
        <f>MATCH(D222,Allocation!A:A,0)</f>
        <v>17</v>
      </c>
    </row>
    <row r="223" spans="1:20" x14ac:dyDescent="0.35">
      <c r="A223" s="8" t="s">
        <v>175</v>
      </c>
      <c r="B223" s="8" t="s">
        <v>32</v>
      </c>
      <c r="C223" s="8" t="s">
        <v>8</v>
      </c>
      <c r="D223" s="8" t="s">
        <v>126</v>
      </c>
      <c r="E223" s="8">
        <v>885.47</v>
      </c>
      <c r="F223" s="8" t="s">
        <v>34</v>
      </c>
      <c r="G223" s="8" t="s">
        <v>128</v>
      </c>
      <c r="H223" s="8" t="s">
        <v>127</v>
      </c>
      <c r="I223" s="8" t="s">
        <v>128</v>
      </c>
      <c r="J223" s="8" t="s">
        <v>129</v>
      </c>
      <c r="K223" s="8" t="s">
        <v>130</v>
      </c>
      <c r="L223" s="8" t="s">
        <v>129</v>
      </c>
      <c r="M223" s="8" t="s">
        <v>131</v>
      </c>
      <c r="N223" s="8" t="s">
        <v>132</v>
      </c>
      <c r="O223" s="8" t="s">
        <v>131</v>
      </c>
      <c r="P223" s="8" t="s">
        <v>32</v>
      </c>
      <c r="T223" s="8">
        <f>MATCH(D223,Allocation!A:A,0)</f>
        <v>17</v>
      </c>
    </row>
    <row r="224" spans="1:20" x14ac:dyDescent="0.35">
      <c r="A224" s="8" t="s">
        <v>31</v>
      </c>
      <c r="B224" s="8" t="s">
        <v>32</v>
      </c>
      <c r="C224" s="8" t="s">
        <v>6</v>
      </c>
      <c r="D224" s="8" t="s">
        <v>133</v>
      </c>
      <c r="E224" s="8">
        <v>154.33000000000001</v>
      </c>
      <c r="F224" s="8" t="s">
        <v>34</v>
      </c>
      <c r="G224" s="8" t="s">
        <v>128</v>
      </c>
      <c r="H224" s="8" t="s">
        <v>127</v>
      </c>
      <c r="I224" s="8" t="s">
        <v>128</v>
      </c>
      <c r="J224" s="8" t="s">
        <v>134</v>
      </c>
      <c r="K224" s="8" t="s">
        <v>135</v>
      </c>
      <c r="L224" s="8" t="s">
        <v>134</v>
      </c>
      <c r="M224" s="8" t="s">
        <v>100</v>
      </c>
      <c r="N224" s="8" t="s">
        <v>101</v>
      </c>
      <c r="O224" s="8" t="s">
        <v>100</v>
      </c>
      <c r="P224" s="8" t="s">
        <v>32</v>
      </c>
      <c r="T224" s="8">
        <f>MATCH(D224,Allocation!A:A,0)</f>
        <v>50</v>
      </c>
    </row>
    <row r="225" spans="1:20" x14ac:dyDescent="0.35">
      <c r="A225" s="8" t="s">
        <v>31</v>
      </c>
      <c r="B225" s="8" t="s">
        <v>37</v>
      </c>
      <c r="C225" s="8" t="s">
        <v>6</v>
      </c>
      <c r="D225" s="8" t="s">
        <v>133</v>
      </c>
      <c r="E225" s="8">
        <v>0</v>
      </c>
      <c r="F225" s="8" t="s">
        <v>34</v>
      </c>
      <c r="G225" s="8" t="s">
        <v>128</v>
      </c>
      <c r="H225" s="8" t="s">
        <v>127</v>
      </c>
      <c r="I225" s="8" t="s">
        <v>128</v>
      </c>
      <c r="J225" s="8" t="s">
        <v>134</v>
      </c>
      <c r="K225" s="8" t="s">
        <v>135</v>
      </c>
      <c r="L225" s="8" t="s">
        <v>134</v>
      </c>
      <c r="M225" s="8" t="s">
        <v>100</v>
      </c>
      <c r="N225" s="8" t="s">
        <v>101</v>
      </c>
      <c r="O225" s="8" t="s">
        <v>100</v>
      </c>
      <c r="P225" s="8" t="s">
        <v>32</v>
      </c>
      <c r="T225" s="8">
        <f>MATCH(D225,Allocation!A:A,0)</f>
        <v>50</v>
      </c>
    </row>
    <row r="226" spans="1:20" x14ac:dyDescent="0.35">
      <c r="A226" s="8" t="s">
        <v>167</v>
      </c>
      <c r="B226" s="8" t="s">
        <v>170</v>
      </c>
      <c r="C226" s="8" t="s">
        <v>7</v>
      </c>
      <c r="D226" s="8" t="s">
        <v>133</v>
      </c>
      <c r="E226" s="8">
        <v>-57.7</v>
      </c>
      <c r="F226" s="8" t="s">
        <v>169</v>
      </c>
      <c r="G226" s="8" t="s">
        <v>128</v>
      </c>
      <c r="H226" s="8" t="s">
        <v>127</v>
      </c>
      <c r="I226" s="8" t="s">
        <v>128</v>
      </c>
      <c r="J226" s="8" t="s">
        <v>134</v>
      </c>
      <c r="K226" s="8" t="s">
        <v>135</v>
      </c>
      <c r="L226" s="8" t="s">
        <v>134</v>
      </c>
      <c r="M226" s="8" t="s">
        <v>100</v>
      </c>
      <c r="N226" s="8" t="s">
        <v>101</v>
      </c>
      <c r="O226" s="8" t="s">
        <v>100</v>
      </c>
      <c r="P226" s="8" t="s">
        <v>32</v>
      </c>
      <c r="T226" s="8">
        <f>MATCH(D226,Allocation!A:A,0)</f>
        <v>50</v>
      </c>
    </row>
    <row r="227" spans="1:20" x14ac:dyDescent="0.35">
      <c r="A227" s="8" t="s">
        <v>167</v>
      </c>
      <c r="B227" s="8" t="s">
        <v>32</v>
      </c>
      <c r="C227" s="8" t="s">
        <v>8</v>
      </c>
      <c r="D227" s="8" t="s">
        <v>133</v>
      </c>
      <c r="E227" s="8">
        <v>-456.07</v>
      </c>
      <c r="F227" s="8" t="s">
        <v>169</v>
      </c>
      <c r="G227" s="8" t="s">
        <v>128</v>
      </c>
      <c r="H227" s="8" t="s">
        <v>127</v>
      </c>
      <c r="I227" s="8" t="s">
        <v>128</v>
      </c>
      <c r="J227" s="8" t="s">
        <v>134</v>
      </c>
      <c r="K227" s="8" t="s">
        <v>135</v>
      </c>
      <c r="L227" s="8" t="s">
        <v>134</v>
      </c>
      <c r="M227" s="8" t="s">
        <v>100</v>
      </c>
      <c r="N227" s="8" t="s">
        <v>101</v>
      </c>
      <c r="O227" s="8" t="s">
        <v>100</v>
      </c>
      <c r="P227" s="8" t="s">
        <v>32</v>
      </c>
      <c r="T227" s="8">
        <f>MATCH(D227,Allocation!A:A,0)</f>
        <v>50</v>
      </c>
    </row>
    <row r="228" spans="1:20" x14ac:dyDescent="0.35">
      <c r="A228" s="8" t="s">
        <v>171</v>
      </c>
      <c r="B228" s="8" t="s">
        <v>172</v>
      </c>
      <c r="C228" s="8" t="s">
        <v>9</v>
      </c>
      <c r="D228" s="8" t="s">
        <v>133</v>
      </c>
      <c r="E228" s="8">
        <v>-1179.02</v>
      </c>
      <c r="F228" s="8" t="s">
        <v>169</v>
      </c>
      <c r="G228" s="8" t="s">
        <v>128</v>
      </c>
      <c r="H228" s="8" t="s">
        <v>127</v>
      </c>
      <c r="I228" s="8" t="s">
        <v>128</v>
      </c>
      <c r="J228" s="8" t="s">
        <v>134</v>
      </c>
      <c r="K228" s="8" t="s">
        <v>135</v>
      </c>
      <c r="L228" s="8" t="s">
        <v>134</v>
      </c>
      <c r="M228" s="8" t="s">
        <v>100</v>
      </c>
      <c r="N228" s="8" t="s">
        <v>101</v>
      </c>
      <c r="O228" s="8" t="s">
        <v>100</v>
      </c>
      <c r="P228" s="8" t="s">
        <v>32</v>
      </c>
      <c r="T228" s="8">
        <f>MATCH(D228,Allocation!A:A,0)</f>
        <v>50</v>
      </c>
    </row>
    <row r="229" spans="1:20" x14ac:dyDescent="0.35">
      <c r="A229" s="8" t="s">
        <v>173</v>
      </c>
      <c r="B229" s="8" t="s">
        <v>174</v>
      </c>
      <c r="C229" s="8" t="s">
        <v>10</v>
      </c>
      <c r="D229" s="8" t="s">
        <v>133</v>
      </c>
      <c r="E229" s="8">
        <v>1538.46</v>
      </c>
      <c r="F229" s="8" t="s">
        <v>34</v>
      </c>
      <c r="G229" s="8" t="s">
        <v>128</v>
      </c>
      <c r="H229" s="8" t="s">
        <v>127</v>
      </c>
      <c r="I229" s="8" t="s">
        <v>128</v>
      </c>
      <c r="J229" s="8" t="s">
        <v>134</v>
      </c>
      <c r="K229" s="8" t="s">
        <v>135</v>
      </c>
      <c r="L229" s="8" t="s">
        <v>134</v>
      </c>
      <c r="M229" s="8" t="s">
        <v>100</v>
      </c>
      <c r="N229" s="8" t="s">
        <v>101</v>
      </c>
      <c r="O229" s="8" t="s">
        <v>100</v>
      </c>
      <c r="P229" s="8" t="s">
        <v>32</v>
      </c>
      <c r="T229" s="8">
        <f>MATCH(D229,Allocation!A:A,0)</f>
        <v>50</v>
      </c>
    </row>
    <row r="230" spans="1:20" x14ac:dyDescent="0.35">
      <c r="A230" s="8" t="s">
        <v>175</v>
      </c>
      <c r="B230" s="8" t="s">
        <v>172</v>
      </c>
      <c r="C230" s="8" t="s">
        <v>9</v>
      </c>
      <c r="D230" s="8" t="s">
        <v>133</v>
      </c>
      <c r="E230" s="8">
        <v>-456.07</v>
      </c>
      <c r="F230" s="8" t="s">
        <v>169</v>
      </c>
      <c r="G230" s="8" t="s">
        <v>128</v>
      </c>
      <c r="H230" s="8" t="s">
        <v>127</v>
      </c>
      <c r="I230" s="8" t="s">
        <v>128</v>
      </c>
      <c r="J230" s="8" t="s">
        <v>134</v>
      </c>
      <c r="K230" s="8" t="s">
        <v>135</v>
      </c>
      <c r="L230" s="8" t="s">
        <v>134</v>
      </c>
      <c r="M230" s="8" t="s">
        <v>100</v>
      </c>
      <c r="N230" s="8" t="s">
        <v>101</v>
      </c>
      <c r="O230" s="8" t="s">
        <v>100</v>
      </c>
      <c r="P230" s="8" t="s">
        <v>32</v>
      </c>
      <c r="T230" s="8">
        <f>MATCH(D230,Allocation!A:A,0)</f>
        <v>50</v>
      </c>
    </row>
    <row r="231" spans="1:20" x14ac:dyDescent="0.35">
      <c r="A231" s="8" t="s">
        <v>175</v>
      </c>
      <c r="B231" s="8" t="s">
        <v>32</v>
      </c>
      <c r="C231" s="8" t="s">
        <v>8</v>
      </c>
      <c r="D231" s="8" t="s">
        <v>133</v>
      </c>
      <c r="E231" s="8">
        <v>456.07</v>
      </c>
      <c r="F231" s="8" t="s">
        <v>34</v>
      </c>
      <c r="G231" s="8" t="s">
        <v>128</v>
      </c>
      <c r="H231" s="8" t="s">
        <v>127</v>
      </c>
      <c r="I231" s="8" t="s">
        <v>128</v>
      </c>
      <c r="J231" s="8" t="s">
        <v>134</v>
      </c>
      <c r="K231" s="8" t="s">
        <v>135</v>
      </c>
      <c r="L231" s="8" t="s">
        <v>134</v>
      </c>
      <c r="M231" s="8" t="s">
        <v>100</v>
      </c>
      <c r="N231" s="8" t="s">
        <v>101</v>
      </c>
      <c r="O231" s="8" t="s">
        <v>100</v>
      </c>
      <c r="P231" s="8" t="s">
        <v>32</v>
      </c>
      <c r="T231" s="8">
        <f>MATCH(D231,Allocation!A:A,0)</f>
        <v>50</v>
      </c>
    </row>
    <row r="232" spans="1:20" x14ac:dyDescent="0.35">
      <c r="A232" s="8" t="s">
        <v>31</v>
      </c>
      <c r="B232" s="8" t="s">
        <v>32</v>
      </c>
      <c r="C232" s="8" t="s">
        <v>6</v>
      </c>
      <c r="D232" s="8" t="s">
        <v>136</v>
      </c>
      <c r="E232" s="8">
        <v>215.25</v>
      </c>
      <c r="F232" s="8" t="s">
        <v>34</v>
      </c>
      <c r="G232" s="8" t="s">
        <v>128</v>
      </c>
      <c r="H232" s="8" t="s">
        <v>127</v>
      </c>
      <c r="I232" s="8" t="s">
        <v>128</v>
      </c>
      <c r="J232" s="8" t="s">
        <v>137</v>
      </c>
      <c r="K232" s="8" t="s">
        <v>138</v>
      </c>
      <c r="L232" s="8" t="s">
        <v>137</v>
      </c>
      <c r="M232" s="8" t="s">
        <v>139</v>
      </c>
      <c r="N232" s="8" t="s">
        <v>140</v>
      </c>
      <c r="O232" s="8" t="s">
        <v>139</v>
      </c>
      <c r="P232" s="8" t="s">
        <v>32</v>
      </c>
      <c r="T232" s="8">
        <f>MATCH(D232,Allocation!A:A,0)</f>
        <v>22</v>
      </c>
    </row>
    <row r="233" spans="1:20" x14ac:dyDescent="0.35">
      <c r="A233" s="8" t="s">
        <v>31</v>
      </c>
      <c r="B233" s="8" t="s">
        <v>37</v>
      </c>
      <c r="C233" s="8" t="s">
        <v>6</v>
      </c>
      <c r="D233" s="8" t="s">
        <v>136</v>
      </c>
      <c r="E233" s="8">
        <v>0</v>
      </c>
      <c r="F233" s="8" t="s">
        <v>34</v>
      </c>
      <c r="G233" s="8" t="s">
        <v>128</v>
      </c>
      <c r="H233" s="8" t="s">
        <v>127</v>
      </c>
      <c r="I233" s="8" t="s">
        <v>128</v>
      </c>
      <c r="J233" s="8" t="s">
        <v>137</v>
      </c>
      <c r="K233" s="8" t="s">
        <v>138</v>
      </c>
      <c r="L233" s="8" t="s">
        <v>137</v>
      </c>
      <c r="M233" s="8" t="s">
        <v>139</v>
      </c>
      <c r="N233" s="8" t="s">
        <v>140</v>
      </c>
      <c r="O233" s="8" t="s">
        <v>139</v>
      </c>
      <c r="P233" s="8" t="s">
        <v>32</v>
      </c>
      <c r="T233" s="8">
        <f>MATCH(D233,Allocation!A:A,0)</f>
        <v>22</v>
      </c>
    </row>
    <row r="234" spans="1:20" x14ac:dyDescent="0.35">
      <c r="A234" s="8" t="s">
        <v>167</v>
      </c>
      <c r="B234" s="8" t="s">
        <v>170</v>
      </c>
      <c r="C234" s="8" t="s">
        <v>7</v>
      </c>
      <c r="D234" s="8" t="s">
        <v>136</v>
      </c>
      <c r="E234" s="8">
        <v>-72.680000000000007</v>
      </c>
      <c r="F234" s="8" t="s">
        <v>169</v>
      </c>
      <c r="G234" s="8" t="s">
        <v>128</v>
      </c>
      <c r="H234" s="8" t="s">
        <v>127</v>
      </c>
      <c r="I234" s="8" t="s">
        <v>128</v>
      </c>
      <c r="J234" s="8" t="s">
        <v>137</v>
      </c>
      <c r="K234" s="8" t="s">
        <v>138</v>
      </c>
      <c r="L234" s="8" t="s">
        <v>137</v>
      </c>
      <c r="M234" s="8" t="s">
        <v>139</v>
      </c>
      <c r="N234" s="8" t="s">
        <v>140</v>
      </c>
      <c r="O234" s="8" t="s">
        <v>139</v>
      </c>
      <c r="P234" s="8" t="s">
        <v>32</v>
      </c>
      <c r="T234" s="8">
        <f>MATCH(D234,Allocation!A:A,0)</f>
        <v>22</v>
      </c>
    </row>
    <row r="235" spans="1:20" x14ac:dyDescent="0.35">
      <c r="A235" s="8" t="s">
        <v>167</v>
      </c>
      <c r="B235" s="8" t="s">
        <v>32</v>
      </c>
      <c r="C235" s="8" t="s">
        <v>8</v>
      </c>
      <c r="D235" s="8" t="s">
        <v>136</v>
      </c>
      <c r="E235" s="8">
        <v>-603.97</v>
      </c>
      <c r="F235" s="8" t="s">
        <v>169</v>
      </c>
      <c r="G235" s="8" t="s">
        <v>128</v>
      </c>
      <c r="H235" s="8" t="s">
        <v>127</v>
      </c>
      <c r="I235" s="8" t="s">
        <v>128</v>
      </c>
      <c r="J235" s="8" t="s">
        <v>137</v>
      </c>
      <c r="K235" s="8" t="s">
        <v>138</v>
      </c>
      <c r="L235" s="8" t="s">
        <v>137</v>
      </c>
      <c r="M235" s="8" t="s">
        <v>139</v>
      </c>
      <c r="N235" s="8" t="s">
        <v>140</v>
      </c>
      <c r="O235" s="8" t="s">
        <v>139</v>
      </c>
      <c r="P235" s="8" t="s">
        <v>32</v>
      </c>
      <c r="T235" s="8">
        <f>MATCH(D235,Allocation!A:A,0)</f>
        <v>22</v>
      </c>
    </row>
    <row r="236" spans="1:20" x14ac:dyDescent="0.35">
      <c r="A236" s="8" t="s">
        <v>171</v>
      </c>
      <c r="B236" s="8" t="s">
        <v>172</v>
      </c>
      <c r="C236" s="8" t="s">
        <v>9</v>
      </c>
      <c r="D236" s="8" t="s">
        <v>136</v>
      </c>
      <c r="E236" s="8">
        <v>-1653.99</v>
      </c>
      <c r="F236" s="8" t="s">
        <v>169</v>
      </c>
      <c r="G236" s="8" t="s">
        <v>128</v>
      </c>
      <c r="H236" s="8" t="s">
        <v>127</v>
      </c>
      <c r="I236" s="8" t="s">
        <v>128</v>
      </c>
      <c r="J236" s="8" t="s">
        <v>137</v>
      </c>
      <c r="K236" s="8" t="s">
        <v>138</v>
      </c>
      <c r="L236" s="8" t="s">
        <v>137</v>
      </c>
      <c r="M236" s="8" t="s">
        <v>139</v>
      </c>
      <c r="N236" s="8" t="s">
        <v>140</v>
      </c>
      <c r="O236" s="8" t="s">
        <v>139</v>
      </c>
      <c r="P236" s="8" t="s">
        <v>32</v>
      </c>
      <c r="T236" s="8">
        <f>MATCH(D236,Allocation!A:A,0)</f>
        <v>22</v>
      </c>
    </row>
    <row r="237" spans="1:20" x14ac:dyDescent="0.35">
      <c r="A237" s="8" t="s">
        <v>173</v>
      </c>
      <c r="B237" s="8" t="s">
        <v>174</v>
      </c>
      <c r="C237" s="8" t="s">
        <v>10</v>
      </c>
      <c r="D237" s="8" t="s">
        <v>136</v>
      </c>
      <c r="E237" s="8">
        <v>2115.39</v>
      </c>
      <c r="F237" s="8" t="s">
        <v>34</v>
      </c>
      <c r="G237" s="8" t="s">
        <v>128</v>
      </c>
      <c r="H237" s="8" t="s">
        <v>127</v>
      </c>
      <c r="I237" s="8" t="s">
        <v>128</v>
      </c>
      <c r="J237" s="8" t="s">
        <v>137</v>
      </c>
      <c r="K237" s="8" t="s">
        <v>138</v>
      </c>
      <c r="L237" s="8" t="s">
        <v>137</v>
      </c>
      <c r="M237" s="8" t="s">
        <v>139</v>
      </c>
      <c r="N237" s="8" t="s">
        <v>140</v>
      </c>
      <c r="O237" s="8" t="s">
        <v>139</v>
      </c>
      <c r="P237" s="8" t="s">
        <v>32</v>
      </c>
      <c r="T237" s="8">
        <f>MATCH(D237,Allocation!A:A,0)</f>
        <v>22</v>
      </c>
    </row>
    <row r="238" spans="1:20" x14ac:dyDescent="0.35">
      <c r="A238" s="8" t="s">
        <v>175</v>
      </c>
      <c r="B238" s="8" t="s">
        <v>172</v>
      </c>
      <c r="C238" s="8" t="s">
        <v>9</v>
      </c>
      <c r="D238" s="8" t="s">
        <v>136</v>
      </c>
      <c r="E238" s="8">
        <v>-603.97</v>
      </c>
      <c r="F238" s="8" t="s">
        <v>169</v>
      </c>
      <c r="G238" s="8" t="s">
        <v>128</v>
      </c>
      <c r="H238" s="8" t="s">
        <v>127</v>
      </c>
      <c r="I238" s="8" t="s">
        <v>128</v>
      </c>
      <c r="J238" s="8" t="s">
        <v>137</v>
      </c>
      <c r="K238" s="8" t="s">
        <v>138</v>
      </c>
      <c r="L238" s="8" t="s">
        <v>137</v>
      </c>
      <c r="M238" s="8" t="s">
        <v>139</v>
      </c>
      <c r="N238" s="8" t="s">
        <v>140</v>
      </c>
      <c r="O238" s="8" t="s">
        <v>139</v>
      </c>
      <c r="P238" s="8" t="s">
        <v>32</v>
      </c>
      <c r="T238" s="8">
        <f>MATCH(D238,Allocation!A:A,0)</f>
        <v>22</v>
      </c>
    </row>
    <row r="239" spans="1:20" x14ac:dyDescent="0.35">
      <c r="A239" s="8" t="s">
        <v>175</v>
      </c>
      <c r="B239" s="8" t="s">
        <v>32</v>
      </c>
      <c r="C239" s="8" t="s">
        <v>8</v>
      </c>
      <c r="D239" s="8" t="s">
        <v>136</v>
      </c>
      <c r="E239" s="8">
        <v>603.97</v>
      </c>
      <c r="F239" s="8" t="s">
        <v>34</v>
      </c>
      <c r="G239" s="8" t="s">
        <v>128</v>
      </c>
      <c r="H239" s="8" t="s">
        <v>127</v>
      </c>
      <c r="I239" s="8" t="s">
        <v>128</v>
      </c>
      <c r="J239" s="8" t="s">
        <v>137</v>
      </c>
      <c r="K239" s="8" t="s">
        <v>138</v>
      </c>
      <c r="L239" s="8" t="s">
        <v>137</v>
      </c>
      <c r="M239" s="8" t="s">
        <v>139</v>
      </c>
      <c r="N239" s="8" t="s">
        <v>140</v>
      </c>
      <c r="O239" s="8" t="s">
        <v>139</v>
      </c>
      <c r="P239" s="8" t="s">
        <v>32</v>
      </c>
      <c r="T239" s="8">
        <f>MATCH(D239,Allocation!A:A,0)</f>
        <v>22</v>
      </c>
    </row>
    <row r="240" spans="1:20" x14ac:dyDescent="0.35">
      <c r="A240" s="8" t="s">
        <v>31</v>
      </c>
      <c r="B240" s="8" t="s">
        <v>32</v>
      </c>
      <c r="C240" s="8" t="s">
        <v>6</v>
      </c>
      <c r="D240" s="8" t="s">
        <v>141</v>
      </c>
      <c r="E240" s="8">
        <v>112.86</v>
      </c>
      <c r="F240" s="8" t="s">
        <v>34</v>
      </c>
      <c r="G240" s="8" t="s">
        <v>128</v>
      </c>
      <c r="H240" s="8" t="s">
        <v>127</v>
      </c>
      <c r="I240" s="8" t="s">
        <v>128</v>
      </c>
      <c r="J240" s="8" t="s">
        <v>142</v>
      </c>
      <c r="K240" s="8" t="s">
        <v>143</v>
      </c>
      <c r="L240" s="8" t="s">
        <v>142</v>
      </c>
      <c r="M240" s="8" t="s">
        <v>107</v>
      </c>
      <c r="N240" s="8" t="s">
        <v>108</v>
      </c>
      <c r="O240" s="8" t="s">
        <v>107</v>
      </c>
      <c r="P240" s="8" t="s">
        <v>32</v>
      </c>
      <c r="T240" s="8">
        <f>MATCH(D240,Allocation!A:A,0)</f>
        <v>28</v>
      </c>
    </row>
    <row r="241" spans="1:20" x14ac:dyDescent="0.35">
      <c r="A241" s="8" t="s">
        <v>31</v>
      </c>
      <c r="B241" s="8" t="s">
        <v>37</v>
      </c>
      <c r="C241" s="8" t="s">
        <v>6</v>
      </c>
      <c r="D241" s="8" t="s">
        <v>141</v>
      </c>
      <c r="E241" s="8">
        <v>0</v>
      </c>
      <c r="F241" s="8" t="s">
        <v>34</v>
      </c>
      <c r="G241" s="8" t="s">
        <v>128</v>
      </c>
      <c r="H241" s="8" t="s">
        <v>127</v>
      </c>
      <c r="I241" s="8" t="s">
        <v>128</v>
      </c>
      <c r="J241" s="8" t="s">
        <v>142</v>
      </c>
      <c r="K241" s="8" t="s">
        <v>143</v>
      </c>
      <c r="L241" s="8" t="s">
        <v>142</v>
      </c>
      <c r="M241" s="8" t="s">
        <v>107</v>
      </c>
      <c r="N241" s="8" t="s">
        <v>108</v>
      </c>
      <c r="O241" s="8" t="s">
        <v>107</v>
      </c>
      <c r="P241" s="8" t="s">
        <v>32</v>
      </c>
      <c r="T241" s="8">
        <f>MATCH(D241,Allocation!A:A,0)</f>
        <v>28</v>
      </c>
    </row>
    <row r="242" spans="1:20" x14ac:dyDescent="0.35">
      <c r="A242" s="8" t="s">
        <v>167</v>
      </c>
      <c r="B242" s="8" t="s">
        <v>32</v>
      </c>
      <c r="C242" s="8" t="s">
        <v>8</v>
      </c>
      <c r="D242" s="8" t="s">
        <v>141</v>
      </c>
      <c r="E242" s="8">
        <v>-230.95</v>
      </c>
      <c r="F242" s="8" t="s">
        <v>169</v>
      </c>
      <c r="G242" s="8" t="s">
        <v>128</v>
      </c>
      <c r="H242" s="8" t="s">
        <v>127</v>
      </c>
      <c r="I242" s="8" t="s">
        <v>128</v>
      </c>
      <c r="J242" s="8" t="s">
        <v>142</v>
      </c>
      <c r="K242" s="8" t="s">
        <v>143</v>
      </c>
      <c r="L242" s="8" t="s">
        <v>142</v>
      </c>
      <c r="M242" s="8" t="s">
        <v>107</v>
      </c>
      <c r="N242" s="8" t="s">
        <v>108</v>
      </c>
      <c r="O242" s="8" t="s">
        <v>107</v>
      </c>
      <c r="P242" s="8" t="s">
        <v>32</v>
      </c>
      <c r="T242" s="8">
        <f>MATCH(D242,Allocation!A:A,0)</f>
        <v>28</v>
      </c>
    </row>
    <row r="243" spans="1:20" x14ac:dyDescent="0.35">
      <c r="A243" s="8" t="s">
        <v>171</v>
      </c>
      <c r="B243" s="8" t="s">
        <v>172</v>
      </c>
      <c r="C243" s="8" t="s">
        <v>9</v>
      </c>
      <c r="D243" s="8" t="s">
        <v>141</v>
      </c>
      <c r="E243" s="8">
        <v>-961.91</v>
      </c>
      <c r="F243" s="8" t="s">
        <v>169</v>
      </c>
      <c r="G243" s="8" t="s">
        <v>128</v>
      </c>
      <c r="H243" s="8" t="s">
        <v>127</v>
      </c>
      <c r="I243" s="8" t="s">
        <v>128</v>
      </c>
      <c r="J243" s="8" t="s">
        <v>142</v>
      </c>
      <c r="K243" s="8" t="s">
        <v>143</v>
      </c>
      <c r="L243" s="8" t="s">
        <v>142</v>
      </c>
      <c r="M243" s="8" t="s">
        <v>107</v>
      </c>
      <c r="N243" s="8" t="s">
        <v>108</v>
      </c>
      <c r="O243" s="8" t="s">
        <v>107</v>
      </c>
      <c r="P243" s="8" t="s">
        <v>32</v>
      </c>
      <c r="T243" s="8">
        <f>MATCH(D243,Allocation!A:A,0)</f>
        <v>28</v>
      </c>
    </row>
    <row r="244" spans="1:20" x14ac:dyDescent="0.35">
      <c r="A244" s="8" t="s">
        <v>173</v>
      </c>
      <c r="B244" s="8" t="s">
        <v>174</v>
      </c>
      <c r="C244" s="8" t="s">
        <v>10</v>
      </c>
      <c r="D244" s="8" t="s">
        <v>141</v>
      </c>
      <c r="E244" s="8">
        <v>1080</v>
      </c>
      <c r="F244" s="8" t="s">
        <v>34</v>
      </c>
      <c r="G244" s="8" t="s">
        <v>128</v>
      </c>
      <c r="H244" s="8" t="s">
        <v>127</v>
      </c>
      <c r="I244" s="8" t="s">
        <v>128</v>
      </c>
      <c r="J244" s="8" t="s">
        <v>142</v>
      </c>
      <c r="K244" s="8" t="s">
        <v>143</v>
      </c>
      <c r="L244" s="8" t="s">
        <v>142</v>
      </c>
      <c r="M244" s="8" t="s">
        <v>107</v>
      </c>
      <c r="N244" s="8" t="s">
        <v>108</v>
      </c>
      <c r="O244" s="8" t="s">
        <v>107</v>
      </c>
      <c r="P244" s="8" t="s">
        <v>32</v>
      </c>
      <c r="T244" s="8">
        <f>MATCH(D244,Allocation!A:A,0)</f>
        <v>28</v>
      </c>
    </row>
    <row r="245" spans="1:20" x14ac:dyDescent="0.35">
      <c r="A245" s="8" t="s">
        <v>175</v>
      </c>
      <c r="B245" s="8" t="s">
        <v>172</v>
      </c>
      <c r="C245" s="8" t="s">
        <v>9</v>
      </c>
      <c r="D245" s="8" t="s">
        <v>141</v>
      </c>
      <c r="E245" s="8">
        <v>-230.95</v>
      </c>
      <c r="F245" s="8" t="s">
        <v>169</v>
      </c>
      <c r="G245" s="8" t="s">
        <v>128</v>
      </c>
      <c r="H245" s="8" t="s">
        <v>127</v>
      </c>
      <c r="I245" s="8" t="s">
        <v>128</v>
      </c>
      <c r="J245" s="8" t="s">
        <v>142</v>
      </c>
      <c r="K245" s="8" t="s">
        <v>143</v>
      </c>
      <c r="L245" s="8" t="s">
        <v>142</v>
      </c>
      <c r="M245" s="8" t="s">
        <v>107</v>
      </c>
      <c r="N245" s="8" t="s">
        <v>108</v>
      </c>
      <c r="O245" s="8" t="s">
        <v>107</v>
      </c>
      <c r="P245" s="8" t="s">
        <v>32</v>
      </c>
      <c r="T245" s="8">
        <f>MATCH(D245,Allocation!A:A,0)</f>
        <v>28</v>
      </c>
    </row>
    <row r="246" spans="1:20" x14ac:dyDescent="0.35">
      <c r="A246" s="8" t="s">
        <v>175</v>
      </c>
      <c r="B246" s="8" t="s">
        <v>32</v>
      </c>
      <c r="C246" s="8" t="s">
        <v>8</v>
      </c>
      <c r="D246" s="8" t="s">
        <v>141</v>
      </c>
      <c r="E246" s="8">
        <v>230.95</v>
      </c>
      <c r="F246" s="8" t="s">
        <v>34</v>
      </c>
      <c r="G246" s="8" t="s">
        <v>128</v>
      </c>
      <c r="H246" s="8" t="s">
        <v>127</v>
      </c>
      <c r="I246" s="8" t="s">
        <v>128</v>
      </c>
      <c r="J246" s="8" t="s">
        <v>142</v>
      </c>
      <c r="K246" s="8" t="s">
        <v>143</v>
      </c>
      <c r="L246" s="8" t="s">
        <v>142</v>
      </c>
      <c r="M246" s="8" t="s">
        <v>107</v>
      </c>
      <c r="N246" s="8" t="s">
        <v>108</v>
      </c>
      <c r="O246" s="8" t="s">
        <v>107</v>
      </c>
      <c r="P246" s="8" t="s">
        <v>32</v>
      </c>
      <c r="T246" s="8">
        <f>MATCH(D246,Allocation!A:A,0)</f>
        <v>28</v>
      </c>
    </row>
    <row r="247" spans="1:20" x14ac:dyDescent="0.35">
      <c r="A247" s="8" t="s">
        <v>31</v>
      </c>
      <c r="B247" s="8" t="s">
        <v>32</v>
      </c>
      <c r="C247" s="8" t="s">
        <v>6</v>
      </c>
      <c r="D247" s="8" t="s">
        <v>144</v>
      </c>
      <c r="E247" s="8">
        <v>253.45</v>
      </c>
      <c r="F247" s="8" t="s">
        <v>34</v>
      </c>
      <c r="G247" s="8" t="s">
        <v>145</v>
      </c>
      <c r="H247" s="8" t="s">
        <v>146</v>
      </c>
      <c r="I247" s="8" t="s">
        <v>147</v>
      </c>
      <c r="J247" s="8" t="s">
        <v>148</v>
      </c>
      <c r="K247" s="8" t="s">
        <v>149</v>
      </c>
      <c r="L247" s="8" t="s">
        <v>148</v>
      </c>
      <c r="M247" s="8" t="s">
        <v>61</v>
      </c>
      <c r="N247" s="8" t="s">
        <v>62</v>
      </c>
      <c r="O247" s="8" t="s">
        <v>61</v>
      </c>
      <c r="P247" s="8" t="s">
        <v>32</v>
      </c>
      <c r="T247" s="8">
        <f>MATCH(D247,Allocation!A:A,0)</f>
        <v>26</v>
      </c>
    </row>
    <row r="248" spans="1:20" x14ac:dyDescent="0.35">
      <c r="A248" s="8" t="s">
        <v>31</v>
      </c>
      <c r="B248" s="8" t="s">
        <v>37</v>
      </c>
      <c r="C248" s="8" t="s">
        <v>6</v>
      </c>
      <c r="D248" s="8" t="s">
        <v>144</v>
      </c>
      <c r="E248" s="8">
        <v>0</v>
      </c>
      <c r="F248" s="8" t="s">
        <v>34</v>
      </c>
      <c r="G248" s="8" t="s">
        <v>145</v>
      </c>
      <c r="H248" s="8" t="s">
        <v>146</v>
      </c>
      <c r="I248" s="8" t="s">
        <v>147</v>
      </c>
      <c r="J248" s="8" t="s">
        <v>148</v>
      </c>
      <c r="K248" s="8" t="s">
        <v>149</v>
      </c>
      <c r="L248" s="8" t="s">
        <v>148</v>
      </c>
      <c r="M248" s="8" t="s">
        <v>61</v>
      </c>
      <c r="N248" s="8" t="s">
        <v>62</v>
      </c>
      <c r="O248" s="8" t="s">
        <v>61</v>
      </c>
      <c r="P248" s="8" t="s">
        <v>32</v>
      </c>
      <c r="T248" s="8">
        <f>MATCH(D248,Allocation!A:A,0)</f>
        <v>26</v>
      </c>
    </row>
    <row r="249" spans="1:20" x14ac:dyDescent="0.35">
      <c r="A249" s="8" t="s">
        <v>167</v>
      </c>
      <c r="B249" s="8" t="s">
        <v>170</v>
      </c>
      <c r="C249" s="8" t="s">
        <v>7</v>
      </c>
      <c r="D249" s="8" t="s">
        <v>144</v>
      </c>
      <c r="E249" s="8">
        <v>-98.62</v>
      </c>
      <c r="F249" s="8" t="s">
        <v>169</v>
      </c>
      <c r="G249" s="8" t="s">
        <v>145</v>
      </c>
      <c r="H249" s="8" t="s">
        <v>146</v>
      </c>
      <c r="I249" s="8" t="s">
        <v>147</v>
      </c>
      <c r="J249" s="8" t="s">
        <v>148</v>
      </c>
      <c r="K249" s="8" t="s">
        <v>149</v>
      </c>
      <c r="L249" s="8" t="s">
        <v>148</v>
      </c>
      <c r="M249" s="8" t="s">
        <v>61</v>
      </c>
      <c r="N249" s="8" t="s">
        <v>62</v>
      </c>
      <c r="O249" s="8" t="s">
        <v>61</v>
      </c>
      <c r="P249" s="8" t="s">
        <v>32</v>
      </c>
      <c r="T249" s="8">
        <f>MATCH(D249,Allocation!A:A,0)</f>
        <v>26</v>
      </c>
    </row>
    <row r="250" spans="1:20" x14ac:dyDescent="0.35">
      <c r="A250" s="8" t="s">
        <v>167</v>
      </c>
      <c r="B250" s="8" t="s">
        <v>32</v>
      </c>
      <c r="C250" s="8" t="s">
        <v>8</v>
      </c>
      <c r="D250" s="8" t="s">
        <v>144</v>
      </c>
      <c r="E250" s="8">
        <v>-785.57</v>
      </c>
      <c r="F250" s="8" t="s">
        <v>169</v>
      </c>
      <c r="G250" s="8" t="s">
        <v>145</v>
      </c>
      <c r="H250" s="8" t="s">
        <v>146</v>
      </c>
      <c r="I250" s="8" t="s">
        <v>147</v>
      </c>
      <c r="J250" s="8" t="s">
        <v>148</v>
      </c>
      <c r="K250" s="8" t="s">
        <v>149</v>
      </c>
      <c r="L250" s="8" t="s">
        <v>148</v>
      </c>
      <c r="M250" s="8" t="s">
        <v>61</v>
      </c>
      <c r="N250" s="8" t="s">
        <v>62</v>
      </c>
      <c r="O250" s="8" t="s">
        <v>61</v>
      </c>
      <c r="P250" s="8" t="s">
        <v>32</v>
      </c>
      <c r="T250" s="8">
        <f>MATCH(D250,Allocation!A:A,0)</f>
        <v>26</v>
      </c>
    </row>
    <row r="251" spans="1:20" x14ac:dyDescent="0.35">
      <c r="A251" s="8" t="s">
        <v>171</v>
      </c>
      <c r="B251" s="8" t="s">
        <v>172</v>
      </c>
      <c r="C251" s="8" t="s">
        <v>9</v>
      </c>
      <c r="D251" s="8" t="s">
        <v>144</v>
      </c>
      <c r="E251" s="8">
        <v>-1869.26</v>
      </c>
      <c r="F251" s="8" t="s">
        <v>169</v>
      </c>
      <c r="G251" s="8" t="s">
        <v>145</v>
      </c>
      <c r="H251" s="8" t="s">
        <v>146</v>
      </c>
      <c r="I251" s="8" t="s">
        <v>147</v>
      </c>
      <c r="J251" s="8" t="s">
        <v>148</v>
      </c>
      <c r="K251" s="8" t="s">
        <v>149</v>
      </c>
      <c r="L251" s="8" t="s">
        <v>148</v>
      </c>
      <c r="M251" s="8" t="s">
        <v>61</v>
      </c>
      <c r="N251" s="8" t="s">
        <v>62</v>
      </c>
      <c r="O251" s="8" t="s">
        <v>61</v>
      </c>
      <c r="P251" s="8" t="s">
        <v>32</v>
      </c>
      <c r="T251" s="8">
        <f>MATCH(D251,Allocation!A:A,0)</f>
        <v>26</v>
      </c>
    </row>
    <row r="252" spans="1:20" x14ac:dyDescent="0.35">
      <c r="A252" s="8" t="s">
        <v>173</v>
      </c>
      <c r="B252" s="8" t="s">
        <v>174</v>
      </c>
      <c r="C252" s="8" t="s">
        <v>10</v>
      </c>
      <c r="D252" s="8" t="s">
        <v>144</v>
      </c>
      <c r="E252" s="8">
        <v>2500</v>
      </c>
      <c r="F252" s="8" t="s">
        <v>34</v>
      </c>
      <c r="G252" s="8" t="s">
        <v>145</v>
      </c>
      <c r="H252" s="8" t="s">
        <v>146</v>
      </c>
      <c r="I252" s="8" t="s">
        <v>147</v>
      </c>
      <c r="J252" s="8" t="s">
        <v>148</v>
      </c>
      <c r="K252" s="8" t="s">
        <v>149</v>
      </c>
      <c r="L252" s="8" t="s">
        <v>148</v>
      </c>
      <c r="M252" s="8" t="s">
        <v>61</v>
      </c>
      <c r="N252" s="8" t="s">
        <v>62</v>
      </c>
      <c r="O252" s="8" t="s">
        <v>61</v>
      </c>
      <c r="P252" s="8" t="s">
        <v>32</v>
      </c>
      <c r="T252" s="8">
        <f>MATCH(D252,Allocation!A:A,0)</f>
        <v>26</v>
      </c>
    </row>
    <row r="253" spans="1:20" x14ac:dyDescent="0.35">
      <c r="A253" s="8" t="s">
        <v>175</v>
      </c>
      <c r="B253" s="8" t="s">
        <v>172</v>
      </c>
      <c r="C253" s="8" t="s">
        <v>9</v>
      </c>
      <c r="D253" s="8" t="s">
        <v>144</v>
      </c>
      <c r="E253" s="8">
        <v>-785.57</v>
      </c>
      <c r="F253" s="8" t="s">
        <v>169</v>
      </c>
      <c r="G253" s="8" t="s">
        <v>145</v>
      </c>
      <c r="H253" s="8" t="s">
        <v>146</v>
      </c>
      <c r="I253" s="8" t="s">
        <v>147</v>
      </c>
      <c r="J253" s="8" t="s">
        <v>148</v>
      </c>
      <c r="K253" s="8" t="s">
        <v>149</v>
      </c>
      <c r="L253" s="8" t="s">
        <v>148</v>
      </c>
      <c r="M253" s="8" t="s">
        <v>61</v>
      </c>
      <c r="N253" s="8" t="s">
        <v>62</v>
      </c>
      <c r="O253" s="8" t="s">
        <v>61</v>
      </c>
      <c r="P253" s="8" t="s">
        <v>32</v>
      </c>
      <c r="T253" s="8">
        <f>MATCH(D253,Allocation!A:A,0)</f>
        <v>26</v>
      </c>
    </row>
    <row r="254" spans="1:20" x14ac:dyDescent="0.35">
      <c r="A254" s="8" t="s">
        <v>175</v>
      </c>
      <c r="B254" s="8" t="s">
        <v>32</v>
      </c>
      <c r="C254" s="8" t="s">
        <v>8</v>
      </c>
      <c r="D254" s="8" t="s">
        <v>144</v>
      </c>
      <c r="E254" s="8">
        <v>785.57</v>
      </c>
      <c r="F254" s="8" t="s">
        <v>34</v>
      </c>
      <c r="G254" s="8" t="s">
        <v>145</v>
      </c>
      <c r="H254" s="8" t="s">
        <v>146</v>
      </c>
      <c r="I254" s="8" t="s">
        <v>147</v>
      </c>
      <c r="J254" s="8" t="s">
        <v>148</v>
      </c>
      <c r="K254" s="8" t="s">
        <v>149</v>
      </c>
      <c r="L254" s="8" t="s">
        <v>148</v>
      </c>
      <c r="M254" s="8" t="s">
        <v>61</v>
      </c>
      <c r="N254" s="8" t="s">
        <v>62</v>
      </c>
      <c r="O254" s="8" t="s">
        <v>61</v>
      </c>
      <c r="P254" s="8" t="s">
        <v>32</v>
      </c>
      <c r="T254" s="8">
        <f>MATCH(D254,Allocation!A:A,0)</f>
        <v>26</v>
      </c>
    </row>
    <row r="255" spans="1:20" x14ac:dyDescent="0.35">
      <c r="A255" s="8" t="s">
        <v>31</v>
      </c>
      <c r="B255" s="8" t="s">
        <v>32</v>
      </c>
      <c r="C255" s="8" t="s">
        <v>6</v>
      </c>
      <c r="D255" s="8" t="s">
        <v>264</v>
      </c>
      <c r="E255" s="8">
        <v>186.89</v>
      </c>
      <c r="F255" s="8" t="s">
        <v>34</v>
      </c>
      <c r="G255" s="8" t="s">
        <v>145</v>
      </c>
      <c r="H255" s="8" t="s">
        <v>146</v>
      </c>
      <c r="I255" s="8" t="s">
        <v>147</v>
      </c>
      <c r="J255" s="8" t="s">
        <v>322</v>
      </c>
      <c r="K255" s="8" t="s">
        <v>323</v>
      </c>
      <c r="L255" s="8" t="s">
        <v>322</v>
      </c>
      <c r="M255" s="8" t="s">
        <v>324</v>
      </c>
      <c r="N255" s="8" t="s">
        <v>325</v>
      </c>
      <c r="O255" s="8" t="s">
        <v>324</v>
      </c>
      <c r="P255" s="8" t="s">
        <v>32</v>
      </c>
      <c r="T255" s="8">
        <f>MATCH(D255,Allocation!A:A,0)</f>
        <v>19</v>
      </c>
    </row>
    <row r="256" spans="1:20" x14ac:dyDescent="0.35">
      <c r="A256" s="8" t="s">
        <v>31</v>
      </c>
      <c r="B256" s="8" t="s">
        <v>37</v>
      </c>
      <c r="C256" s="8" t="s">
        <v>6</v>
      </c>
      <c r="D256" s="8" t="s">
        <v>264</v>
      </c>
      <c r="E256" s="8">
        <v>0</v>
      </c>
      <c r="F256" s="8" t="s">
        <v>34</v>
      </c>
      <c r="G256" s="8" t="s">
        <v>145</v>
      </c>
      <c r="H256" s="8" t="s">
        <v>146</v>
      </c>
      <c r="I256" s="8" t="s">
        <v>147</v>
      </c>
      <c r="J256" s="8" t="s">
        <v>322</v>
      </c>
      <c r="K256" s="8" t="s">
        <v>323</v>
      </c>
      <c r="L256" s="8" t="s">
        <v>322</v>
      </c>
      <c r="M256" s="8" t="s">
        <v>324</v>
      </c>
      <c r="N256" s="8" t="s">
        <v>325</v>
      </c>
      <c r="O256" s="8" t="s">
        <v>324</v>
      </c>
      <c r="P256" s="8" t="s">
        <v>32</v>
      </c>
      <c r="T256" s="8">
        <f>MATCH(D256,Allocation!A:A,0)</f>
        <v>19</v>
      </c>
    </row>
    <row r="257" spans="1:20" x14ac:dyDescent="0.35">
      <c r="A257" s="8" t="s">
        <v>167</v>
      </c>
      <c r="B257" s="8" t="s">
        <v>32</v>
      </c>
      <c r="C257" s="8" t="s">
        <v>8</v>
      </c>
      <c r="D257" s="8" t="s">
        <v>264</v>
      </c>
      <c r="E257" s="8">
        <v>-463.54</v>
      </c>
      <c r="F257" s="8" t="s">
        <v>169</v>
      </c>
      <c r="G257" s="8" t="s">
        <v>145</v>
      </c>
      <c r="H257" s="8" t="s">
        <v>146</v>
      </c>
      <c r="I257" s="8" t="s">
        <v>147</v>
      </c>
      <c r="J257" s="8" t="s">
        <v>322</v>
      </c>
      <c r="K257" s="8" t="s">
        <v>323</v>
      </c>
      <c r="L257" s="8" t="s">
        <v>322</v>
      </c>
      <c r="M257" s="8" t="s">
        <v>324</v>
      </c>
      <c r="N257" s="8" t="s">
        <v>325</v>
      </c>
      <c r="O257" s="8" t="s">
        <v>324</v>
      </c>
      <c r="P257" s="8" t="s">
        <v>32</v>
      </c>
      <c r="T257" s="8">
        <f>MATCH(D257,Allocation!A:A,0)</f>
        <v>19</v>
      </c>
    </row>
    <row r="258" spans="1:20" x14ac:dyDescent="0.35">
      <c r="A258" s="8" t="s">
        <v>171</v>
      </c>
      <c r="B258" s="8" t="s">
        <v>172</v>
      </c>
      <c r="C258" s="8" t="s">
        <v>9</v>
      </c>
      <c r="D258" s="8" t="s">
        <v>264</v>
      </c>
      <c r="E258" s="8">
        <v>-1511.81</v>
      </c>
      <c r="F258" s="8" t="s">
        <v>169</v>
      </c>
      <c r="G258" s="8" t="s">
        <v>145</v>
      </c>
      <c r="H258" s="8" t="s">
        <v>146</v>
      </c>
      <c r="I258" s="8" t="s">
        <v>147</v>
      </c>
      <c r="J258" s="8" t="s">
        <v>322</v>
      </c>
      <c r="K258" s="8" t="s">
        <v>323</v>
      </c>
      <c r="L258" s="8" t="s">
        <v>322</v>
      </c>
      <c r="M258" s="8" t="s">
        <v>324</v>
      </c>
      <c r="N258" s="8" t="s">
        <v>325</v>
      </c>
      <c r="O258" s="8" t="s">
        <v>324</v>
      </c>
      <c r="P258" s="8" t="s">
        <v>32</v>
      </c>
      <c r="T258" s="8">
        <f>MATCH(D258,Allocation!A:A,0)</f>
        <v>19</v>
      </c>
    </row>
    <row r="259" spans="1:20" x14ac:dyDescent="0.35">
      <c r="A259" s="8" t="s">
        <v>173</v>
      </c>
      <c r="B259" s="8" t="s">
        <v>174</v>
      </c>
      <c r="C259" s="8" t="s">
        <v>10</v>
      </c>
      <c r="D259" s="8" t="s">
        <v>264</v>
      </c>
      <c r="E259" s="8">
        <v>1788.46</v>
      </c>
      <c r="F259" s="8" t="s">
        <v>34</v>
      </c>
      <c r="G259" s="8" t="s">
        <v>145</v>
      </c>
      <c r="H259" s="8" t="s">
        <v>146</v>
      </c>
      <c r="I259" s="8" t="s">
        <v>147</v>
      </c>
      <c r="J259" s="8" t="s">
        <v>322</v>
      </c>
      <c r="K259" s="8" t="s">
        <v>323</v>
      </c>
      <c r="L259" s="8" t="s">
        <v>322</v>
      </c>
      <c r="M259" s="8" t="s">
        <v>324</v>
      </c>
      <c r="N259" s="8" t="s">
        <v>325</v>
      </c>
      <c r="O259" s="8" t="s">
        <v>324</v>
      </c>
      <c r="P259" s="8" t="s">
        <v>32</v>
      </c>
      <c r="T259" s="8">
        <f>MATCH(D259,Allocation!A:A,0)</f>
        <v>19</v>
      </c>
    </row>
    <row r="260" spans="1:20" x14ac:dyDescent="0.35">
      <c r="A260" s="8" t="s">
        <v>175</v>
      </c>
      <c r="B260" s="8" t="s">
        <v>172</v>
      </c>
      <c r="C260" s="8" t="s">
        <v>9</v>
      </c>
      <c r="D260" s="8" t="s">
        <v>264</v>
      </c>
      <c r="E260" s="8">
        <v>-463.54</v>
      </c>
      <c r="F260" s="8" t="s">
        <v>169</v>
      </c>
      <c r="G260" s="8" t="s">
        <v>145</v>
      </c>
      <c r="H260" s="8" t="s">
        <v>146</v>
      </c>
      <c r="I260" s="8" t="s">
        <v>147</v>
      </c>
      <c r="J260" s="8" t="s">
        <v>322</v>
      </c>
      <c r="K260" s="8" t="s">
        <v>323</v>
      </c>
      <c r="L260" s="8" t="s">
        <v>322</v>
      </c>
      <c r="M260" s="8" t="s">
        <v>324</v>
      </c>
      <c r="N260" s="8" t="s">
        <v>325</v>
      </c>
      <c r="O260" s="8" t="s">
        <v>324</v>
      </c>
      <c r="P260" s="8" t="s">
        <v>32</v>
      </c>
      <c r="T260" s="8">
        <f>MATCH(D260,Allocation!A:A,0)</f>
        <v>19</v>
      </c>
    </row>
    <row r="261" spans="1:20" x14ac:dyDescent="0.35">
      <c r="A261" s="8" t="s">
        <v>175</v>
      </c>
      <c r="B261" s="8" t="s">
        <v>32</v>
      </c>
      <c r="C261" s="8" t="s">
        <v>8</v>
      </c>
      <c r="D261" s="8" t="s">
        <v>264</v>
      </c>
      <c r="E261" s="8">
        <v>463.54</v>
      </c>
      <c r="F261" s="8" t="s">
        <v>34</v>
      </c>
      <c r="G261" s="8" t="s">
        <v>145</v>
      </c>
      <c r="H261" s="8" t="s">
        <v>146</v>
      </c>
      <c r="I261" s="8" t="s">
        <v>147</v>
      </c>
      <c r="J261" s="8" t="s">
        <v>322</v>
      </c>
      <c r="K261" s="8" t="s">
        <v>323</v>
      </c>
      <c r="L261" s="8" t="s">
        <v>322</v>
      </c>
      <c r="M261" s="8" t="s">
        <v>324</v>
      </c>
      <c r="N261" s="8" t="s">
        <v>325</v>
      </c>
      <c r="O261" s="8" t="s">
        <v>324</v>
      </c>
      <c r="P261" s="8" t="s">
        <v>32</v>
      </c>
      <c r="T261" s="8">
        <f>MATCH(D261,Allocation!A:A,0)</f>
        <v>19</v>
      </c>
    </row>
    <row r="262" spans="1:20" x14ac:dyDescent="0.35">
      <c r="A262" s="9" t="s">
        <v>31</v>
      </c>
      <c r="B262" s="9" t="s">
        <v>32</v>
      </c>
      <c r="C262" s="9" t="s">
        <v>6</v>
      </c>
      <c r="D262" s="9" t="s">
        <v>151</v>
      </c>
      <c r="E262" s="9">
        <v>616.84</v>
      </c>
      <c r="F262" s="9" t="s">
        <v>34</v>
      </c>
      <c r="G262" s="9" t="s">
        <v>152</v>
      </c>
      <c r="H262" s="9" t="s">
        <v>153</v>
      </c>
      <c r="I262" s="9" t="s">
        <v>152</v>
      </c>
      <c r="J262" s="9" t="s">
        <v>154</v>
      </c>
      <c r="K262" s="9" t="s">
        <v>155</v>
      </c>
      <c r="L262" s="9" t="s">
        <v>154</v>
      </c>
      <c r="M262" s="9" t="s">
        <v>156</v>
      </c>
      <c r="N262" s="9" t="s">
        <v>157</v>
      </c>
      <c r="O262" s="9" t="s">
        <v>156</v>
      </c>
      <c r="P262" s="9" t="s">
        <v>32</v>
      </c>
      <c r="Q262" s="9"/>
      <c r="R262" s="9"/>
      <c r="S262" s="9"/>
      <c r="T262" s="8">
        <f>MATCH(D262,Allocation!A:A,0)</f>
        <v>16</v>
      </c>
    </row>
    <row r="263" spans="1:20" x14ac:dyDescent="0.35">
      <c r="A263" s="9" t="s">
        <v>31</v>
      </c>
      <c r="B263" s="9" t="s">
        <v>37</v>
      </c>
      <c r="C263" s="9" t="s">
        <v>6</v>
      </c>
      <c r="D263" s="9" t="s">
        <v>151</v>
      </c>
      <c r="E263" s="9">
        <v>0</v>
      </c>
      <c r="F263" s="9" t="s">
        <v>34</v>
      </c>
      <c r="G263" s="9" t="s">
        <v>152</v>
      </c>
      <c r="H263" s="9" t="s">
        <v>153</v>
      </c>
      <c r="I263" s="9" t="s">
        <v>152</v>
      </c>
      <c r="J263" s="9" t="s">
        <v>154</v>
      </c>
      <c r="K263" s="9" t="s">
        <v>155</v>
      </c>
      <c r="L263" s="9" t="s">
        <v>154</v>
      </c>
      <c r="M263" s="9" t="s">
        <v>156</v>
      </c>
      <c r="N263" s="9" t="s">
        <v>157</v>
      </c>
      <c r="O263" s="9" t="s">
        <v>156</v>
      </c>
      <c r="P263" s="9" t="s">
        <v>32</v>
      </c>
      <c r="Q263" s="9"/>
      <c r="R263" s="9"/>
      <c r="S263" s="9"/>
      <c r="T263" s="8">
        <f>MATCH(D263,Allocation!A:A,0)</f>
        <v>16</v>
      </c>
    </row>
    <row r="264" spans="1:20" x14ac:dyDescent="0.35">
      <c r="A264" s="9" t="s">
        <v>167</v>
      </c>
      <c r="B264" s="9" t="s">
        <v>168</v>
      </c>
      <c r="C264" s="9" t="s">
        <v>7</v>
      </c>
      <c r="D264" s="9" t="s">
        <v>151</v>
      </c>
      <c r="E264" s="9">
        <v>-423.08</v>
      </c>
      <c r="F264" s="9" t="s">
        <v>169</v>
      </c>
      <c r="G264" s="9" t="s">
        <v>152</v>
      </c>
      <c r="H264" s="9" t="s">
        <v>153</v>
      </c>
      <c r="I264" s="9" t="s">
        <v>152</v>
      </c>
      <c r="J264" s="9" t="s">
        <v>154</v>
      </c>
      <c r="K264" s="9" t="s">
        <v>155</v>
      </c>
      <c r="L264" s="9" t="s">
        <v>154</v>
      </c>
      <c r="M264" s="9" t="s">
        <v>156</v>
      </c>
      <c r="N264" s="9" t="s">
        <v>157</v>
      </c>
      <c r="O264" s="9" t="s">
        <v>156</v>
      </c>
      <c r="P264" s="9" t="s">
        <v>32</v>
      </c>
      <c r="Q264" s="9"/>
      <c r="R264" s="9"/>
      <c r="S264" s="9"/>
      <c r="T264" s="8">
        <f>MATCH(D264,Allocation!A:A,0)</f>
        <v>16</v>
      </c>
    </row>
    <row r="265" spans="1:20" x14ac:dyDescent="0.35">
      <c r="A265" s="9" t="s">
        <v>167</v>
      </c>
      <c r="B265" s="9" t="s">
        <v>32</v>
      </c>
      <c r="C265" s="9" t="s">
        <v>8</v>
      </c>
      <c r="D265" s="9" t="s">
        <v>151</v>
      </c>
      <c r="E265" s="9">
        <v>-2131.94</v>
      </c>
      <c r="F265" s="9" t="s">
        <v>169</v>
      </c>
      <c r="G265" s="9" t="s">
        <v>152</v>
      </c>
      <c r="H265" s="9" t="s">
        <v>153</v>
      </c>
      <c r="I265" s="9" t="s">
        <v>152</v>
      </c>
      <c r="J265" s="9" t="s">
        <v>154</v>
      </c>
      <c r="K265" s="9" t="s">
        <v>155</v>
      </c>
      <c r="L265" s="9" t="s">
        <v>154</v>
      </c>
      <c r="M265" s="9" t="s">
        <v>156</v>
      </c>
      <c r="N265" s="9" t="s">
        <v>157</v>
      </c>
      <c r="O265" s="9" t="s">
        <v>156</v>
      </c>
      <c r="P265" s="9" t="s">
        <v>32</v>
      </c>
      <c r="Q265" s="9"/>
      <c r="R265" s="9"/>
      <c r="S265" s="9"/>
      <c r="T265" s="8">
        <f>MATCH(D265,Allocation!A:A,0)</f>
        <v>16</v>
      </c>
    </row>
    <row r="266" spans="1:20" x14ac:dyDescent="0.35">
      <c r="A266" s="9" t="s">
        <v>171</v>
      </c>
      <c r="B266" s="9" t="s">
        <v>172</v>
      </c>
      <c r="C266" s="9" t="s">
        <v>9</v>
      </c>
      <c r="D266" s="9" t="s">
        <v>151</v>
      </c>
      <c r="E266" s="9">
        <v>-4023.36</v>
      </c>
      <c r="F266" s="9" t="s">
        <v>169</v>
      </c>
      <c r="G266" s="9" t="s">
        <v>152</v>
      </c>
      <c r="H266" s="9" t="s">
        <v>153</v>
      </c>
      <c r="I266" s="9" t="s">
        <v>152</v>
      </c>
      <c r="J266" s="9" t="s">
        <v>154</v>
      </c>
      <c r="K266" s="9" t="s">
        <v>155</v>
      </c>
      <c r="L266" s="9" t="s">
        <v>154</v>
      </c>
      <c r="M266" s="9" t="s">
        <v>156</v>
      </c>
      <c r="N266" s="9" t="s">
        <v>157</v>
      </c>
      <c r="O266" s="9" t="s">
        <v>156</v>
      </c>
      <c r="P266" s="9" t="s">
        <v>32</v>
      </c>
      <c r="Q266" s="9"/>
      <c r="R266" s="9"/>
      <c r="S266" s="9"/>
      <c r="T266" s="8">
        <f>MATCH(D266,Allocation!A:A,0)</f>
        <v>16</v>
      </c>
    </row>
    <row r="267" spans="1:20" x14ac:dyDescent="0.35">
      <c r="A267" s="9" t="s">
        <v>173</v>
      </c>
      <c r="B267" s="9" t="s">
        <v>174</v>
      </c>
      <c r="C267" s="9" t="s">
        <v>10</v>
      </c>
      <c r="D267" s="9" t="s">
        <v>151</v>
      </c>
      <c r="E267" s="9">
        <v>5961.54</v>
      </c>
      <c r="F267" s="9" t="s">
        <v>34</v>
      </c>
      <c r="G267" s="9" t="s">
        <v>152</v>
      </c>
      <c r="H267" s="9" t="s">
        <v>153</v>
      </c>
      <c r="I267" s="9" t="s">
        <v>152</v>
      </c>
      <c r="J267" s="9" t="s">
        <v>154</v>
      </c>
      <c r="K267" s="9" t="s">
        <v>155</v>
      </c>
      <c r="L267" s="9" t="s">
        <v>154</v>
      </c>
      <c r="M267" s="9" t="s">
        <v>156</v>
      </c>
      <c r="N267" s="9" t="s">
        <v>157</v>
      </c>
      <c r="O267" s="9" t="s">
        <v>156</v>
      </c>
      <c r="P267" s="9" t="s">
        <v>32</v>
      </c>
      <c r="Q267" s="9"/>
      <c r="R267" s="9"/>
      <c r="S267" s="9"/>
      <c r="T267" s="8">
        <f>MATCH(D267,Allocation!A:A,0)</f>
        <v>16</v>
      </c>
    </row>
    <row r="268" spans="1:20" x14ac:dyDescent="0.35">
      <c r="A268" s="9" t="s">
        <v>175</v>
      </c>
      <c r="B268" s="9" t="s">
        <v>172</v>
      </c>
      <c r="C268" s="9" t="s">
        <v>9</v>
      </c>
      <c r="D268" s="9" t="s">
        <v>151</v>
      </c>
      <c r="E268" s="9">
        <v>-2131.94</v>
      </c>
      <c r="F268" s="9" t="s">
        <v>169</v>
      </c>
      <c r="G268" s="9" t="s">
        <v>152</v>
      </c>
      <c r="H268" s="9" t="s">
        <v>153</v>
      </c>
      <c r="I268" s="9" t="s">
        <v>152</v>
      </c>
      <c r="J268" s="9" t="s">
        <v>154</v>
      </c>
      <c r="K268" s="9" t="s">
        <v>155</v>
      </c>
      <c r="L268" s="9" t="s">
        <v>154</v>
      </c>
      <c r="M268" s="9" t="s">
        <v>156</v>
      </c>
      <c r="N268" s="9" t="s">
        <v>157</v>
      </c>
      <c r="O268" s="9" t="s">
        <v>156</v>
      </c>
      <c r="P268" s="9" t="s">
        <v>32</v>
      </c>
      <c r="Q268" s="9"/>
      <c r="R268" s="9"/>
      <c r="S268" s="9"/>
      <c r="T268" s="8">
        <f>MATCH(D268,Allocation!A:A,0)</f>
        <v>16</v>
      </c>
    </row>
    <row r="269" spans="1:20" x14ac:dyDescent="0.35">
      <c r="A269" s="9" t="s">
        <v>175</v>
      </c>
      <c r="B269" s="9" t="s">
        <v>32</v>
      </c>
      <c r="C269" s="9" t="s">
        <v>8</v>
      </c>
      <c r="D269" s="9" t="s">
        <v>151</v>
      </c>
      <c r="E269" s="9">
        <v>2131.94</v>
      </c>
      <c r="F269" s="9" t="s">
        <v>34</v>
      </c>
      <c r="G269" s="9" t="s">
        <v>152</v>
      </c>
      <c r="H269" s="9" t="s">
        <v>153</v>
      </c>
      <c r="I269" s="9" t="s">
        <v>152</v>
      </c>
      <c r="J269" s="9" t="s">
        <v>154</v>
      </c>
      <c r="K269" s="9" t="s">
        <v>155</v>
      </c>
      <c r="L269" s="9" t="s">
        <v>154</v>
      </c>
      <c r="M269" s="9" t="s">
        <v>156</v>
      </c>
      <c r="N269" s="9" t="s">
        <v>157</v>
      </c>
      <c r="O269" s="9" t="s">
        <v>156</v>
      </c>
      <c r="P269" s="9" t="s">
        <v>32</v>
      </c>
      <c r="Q269" s="9"/>
      <c r="R269" s="9"/>
      <c r="S269" s="9"/>
      <c r="T269" s="8">
        <f>MATCH(D269,Allocation!A:A,0)</f>
        <v>16</v>
      </c>
    </row>
    <row r="270" spans="1:20" x14ac:dyDescent="0.35">
      <c r="A270" s="8" t="s">
        <v>31</v>
      </c>
      <c r="B270" s="8" t="s">
        <v>32</v>
      </c>
      <c r="C270" s="8" t="s">
        <v>6</v>
      </c>
      <c r="D270" s="8" t="s">
        <v>265</v>
      </c>
      <c r="E270" s="8">
        <v>7.51</v>
      </c>
      <c r="F270" s="8" t="s">
        <v>34</v>
      </c>
      <c r="G270" s="8" t="s">
        <v>159</v>
      </c>
      <c r="H270" s="8" t="s">
        <v>160</v>
      </c>
      <c r="I270" s="8" t="s">
        <v>159</v>
      </c>
      <c r="J270" s="8" t="s">
        <v>318</v>
      </c>
      <c r="K270" s="8" t="s">
        <v>319</v>
      </c>
      <c r="L270" s="8" t="s">
        <v>318</v>
      </c>
      <c r="M270" s="8" t="s">
        <v>115</v>
      </c>
      <c r="N270" s="8" t="s">
        <v>116</v>
      </c>
      <c r="O270" s="8" t="s">
        <v>115</v>
      </c>
      <c r="P270" s="8" t="s">
        <v>32</v>
      </c>
      <c r="T270" s="8">
        <f>MATCH(D270,Allocation!A:A,0)</f>
        <v>30</v>
      </c>
    </row>
    <row r="271" spans="1:20" x14ac:dyDescent="0.35">
      <c r="A271" s="8" t="s">
        <v>31</v>
      </c>
      <c r="B271" s="8" t="s">
        <v>37</v>
      </c>
      <c r="C271" s="8" t="s">
        <v>6</v>
      </c>
      <c r="D271" s="8" t="s">
        <v>265</v>
      </c>
      <c r="E271" s="8">
        <v>0</v>
      </c>
      <c r="F271" s="8" t="s">
        <v>34</v>
      </c>
      <c r="G271" s="8" t="s">
        <v>159</v>
      </c>
      <c r="H271" s="8" t="s">
        <v>160</v>
      </c>
      <c r="I271" s="8" t="s">
        <v>159</v>
      </c>
      <c r="J271" s="8" t="s">
        <v>318</v>
      </c>
      <c r="K271" s="8" t="s">
        <v>319</v>
      </c>
      <c r="L271" s="8" t="s">
        <v>318</v>
      </c>
      <c r="M271" s="8" t="s">
        <v>115</v>
      </c>
      <c r="N271" s="8" t="s">
        <v>116</v>
      </c>
      <c r="O271" s="8" t="s">
        <v>115</v>
      </c>
      <c r="P271" s="8" t="s">
        <v>32</v>
      </c>
      <c r="T271" s="8">
        <f>MATCH(D271,Allocation!A:A,0)</f>
        <v>30</v>
      </c>
    </row>
    <row r="272" spans="1:20" x14ac:dyDescent="0.35">
      <c r="A272" s="8" t="s">
        <v>167</v>
      </c>
      <c r="B272" s="8" t="s">
        <v>170</v>
      </c>
      <c r="C272" s="8" t="s">
        <v>7</v>
      </c>
      <c r="D272" s="8" t="s">
        <v>265</v>
      </c>
      <c r="E272" s="8">
        <v>-6.14</v>
      </c>
      <c r="F272" s="8" t="s">
        <v>169</v>
      </c>
      <c r="G272" s="8" t="s">
        <v>159</v>
      </c>
      <c r="H272" s="8" t="s">
        <v>160</v>
      </c>
      <c r="I272" s="8" t="s">
        <v>159</v>
      </c>
      <c r="J272" s="8" t="s">
        <v>318</v>
      </c>
      <c r="K272" s="8" t="s">
        <v>319</v>
      </c>
      <c r="L272" s="8" t="s">
        <v>318</v>
      </c>
      <c r="M272" s="8" t="s">
        <v>115</v>
      </c>
      <c r="N272" s="8" t="s">
        <v>116</v>
      </c>
      <c r="O272" s="8" t="s">
        <v>115</v>
      </c>
      <c r="P272" s="8" t="s">
        <v>32</v>
      </c>
      <c r="T272" s="8">
        <f>MATCH(D272,Allocation!A:A,0)</f>
        <v>30</v>
      </c>
    </row>
    <row r="273" spans="1:20" x14ac:dyDescent="0.35">
      <c r="A273" s="8" t="s">
        <v>167</v>
      </c>
      <c r="B273" s="8" t="s">
        <v>32</v>
      </c>
      <c r="C273" s="8" t="s">
        <v>8</v>
      </c>
      <c r="D273" s="8" t="s">
        <v>265</v>
      </c>
      <c r="E273" s="8">
        <v>-20.079999999999998</v>
      </c>
      <c r="F273" s="8" t="s">
        <v>169</v>
      </c>
      <c r="G273" s="8" t="s">
        <v>159</v>
      </c>
      <c r="H273" s="8" t="s">
        <v>160</v>
      </c>
      <c r="I273" s="8" t="s">
        <v>159</v>
      </c>
      <c r="J273" s="8" t="s">
        <v>318</v>
      </c>
      <c r="K273" s="8" t="s">
        <v>319</v>
      </c>
      <c r="L273" s="8" t="s">
        <v>318</v>
      </c>
      <c r="M273" s="8" t="s">
        <v>115</v>
      </c>
      <c r="N273" s="8" t="s">
        <v>116</v>
      </c>
      <c r="O273" s="8" t="s">
        <v>115</v>
      </c>
      <c r="P273" s="8" t="s">
        <v>32</v>
      </c>
      <c r="T273" s="8">
        <f>MATCH(D273,Allocation!A:A,0)</f>
        <v>30</v>
      </c>
    </row>
    <row r="274" spans="1:20" x14ac:dyDescent="0.35">
      <c r="A274" s="8" t="s">
        <v>171</v>
      </c>
      <c r="B274" s="8" t="s">
        <v>172</v>
      </c>
      <c r="C274" s="8" t="s">
        <v>9</v>
      </c>
      <c r="D274" s="8" t="s">
        <v>265</v>
      </c>
      <c r="E274" s="8">
        <v>-58.21</v>
      </c>
      <c r="F274" s="8" t="s">
        <v>169</v>
      </c>
      <c r="G274" s="8" t="s">
        <v>159</v>
      </c>
      <c r="H274" s="8" t="s">
        <v>160</v>
      </c>
      <c r="I274" s="8" t="s">
        <v>159</v>
      </c>
      <c r="J274" s="8" t="s">
        <v>318</v>
      </c>
      <c r="K274" s="8" t="s">
        <v>319</v>
      </c>
      <c r="L274" s="8" t="s">
        <v>318</v>
      </c>
      <c r="M274" s="8" t="s">
        <v>115</v>
      </c>
      <c r="N274" s="8" t="s">
        <v>116</v>
      </c>
      <c r="O274" s="8" t="s">
        <v>115</v>
      </c>
      <c r="P274" s="8" t="s">
        <v>32</v>
      </c>
      <c r="T274" s="8">
        <f>MATCH(D274,Allocation!A:A,0)</f>
        <v>30</v>
      </c>
    </row>
    <row r="275" spans="1:20" x14ac:dyDescent="0.35">
      <c r="A275" s="8" t="s">
        <v>173</v>
      </c>
      <c r="B275" s="8" t="s">
        <v>174</v>
      </c>
      <c r="C275" s="8" t="s">
        <v>10</v>
      </c>
      <c r="D275" s="8" t="s">
        <v>265</v>
      </c>
      <c r="E275" s="8">
        <v>76.92</v>
      </c>
      <c r="F275" s="8" t="s">
        <v>34</v>
      </c>
      <c r="G275" s="8" t="s">
        <v>159</v>
      </c>
      <c r="H275" s="8" t="s">
        <v>160</v>
      </c>
      <c r="I275" s="8" t="s">
        <v>159</v>
      </c>
      <c r="J275" s="8" t="s">
        <v>318</v>
      </c>
      <c r="K275" s="8" t="s">
        <v>319</v>
      </c>
      <c r="L275" s="8" t="s">
        <v>318</v>
      </c>
      <c r="M275" s="8" t="s">
        <v>115</v>
      </c>
      <c r="N275" s="8" t="s">
        <v>116</v>
      </c>
      <c r="O275" s="8" t="s">
        <v>115</v>
      </c>
      <c r="P275" s="8" t="s">
        <v>32</v>
      </c>
      <c r="T275" s="8">
        <f>MATCH(D275,Allocation!A:A,0)</f>
        <v>30</v>
      </c>
    </row>
    <row r="276" spans="1:20" x14ac:dyDescent="0.35">
      <c r="A276" s="8" t="s">
        <v>175</v>
      </c>
      <c r="B276" s="8" t="s">
        <v>172</v>
      </c>
      <c r="C276" s="8" t="s">
        <v>9</v>
      </c>
      <c r="D276" s="8" t="s">
        <v>265</v>
      </c>
      <c r="E276" s="8">
        <v>-20.079999999999998</v>
      </c>
      <c r="F276" s="8" t="s">
        <v>169</v>
      </c>
      <c r="G276" s="8" t="s">
        <v>159</v>
      </c>
      <c r="H276" s="8" t="s">
        <v>160</v>
      </c>
      <c r="I276" s="8" t="s">
        <v>159</v>
      </c>
      <c r="J276" s="8" t="s">
        <v>318</v>
      </c>
      <c r="K276" s="8" t="s">
        <v>319</v>
      </c>
      <c r="L276" s="8" t="s">
        <v>318</v>
      </c>
      <c r="M276" s="8" t="s">
        <v>115</v>
      </c>
      <c r="N276" s="8" t="s">
        <v>116</v>
      </c>
      <c r="O276" s="8" t="s">
        <v>115</v>
      </c>
      <c r="P276" s="8" t="s">
        <v>32</v>
      </c>
      <c r="T276" s="8">
        <f>MATCH(D276,Allocation!A:A,0)</f>
        <v>30</v>
      </c>
    </row>
    <row r="277" spans="1:20" x14ac:dyDescent="0.35">
      <c r="A277" s="8" t="s">
        <v>175</v>
      </c>
      <c r="B277" s="8" t="s">
        <v>32</v>
      </c>
      <c r="C277" s="8" t="s">
        <v>8</v>
      </c>
      <c r="D277" s="8" t="s">
        <v>265</v>
      </c>
      <c r="E277" s="8">
        <v>20.079999999999998</v>
      </c>
      <c r="F277" s="8" t="s">
        <v>34</v>
      </c>
      <c r="G277" s="8" t="s">
        <v>159</v>
      </c>
      <c r="H277" s="8" t="s">
        <v>160</v>
      </c>
      <c r="I277" s="8" t="s">
        <v>159</v>
      </c>
      <c r="J277" s="8" t="s">
        <v>318</v>
      </c>
      <c r="K277" s="8" t="s">
        <v>319</v>
      </c>
      <c r="L277" s="8" t="s">
        <v>318</v>
      </c>
      <c r="M277" s="8" t="s">
        <v>115</v>
      </c>
      <c r="N277" s="8" t="s">
        <v>116</v>
      </c>
      <c r="O277" s="8" t="s">
        <v>115</v>
      </c>
      <c r="P277" s="8" t="s">
        <v>32</v>
      </c>
      <c r="T277" s="8">
        <f>MATCH(D277,Allocation!A:A,0)</f>
        <v>30</v>
      </c>
    </row>
    <row r="278" spans="1:20" x14ac:dyDescent="0.35">
      <c r="A278" s="8" t="s">
        <v>31</v>
      </c>
      <c r="B278" s="8" t="s">
        <v>32</v>
      </c>
      <c r="C278" s="8" t="s">
        <v>6</v>
      </c>
      <c r="D278" s="8" t="s">
        <v>158</v>
      </c>
      <c r="E278" s="8">
        <v>387.12</v>
      </c>
      <c r="F278" s="8" t="s">
        <v>34</v>
      </c>
      <c r="G278" s="8" t="s">
        <v>159</v>
      </c>
      <c r="H278" s="8" t="s">
        <v>160</v>
      </c>
      <c r="I278" s="8" t="s">
        <v>159</v>
      </c>
      <c r="J278" s="8" t="s">
        <v>91</v>
      </c>
      <c r="K278" s="8" t="s">
        <v>92</v>
      </c>
      <c r="L278" s="8" t="s">
        <v>91</v>
      </c>
      <c r="M278" s="8" t="s">
        <v>93</v>
      </c>
      <c r="N278" s="8" t="s">
        <v>94</v>
      </c>
      <c r="O278" s="8" t="s">
        <v>93</v>
      </c>
      <c r="P278" s="8" t="s">
        <v>32</v>
      </c>
      <c r="T278" s="8">
        <f>MATCH(D278,Allocation!A:A,0)</f>
        <v>49</v>
      </c>
    </row>
    <row r="279" spans="1:20" x14ac:dyDescent="0.35">
      <c r="A279" s="8" t="s">
        <v>31</v>
      </c>
      <c r="B279" s="8" t="s">
        <v>37</v>
      </c>
      <c r="C279" s="8" t="s">
        <v>6</v>
      </c>
      <c r="D279" s="8" t="s">
        <v>158</v>
      </c>
      <c r="E279" s="8">
        <v>0</v>
      </c>
      <c r="F279" s="8" t="s">
        <v>34</v>
      </c>
      <c r="G279" s="8" t="s">
        <v>159</v>
      </c>
      <c r="H279" s="8" t="s">
        <v>160</v>
      </c>
      <c r="I279" s="8" t="s">
        <v>159</v>
      </c>
      <c r="J279" s="8" t="s">
        <v>91</v>
      </c>
      <c r="K279" s="8" t="s">
        <v>92</v>
      </c>
      <c r="L279" s="8" t="s">
        <v>91</v>
      </c>
      <c r="M279" s="8" t="s">
        <v>93</v>
      </c>
      <c r="N279" s="8" t="s">
        <v>94</v>
      </c>
      <c r="O279" s="8" t="s">
        <v>93</v>
      </c>
      <c r="P279" s="8" t="s">
        <v>32</v>
      </c>
      <c r="T279" s="8">
        <f>MATCH(D279,Allocation!A:A,0)</f>
        <v>49</v>
      </c>
    </row>
    <row r="280" spans="1:20" x14ac:dyDescent="0.35">
      <c r="A280" s="8" t="s">
        <v>167</v>
      </c>
      <c r="B280" s="8" t="s">
        <v>32</v>
      </c>
      <c r="C280" s="8" t="s">
        <v>7</v>
      </c>
      <c r="D280" s="8" t="s">
        <v>158</v>
      </c>
      <c r="E280" s="8">
        <v>-279.14999999999998</v>
      </c>
      <c r="F280" s="8" t="s">
        <v>169</v>
      </c>
      <c r="G280" s="8" t="s">
        <v>159</v>
      </c>
      <c r="H280" s="8" t="s">
        <v>160</v>
      </c>
      <c r="I280" s="8" t="s">
        <v>159</v>
      </c>
      <c r="J280" s="8" t="s">
        <v>91</v>
      </c>
      <c r="K280" s="8" t="s">
        <v>92</v>
      </c>
      <c r="L280" s="8" t="s">
        <v>91</v>
      </c>
      <c r="M280" s="8" t="s">
        <v>93</v>
      </c>
      <c r="N280" s="8" t="s">
        <v>94</v>
      </c>
      <c r="O280" s="8" t="s">
        <v>93</v>
      </c>
      <c r="P280" s="8" t="s">
        <v>32</v>
      </c>
      <c r="T280" s="8">
        <f>MATCH(D280,Allocation!A:A,0)</f>
        <v>49</v>
      </c>
    </row>
    <row r="281" spans="1:20" x14ac:dyDescent="0.35">
      <c r="A281" s="8" t="s">
        <v>167</v>
      </c>
      <c r="B281" s="8" t="s">
        <v>32</v>
      </c>
      <c r="C281" s="8" t="s">
        <v>8</v>
      </c>
      <c r="D281" s="8" t="s">
        <v>158</v>
      </c>
      <c r="E281" s="8">
        <v>-1319.68</v>
      </c>
      <c r="F281" s="8" t="s">
        <v>169</v>
      </c>
      <c r="G281" s="8" t="s">
        <v>159</v>
      </c>
      <c r="H281" s="8" t="s">
        <v>160</v>
      </c>
      <c r="I281" s="8" t="s">
        <v>159</v>
      </c>
      <c r="J281" s="8" t="s">
        <v>91</v>
      </c>
      <c r="K281" s="8" t="s">
        <v>92</v>
      </c>
      <c r="L281" s="8" t="s">
        <v>91</v>
      </c>
      <c r="M281" s="8" t="s">
        <v>93</v>
      </c>
      <c r="N281" s="8" t="s">
        <v>94</v>
      </c>
      <c r="O281" s="8" t="s">
        <v>93</v>
      </c>
      <c r="P281" s="8" t="s">
        <v>32</v>
      </c>
      <c r="T281" s="8">
        <f>MATCH(D281,Allocation!A:A,0)</f>
        <v>49</v>
      </c>
    </row>
    <row r="282" spans="1:20" x14ac:dyDescent="0.35">
      <c r="A282" s="8" t="s">
        <v>171</v>
      </c>
      <c r="B282" s="8" t="s">
        <v>172</v>
      </c>
      <c r="C282" s="8" t="s">
        <v>9</v>
      </c>
      <c r="D282" s="8" t="s">
        <v>158</v>
      </c>
      <c r="E282" s="8">
        <v>-2595.98</v>
      </c>
      <c r="F282" s="8" t="s">
        <v>169</v>
      </c>
      <c r="G282" s="8" t="s">
        <v>159</v>
      </c>
      <c r="H282" s="8" t="s">
        <v>160</v>
      </c>
      <c r="I282" s="8" t="s">
        <v>159</v>
      </c>
      <c r="J282" s="8" t="s">
        <v>91</v>
      </c>
      <c r="K282" s="8" t="s">
        <v>92</v>
      </c>
      <c r="L282" s="8" t="s">
        <v>91</v>
      </c>
      <c r="M282" s="8" t="s">
        <v>93</v>
      </c>
      <c r="N282" s="8" t="s">
        <v>94</v>
      </c>
      <c r="O282" s="8" t="s">
        <v>93</v>
      </c>
      <c r="P282" s="8" t="s">
        <v>32</v>
      </c>
      <c r="T282" s="8">
        <f>MATCH(D282,Allocation!A:A,0)</f>
        <v>49</v>
      </c>
    </row>
    <row r="283" spans="1:20" x14ac:dyDescent="0.35">
      <c r="A283" s="8" t="s">
        <v>173</v>
      </c>
      <c r="B283" s="8" t="s">
        <v>174</v>
      </c>
      <c r="C283" s="8" t="s">
        <v>10</v>
      </c>
      <c r="D283" s="8" t="s">
        <v>158</v>
      </c>
      <c r="E283" s="8">
        <v>3807.69</v>
      </c>
      <c r="F283" s="8" t="s">
        <v>34</v>
      </c>
      <c r="G283" s="8" t="s">
        <v>159</v>
      </c>
      <c r="H283" s="8" t="s">
        <v>160</v>
      </c>
      <c r="I283" s="8" t="s">
        <v>159</v>
      </c>
      <c r="J283" s="8" t="s">
        <v>91</v>
      </c>
      <c r="K283" s="8" t="s">
        <v>92</v>
      </c>
      <c r="L283" s="8" t="s">
        <v>91</v>
      </c>
      <c r="M283" s="8" t="s">
        <v>93</v>
      </c>
      <c r="N283" s="8" t="s">
        <v>94</v>
      </c>
      <c r="O283" s="8" t="s">
        <v>93</v>
      </c>
      <c r="P283" s="8" t="s">
        <v>32</v>
      </c>
      <c r="T283" s="8">
        <f>MATCH(D283,Allocation!A:A,0)</f>
        <v>49</v>
      </c>
    </row>
    <row r="284" spans="1:20" x14ac:dyDescent="0.35">
      <c r="A284" s="8" t="s">
        <v>175</v>
      </c>
      <c r="B284" s="8" t="s">
        <v>172</v>
      </c>
      <c r="C284" s="8" t="s">
        <v>9</v>
      </c>
      <c r="D284" s="8" t="s">
        <v>158</v>
      </c>
      <c r="E284" s="8">
        <v>-1319.68</v>
      </c>
      <c r="F284" s="8" t="s">
        <v>169</v>
      </c>
      <c r="G284" s="8" t="s">
        <v>159</v>
      </c>
      <c r="H284" s="8" t="s">
        <v>160</v>
      </c>
      <c r="I284" s="8" t="s">
        <v>159</v>
      </c>
      <c r="J284" s="8" t="s">
        <v>91</v>
      </c>
      <c r="K284" s="8" t="s">
        <v>92</v>
      </c>
      <c r="L284" s="8" t="s">
        <v>91</v>
      </c>
      <c r="M284" s="8" t="s">
        <v>93</v>
      </c>
      <c r="N284" s="8" t="s">
        <v>94</v>
      </c>
      <c r="O284" s="8" t="s">
        <v>93</v>
      </c>
      <c r="P284" s="8" t="s">
        <v>32</v>
      </c>
      <c r="T284" s="8">
        <f>MATCH(D284,Allocation!A:A,0)</f>
        <v>49</v>
      </c>
    </row>
    <row r="285" spans="1:20" x14ac:dyDescent="0.35">
      <c r="A285" s="8" t="s">
        <v>175</v>
      </c>
      <c r="B285" s="8" t="s">
        <v>32</v>
      </c>
      <c r="C285" s="8" t="s">
        <v>8</v>
      </c>
      <c r="D285" s="8" t="s">
        <v>158</v>
      </c>
      <c r="E285" s="8">
        <v>1319.68</v>
      </c>
      <c r="F285" s="8" t="s">
        <v>34</v>
      </c>
      <c r="G285" s="8" t="s">
        <v>159</v>
      </c>
      <c r="H285" s="8" t="s">
        <v>160</v>
      </c>
      <c r="I285" s="8" t="s">
        <v>159</v>
      </c>
      <c r="J285" s="8" t="s">
        <v>91</v>
      </c>
      <c r="K285" s="8" t="s">
        <v>92</v>
      </c>
      <c r="L285" s="8" t="s">
        <v>91</v>
      </c>
      <c r="M285" s="8" t="s">
        <v>93</v>
      </c>
      <c r="N285" s="8" t="s">
        <v>94</v>
      </c>
      <c r="O285" s="8" t="s">
        <v>93</v>
      </c>
      <c r="P285" s="8" t="s">
        <v>32</v>
      </c>
      <c r="T285" s="8">
        <f>MATCH(D285,Allocation!A:A,0)</f>
        <v>49</v>
      </c>
    </row>
  </sheetData>
  <sortState ref="A2:T285">
    <sortCondition ref="D2:D285"/>
    <sortCondition ref="A2:A285"/>
    <sortCondition ref="C2:C28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mpl"/>
  <dimension ref="A1:J39"/>
  <sheetViews>
    <sheetView workbookViewId="0"/>
  </sheetViews>
  <sheetFormatPr defaultRowHeight="14.5" x14ac:dyDescent="0.35"/>
  <cols>
    <col min="1" max="1" width="10.26953125" style="21" bestFit="1" customWidth="1"/>
    <col min="2" max="2" width="26" style="21" bestFit="1" customWidth="1"/>
    <col min="3" max="3" width="21.36328125" style="30" bestFit="1" customWidth="1"/>
    <col min="4" max="4" width="17.54296875" style="21" bestFit="1" customWidth="1"/>
    <col min="5" max="6" width="15.6328125" style="21" bestFit="1" customWidth="1"/>
    <col min="7" max="7" width="8.453125" style="21" bestFit="1" customWidth="1"/>
    <col min="8" max="8" width="13.26953125" style="21" bestFit="1" customWidth="1"/>
    <col min="9" max="9" width="10.54296875" style="21" bestFit="1" customWidth="1"/>
    <col min="10" max="10" width="12.1796875" style="21" bestFit="1" customWidth="1"/>
    <col min="11" max="16384" width="8.7265625" style="21"/>
  </cols>
  <sheetData>
    <row r="1" spans="1:10" customFormat="1" x14ac:dyDescent="0.35">
      <c r="A1" s="25"/>
      <c r="B1" s="25"/>
      <c r="C1" s="28" t="s">
        <v>273</v>
      </c>
      <c r="D1" s="25" t="s">
        <v>31</v>
      </c>
      <c r="E1" s="25" t="s">
        <v>167</v>
      </c>
      <c r="F1" s="25" t="s">
        <v>167</v>
      </c>
      <c r="G1" s="25" t="s">
        <v>171</v>
      </c>
      <c r="H1" s="25" t="s">
        <v>173</v>
      </c>
      <c r="I1" s="25" t="s">
        <v>175</v>
      </c>
      <c r="J1" s="25" t="s">
        <v>175</v>
      </c>
    </row>
    <row r="2" spans="1:10" customFormat="1" x14ac:dyDescent="0.35">
      <c r="A2" s="25" t="s">
        <v>271</v>
      </c>
      <c r="B2" s="24" t="s">
        <v>23</v>
      </c>
      <c r="C2" s="29" t="s">
        <v>274</v>
      </c>
      <c r="D2" s="25" t="s">
        <v>6</v>
      </c>
      <c r="E2" s="25" t="s">
        <v>7</v>
      </c>
      <c r="F2" s="25" t="s">
        <v>8</v>
      </c>
      <c r="G2" s="25" t="s">
        <v>9</v>
      </c>
      <c r="H2" s="25" t="s">
        <v>10</v>
      </c>
      <c r="I2" s="25" t="s">
        <v>9</v>
      </c>
      <c r="J2" s="25" t="s">
        <v>8</v>
      </c>
    </row>
    <row r="3" spans="1:10" x14ac:dyDescent="0.35">
      <c r="A3" s="21" t="s">
        <v>33</v>
      </c>
      <c r="B3" s="21" t="s">
        <v>36</v>
      </c>
      <c r="C3" s="30">
        <v>0</v>
      </c>
      <c r="D3" s="21">
        <v>117.04</v>
      </c>
      <c r="E3" s="21">
        <v>-50</v>
      </c>
      <c r="F3" s="21">
        <v>-292.51</v>
      </c>
      <c r="G3" s="21">
        <v>-894.53</v>
      </c>
      <c r="H3" s="21">
        <v>1120</v>
      </c>
      <c r="I3" s="21">
        <v>-292.51</v>
      </c>
      <c r="J3" s="21">
        <v>292.51</v>
      </c>
    </row>
    <row r="4" spans="1:10" x14ac:dyDescent="0.35">
      <c r="A4" s="21" t="s">
        <v>38</v>
      </c>
      <c r="B4" s="21" t="s">
        <v>40</v>
      </c>
      <c r="C4" s="30">
        <v>0</v>
      </c>
      <c r="D4" s="21">
        <v>127.1</v>
      </c>
      <c r="E4" s="21">
        <v>-156.81</v>
      </c>
      <c r="F4" s="21">
        <v>-263.94</v>
      </c>
      <c r="G4" s="21">
        <v>-989.06</v>
      </c>
      <c r="H4" s="21">
        <v>1282.71</v>
      </c>
      <c r="I4" s="21">
        <v>-263.94</v>
      </c>
      <c r="J4" s="21">
        <v>263.94</v>
      </c>
    </row>
    <row r="5" spans="1:10" x14ac:dyDescent="0.35">
      <c r="A5" s="21" t="s">
        <v>41</v>
      </c>
      <c r="B5" s="21" t="s">
        <v>32</v>
      </c>
      <c r="C5" s="30">
        <v>0</v>
      </c>
      <c r="D5" s="21">
        <v>203.59</v>
      </c>
      <c r="F5" s="21">
        <v>-507.1</v>
      </c>
      <c r="G5" s="21">
        <v>-1734.65</v>
      </c>
      <c r="H5" s="21">
        <v>2038.16</v>
      </c>
      <c r="I5" s="21">
        <v>-507.1</v>
      </c>
      <c r="J5" s="21">
        <v>507.1</v>
      </c>
    </row>
    <row r="6" spans="1:10" x14ac:dyDescent="0.35">
      <c r="A6" s="21" t="s">
        <v>43</v>
      </c>
      <c r="B6" s="21" t="s">
        <v>45</v>
      </c>
      <c r="C6" s="30">
        <v>0</v>
      </c>
      <c r="D6" s="21">
        <v>132.44999999999999</v>
      </c>
      <c r="E6" s="21">
        <v>-109.32</v>
      </c>
      <c r="F6" s="21">
        <v>-323.44</v>
      </c>
      <c r="G6" s="21">
        <v>-1047.17</v>
      </c>
      <c r="H6" s="21">
        <v>1347.48</v>
      </c>
      <c r="I6" s="21">
        <v>-323.44</v>
      </c>
      <c r="J6" s="21">
        <v>323.44</v>
      </c>
    </row>
    <row r="7" spans="1:10" x14ac:dyDescent="0.35">
      <c r="A7" s="21" t="s">
        <v>48</v>
      </c>
      <c r="B7" s="21" t="s">
        <v>50</v>
      </c>
      <c r="C7" s="30">
        <v>0</v>
      </c>
      <c r="D7" s="21">
        <v>55.27</v>
      </c>
      <c r="F7" s="21">
        <v>-145.62</v>
      </c>
      <c r="G7" s="21">
        <v>-438.53</v>
      </c>
      <c r="H7" s="21">
        <v>528.88</v>
      </c>
      <c r="I7" s="21">
        <v>-145.62</v>
      </c>
      <c r="J7" s="21">
        <v>145.62</v>
      </c>
    </row>
    <row r="8" spans="1:10" x14ac:dyDescent="0.35">
      <c r="A8" s="21" t="s">
        <v>53</v>
      </c>
      <c r="B8" s="21" t="s">
        <v>55</v>
      </c>
      <c r="C8" s="30">
        <v>0</v>
      </c>
      <c r="D8" s="21">
        <v>56.91</v>
      </c>
      <c r="F8" s="21">
        <v>-133.19</v>
      </c>
      <c r="G8" s="21">
        <v>-468.22</v>
      </c>
      <c r="H8" s="21">
        <v>544.5</v>
      </c>
      <c r="I8" s="21">
        <v>-133.19</v>
      </c>
      <c r="J8" s="21">
        <v>133.19</v>
      </c>
    </row>
    <row r="9" spans="1:10" x14ac:dyDescent="0.35">
      <c r="A9" s="21" t="s">
        <v>58</v>
      </c>
      <c r="B9" s="21" t="s">
        <v>60</v>
      </c>
      <c r="C9" s="30">
        <v>0</v>
      </c>
      <c r="D9" s="21">
        <v>269.52999999999997</v>
      </c>
      <c r="E9" s="21">
        <v>-283.11</v>
      </c>
      <c r="F9" s="21">
        <v>-878.99</v>
      </c>
      <c r="G9" s="21">
        <v>-1799.74</v>
      </c>
      <c r="H9" s="21">
        <v>2692.31</v>
      </c>
      <c r="I9" s="21">
        <v>-878.99</v>
      </c>
      <c r="J9" s="21">
        <v>878.99</v>
      </c>
    </row>
    <row r="10" spans="1:10" x14ac:dyDescent="0.35">
      <c r="A10" s="21" t="s">
        <v>63</v>
      </c>
      <c r="B10" s="21" t="s">
        <v>65</v>
      </c>
      <c r="C10" s="30">
        <v>0</v>
      </c>
      <c r="D10" s="21">
        <v>272.7</v>
      </c>
      <c r="E10" s="21">
        <v>-97.13</v>
      </c>
      <c r="F10" s="21">
        <v>-924.42</v>
      </c>
      <c r="G10" s="21">
        <v>-1935.2</v>
      </c>
      <c r="H10" s="21">
        <v>2684.05</v>
      </c>
      <c r="I10" s="21">
        <v>-924.42</v>
      </c>
      <c r="J10" s="21">
        <v>924.42</v>
      </c>
    </row>
    <row r="11" spans="1:10" x14ac:dyDescent="0.35">
      <c r="A11" s="21" t="s">
        <v>309</v>
      </c>
      <c r="B11" s="21" t="s">
        <v>164</v>
      </c>
      <c r="C11" s="30">
        <v>0</v>
      </c>
      <c r="D11" s="21">
        <v>67.92</v>
      </c>
      <c r="F11" s="21">
        <v>-165.11</v>
      </c>
      <c r="G11" s="21">
        <v>-552.80999999999995</v>
      </c>
      <c r="H11" s="21">
        <v>650</v>
      </c>
      <c r="I11" s="21">
        <v>-165.11</v>
      </c>
      <c r="J11" s="21">
        <v>165.11</v>
      </c>
    </row>
    <row r="12" spans="1:10" x14ac:dyDescent="0.35">
      <c r="A12" s="21" t="s">
        <v>70</v>
      </c>
      <c r="B12" s="21" t="s">
        <v>72</v>
      </c>
      <c r="C12" s="30">
        <v>0</v>
      </c>
      <c r="D12" s="21">
        <v>110.62</v>
      </c>
      <c r="F12" s="21">
        <v>-256.2</v>
      </c>
      <c r="G12" s="21">
        <v>-912.82</v>
      </c>
      <c r="H12" s="21">
        <v>1058.4000000000001</v>
      </c>
      <c r="I12" s="21">
        <v>-256.2</v>
      </c>
      <c r="J12" s="21">
        <v>256.2</v>
      </c>
    </row>
    <row r="13" spans="1:10" x14ac:dyDescent="0.35">
      <c r="A13" s="21" t="s">
        <v>310</v>
      </c>
      <c r="B13" s="21" t="s">
        <v>312</v>
      </c>
      <c r="C13" s="30">
        <v>0</v>
      </c>
      <c r="D13" s="21">
        <v>227.17</v>
      </c>
      <c r="F13" s="21">
        <v>-624.66</v>
      </c>
      <c r="G13" s="21">
        <v>-1776.42</v>
      </c>
      <c r="H13" s="21">
        <v>2173.91</v>
      </c>
      <c r="I13" s="21">
        <v>-624.66</v>
      </c>
      <c r="J13" s="21">
        <v>624.66</v>
      </c>
    </row>
    <row r="14" spans="1:10" x14ac:dyDescent="0.35">
      <c r="A14" s="21" t="s">
        <v>263</v>
      </c>
      <c r="B14" s="21" t="s">
        <v>314</v>
      </c>
      <c r="C14" s="30">
        <v>2.2737367544323206E-13</v>
      </c>
      <c r="D14" s="21">
        <v>113.1</v>
      </c>
      <c r="F14" s="21">
        <v>-214.2</v>
      </c>
      <c r="G14" s="21">
        <v>-981.29</v>
      </c>
      <c r="H14" s="21">
        <v>1082.3900000000001</v>
      </c>
      <c r="I14" s="21">
        <v>-214.2</v>
      </c>
      <c r="J14" s="21">
        <v>214.2</v>
      </c>
    </row>
    <row r="15" spans="1:10" x14ac:dyDescent="0.35">
      <c r="A15" s="21" t="s">
        <v>75</v>
      </c>
      <c r="B15" s="21" t="s">
        <v>77</v>
      </c>
      <c r="C15" s="30">
        <v>0</v>
      </c>
      <c r="D15" s="21">
        <v>154.37</v>
      </c>
      <c r="E15" s="21">
        <v>-183.16</v>
      </c>
      <c r="F15" s="21">
        <v>-379.51</v>
      </c>
      <c r="G15" s="21">
        <v>-1170.93</v>
      </c>
      <c r="H15" s="21">
        <v>1579.23</v>
      </c>
      <c r="I15" s="21">
        <v>-379.51</v>
      </c>
      <c r="J15" s="21">
        <v>379.51</v>
      </c>
    </row>
    <row r="16" spans="1:10" x14ac:dyDescent="0.35">
      <c r="A16" s="21" t="s">
        <v>78</v>
      </c>
      <c r="B16" s="21" t="s">
        <v>81</v>
      </c>
      <c r="C16" s="30">
        <v>0</v>
      </c>
      <c r="D16" s="21">
        <v>37.35</v>
      </c>
      <c r="F16" s="21">
        <v>-71.349999999999994</v>
      </c>
      <c r="G16" s="21">
        <v>-323.5</v>
      </c>
      <c r="H16" s="21">
        <v>357.5</v>
      </c>
      <c r="I16" s="21">
        <v>-71.349999999999994</v>
      </c>
      <c r="J16" s="21">
        <v>71.349999999999994</v>
      </c>
    </row>
    <row r="17" spans="1:10" x14ac:dyDescent="0.35">
      <c r="A17" s="21" t="s">
        <v>83</v>
      </c>
      <c r="B17" s="21" t="s">
        <v>87</v>
      </c>
      <c r="C17" s="30">
        <v>0</v>
      </c>
      <c r="D17" s="21">
        <v>93.03</v>
      </c>
      <c r="E17" s="21">
        <v>-123.62</v>
      </c>
      <c r="F17" s="21">
        <v>-201.81</v>
      </c>
      <c r="G17" s="21">
        <v>-732.4</v>
      </c>
      <c r="H17" s="21">
        <v>964.8</v>
      </c>
      <c r="I17" s="21">
        <v>-201.81</v>
      </c>
      <c r="J17" s="21">
        <v>201.81</v>
      </c>
    </row>
    <row r="18" spans="1:10" x14ac:dyDescent="0.35">
      <c r="A18" s="21" t="s">
        <v>88</v>
      </c>
      <c r="B18" s="21" t="s">
        <v>92</v>
      </c>
      <c r="C18" s="30">
        <v>0</v>
      </c>
      <c r="D18" s="21">
        <v>43.02</v>
      </c>
      <c r="E18" s="21">
        <v>-31.01</v>
      </c>
      <c r="F18" s="21">
        <v>-146.63</v>
      </c>
      <c r="G18" s="21">
        <v>-288.45999999999998</v>
      </c>
      <c r="H18" s="21">
        <v>423.08</v>
      </c>
      <c r="I18" s="21">
        <v>-146.63</v>
      </c>
      <c r="J18" s="21">
        <v>146.63</v>
      </c>
    </row>
    <row r="19" spans="1:10" x14ac:dyDescent="0.35">
      <c r="A19" s="21" t="s">
        <v>95</v>
      </c>
      <c r="B19" s="21" t="s">
        <v>97</v>
      </c>
      <c r="C19" s="30">
        <v>0</v>
      </c>
      <c r="D19" s="21">
        <v>83.43</v>
      </c>
      <c r="E19" s="21">
        <v>-23.86</v>
      </c>
      <c r="F19" s="21">
        <v>-290.52999999999997</v>
      </c>
      <c r="G19" s="21">
        <v>-586.29</v>
      </c>
      <c r="H19" s="21">
        <v>817.25</v>
      </c>
      <c r="I19" s="21">
        <v>-290.52999999999997</v>
      </c>
      <c r="J19" s="21">
        <v>290.52999999999997</v>
      </c>
    </row>
    <row r="20" spans="1:10" x14ac:dyDescent="0.35">
      <c r="A20" s="21" t="s">
        <v>315</v>
      </c>
      <c r="B20" s="21" t="s">
        <v>106</v>
      </c>
      <c r="C20" s="30">
        <v>0</v>
      </c>
      <c r="D20" s="21">
        <v>71.239999999999995</v>
      </c>
      <c r="E20" s="21">
        <v>-43.93</v>
      </c>
      <c r="F20" s="21">
        <v>-186.8</v>
      </c>
      <c r="G20" s="21">
        <v>-561.66</v>
      </c>
      <c r="H20" s="21">
        <v>721.15</v>
      </c>
      <c r="I20" s="21">
        <v>-186.8</v>
      </c>
      <c r="J20" s="21">
        <v>186.8</v>
      </c>
    </row>
    <row r="21" spans="1:10" x14ac:dyDescent="0.35">
      <c r="A21" s="21" t="s">
        <v>102</v>
      </c>
      <c r="B21" s="21" t="s">
        <v>106</v>
      </c>
      <c r="C21" s="30">
        <v>0</v>
      </c>
      <c r="D21" s="21">
        <v>71.260000000000005</v>
      </c>
      <c r="E21" s="21">
        <v>-43.93</v>
      </c>
      <c r="F21" s="21">
        <v>-186.87</v>
      </c>
      <c r="G21" s="21">
        <v>-561.62</v>
      </c>
      <c r="H21" s="21">
        <v>721.16</v>
      </c>
      <c r="I21" s="21">
        <v>-186.87</v>
      </c>
      <c r="J21" s="21">
        <v>186.87</v>
      </c>
    </row>
    <row r="22" spans="1:10" x14ac:dyDescent="0.35">
      <c r="A22" s="21" t="s">
        <v>109</v>
      </c>
      <c r="B22" s="21" t="s">
        <v>97</v>
      </c>
      <c r="C22" s="30">
        <v>0</v>
      </c>
      <c r="D22" s="21">
        <v>250.27</v>
      </c>
      <c r="E22" s="21">
        <v>-71.56</v>
      </c>
      <c r="F22" s="21">
        <v>-871.53</v>
      </c>
      <c r="G22" s="21">
        <v>-1758.93</v>
      </c>
      <c r="H22" s="21">
        <v>2451.75</v>
      </c>
      <c r="I22" s="21">
        <v>-871.53</v>
      </c>
      <c r="J22" s="21">
        <v>871.53</v>
      </c>
    </row>
    <row r="23" spans="1:10" x14ac:dyDescent="0.35">
      <c r="A23" s="21" t="s">
        <v>112</v>
      </c>
      <c r="B23" s="21" t="s">
        <v>162</v>
      </c>
      <c r="C23" s="30">
        <v>0</v>
      </c>
      <c r="D23" s="21">
        <v>70.709999999999994</v>
      </c>
      <c r="E23" s="21">
        <v>-99.72</v>
      </c>
      <c r="F23" s="21">
        <v>-240.79</v>
      </c>
      <c r="G23" s="21">
        <v>-422.51</v>
      </c>
      <c r="H23" s="21">
        <v>692.31</v>
      </c>
      <c r="I23" s="21">
        <v>-240.79</v>
      </c>
      <c r="J23" s="21">
        <v>240.79</v>
      </c>
    </row>
    <row r="24" spans="1:10" x14ac:dyDescent="0.35">
      <c r="A24" s="21" t="s">
        <v>317</v>
      </c>
      <c r="B24" s="21" t="s">
        <v>319</v>
      </c>
      <c r="C24" s="30">
        <v>-2.2737367544323206E-13</v>
      </c>
      <c r="D24" s="21">
        <v>142.77000000000001</v>
      </c>
      <c r="E24" s="21">
        <v>-116.83</v>
      </c>
      <c r="F24" s="21">
        <v>-381.83</v>
      </c>
      <c r="G24" s="21">
        <v>-1105.6600000000001</v>
      </c>
      <c r="H24" s="21">
        <v>1461.55</v>
      </c>
      <c r="I24" s="21">
        <v>-381.83</v>
      </c>
      <c r="J24" s="21">
        <v>381.83</v>
      </c>
    </row>
    <row r="25" spans="1:10" x14ac:dyDescent="0.35">
      <c r="A25" s="21" t="s">
        <v>110</v>
      </c>
      <c r="B25" s="21" t="s">
        <v>114</v>
      </c>
      <c r="C25" s="30">
        <v>-1.1368683772161603E-13</v>
      </c>
      <c r="D25" s="21">
        <v>90.39</v>
      </c>
      <c r="E25" s="21">
        <v>-98.62</v>
      </c>
      <c r="F25" s="21">
        <v>-270.47000000000003</v>
      </c>
      <c r="G25" s="21">
        <v>-660.86</v>
      </c>
      <c r="H25" s="21">
        <v>939.56</v>
      </c>
      <c r="I25" s="21">
        <v>-270.47000000000003</v>
      </c>
      <c r="J25" s="21">
        <v>270.47000000000003</v>
      </c>
    </row>
    <row r="26" spans="1:10" x14ac:dyDescent="0.35">
      <c r="A26" s="21" t="s">
        <v>117</v>
      </c>
      <c r="B26" s="21" t="s">
        <v>119</v>
      </c>
      <c r="C26" s="30">
        <v>0</v>
      </c>
      <c r="D26" s="21">
        <v>78.36</v>
      </c>
      <c r="F26" s="21">
        <v>-178.24</v>
      </c>
      <c r="G26" s="21">
        <v>-649.96</v>
      </c>
      <c r="H26" s="21">
        <v>749.84</v>
      </c>
      <c r="I26" s="21">
        <v>-178.24</v>
      </c>
      <c r="J26" s="21">
        <v>178.24</v>
      </c>
    </row>
    <row r="27" spans="1:10" x14ac:dyDescent="0.35">
      <c r="A27" s="21" t="s">
        <v>120</v>
      </c>
      <c r="B27" s="21" t="s">
        <v>122</v>
      </c>
      <c r="C27" s="30">
        <v>0</v>
      </c>
      <c r="D27" s="21">
        <v>253.7</v>
      </c>
      <c r="E27" s="21">
        <v>-95.42</v>
      </c>
      <c r="F27" s="21">
        <v>-839.23</v>
      </c>
      <c r="G27" s="21">
        <v>-1819.05</v>
      </c>
      <c r="H27" s="21">
        <v>2500</v>
      </c>
      <c r="I27" s="21">
        <v>-839.23</v>
      </c>
      <c r="J27" s="21">
        <v>839.23</v>
      </c>
    </row>
    <row r="28" spans="1:10" x14ac:dyDescent="0.35">
      <c r="A28" s="21" t="s">
        <v>123</v>
      </c>
      <c r="B28" s="21" t="s">
        <v>125</v>
      </c>
      <c r="C28" s="30">
        <v>0</v>
      </c>
      <c r="D28" s="21">
        <v>160.77000000000001</v>
      </c>
      <c r="F28" s="21">
        <v>-318.08</v>
      </c>
      <c r="G28" s="21">
        <v>-1381.15</v>
      </c>
      <c r="H28" s="21">
        <v>1538.46</v>
      </c>
      <c r="I28" s="21">
        <v>-318.08</v>
      </c>
      <c r="J28" s="21">
        <v>318.08</v>
      </c>
    </row>
    <row r="29" spans="1:10" x14ac:dyDescent="0.35">
      <c r="A29" s="21" t="s">
        <v>320</v>
      </c>
      <c r="B29" s="21" t="s">
        <v>162</v>
      </c>
      <c r="C29" s="30">
        <v>0</v>
      </c>
      <c r="D29" s="21">
        <v>149.01</v>
      </c>
      <c r="E29" s="21">
        <v>-210.14</v>
      </c>
      <c r="F29" s="21">
        <v>-507.37</v>
      </c>
      <c r="G29" s="21">
        <v>-890.29</v>
      </c>
      <c r="H29" s="21">
        <v>1458.79</v>
      </c>
      <c r="I29" s="21">
        <v>-507.37</v>
      </c>
      <c r="J29" s="21">
        <v>507.37</v>
      </c>
    </row>
    <row r="30" spans="1:10" x14ac:dyDescent="0.35">
      <c r="A30" s="21" t="s">
        <v>128</v>
      </c>
      <c r="B30" s="21" t="s">
        <v>32</v>
      </c>
      <c r="C30" s="30">
        <v>0</v>
      </c>
      <c r="D30" s="21">
        <v>294.64</v>
      </c>
      <c r="E30" s="21">
        <v>-188.76</v>
      </c>
      <c r="F30" s="21">
        <v>-887.69</v>
      </c>
      <c r="G30" s="21">
        <v>-2067.09</v>
      </c>
      <c r="H30" s="21">
        <v>2848.9</v>
      </c>
      <c r="I30" s="21">
        <v>-887.69</v>
      </c>
      <c r="J30" s="21">
        <v>887.69</v>
      </c>
    </row>
    <row r="31" spans="1:10" x14ac:dyDescent="0.35">
      <c r="A31" s="21" t="s">
        <v>126</v>
      </c>
      <c r="B31" s="21" t="s">
        <v>130</v>
      </c>
      <c r="C31" s="30">
        <v>0</v>
      </c>
      <c r="D31" s="21">
        <v>329.57</v>
      </c>
      <c r="E31" s="21">
        <v>-500</v>
      </c>
      <c r="F31" s="21">
        <v>-885.47</v>
      </c>
      <c r="G31" s="21">
        <v>-2097.9499999999998</v>
      </c>
      <c r="H31" s="21">
        <v>3153.85</v>
      </c>
      <c r="I31" s="21">
        <v>-885.47</v>
      </c>
      <c r="J31" s="21">
        <v>885.47</v>
      </c>
    </row>
    <row r="32" spans="1:10" x14ac:dyDescent="0.35">
      <c r="A32" s="21" t="s">
        <v>133</v>
      </c>
      <c r="B32" s="21" t="s">
        <v>135</v>
      </c>
      <c r="C32" s="30">
        <v>0</v>
      </c>
      <c r="D32" s="21">
        <v>154.33000000000001</v>
      </c>
      <c r="E32" s="21">
        <v>-57.7</v>
      </c>
      <c r="F32" s="21">
        <v>-456.07</v>
      </c>
      <c r="G32" s="21">
        <v>-1179.02</v>
      </c>
      <c r="H32" s="21">
        <v>1538.46</v>
      </c>
      <c r="I32" s="21">
        <v>-456.07</v>
      </c>
      <c r="J32" s="21">
        <v>456.07</v>
      </c>
    </row>
    <row r="33" spans="1:10" x14ac:dyDescent="0.35">
      <c r="A33" s="21" t="s">
        <v>136</v>
      </c>
      <c r="B33" s="21" t="s">
        <v>138</v>
      </c>
      <c r="C33" s="30">
        <v>0</v>
      </c>
      <c r="D33" s="21">
        <v>215.25</v>
      </c>
      <c r="E33" s="21">
        <v>-72.680000000000007</v>
      </c>
      <c r="F33" s="21">
        <v>-603.97</v>
      </c>
      <c r="G33" s="21">
        <v>-1653.99</v>
      </c>
      <c r="H33" s="21">
        <v>2115.39</v>
      </c>
      <c r="I33" s="21">
        <v>-603.97</v>
      </c>
      <c r="J33" s="21">
        <v>603.97</v>
      </c>
    </row>
    <row r="34" spans="1:10" x14ac:dyDescent="0.35">
      <c r="A34" s="21" t="s">
        <v>141</v>
      </c>
      <c r="B34" s="21" t="s">
        <v>143</v>
      </c>
      <c r="C34" s="30">
        <v>0</v>
      </c>
      <c r="D34" s="21">
        <v>112.86</v>
      </c>
      <c r="F34" s="21">
        <v>-230.95</v>
      </c>
      <c r="G34" s="21">
        <v>-961.91</v>
      </c>
      <c r="H34" s="21">
        <v>1080</v>
      </c>
      <c r="I34" s="21">
        <v>-230.95</v>
      </c>
      <c r="J34" s="21">
        <v>230.95</v>
      </c>
    </row>
    <row r="35" spans="1:10" x14ac:dyDescent="0.35">
      <c r="A35" s="21" t="s">
        <v>144</v>
      </c>
      <c r="B35" s="21" t="s">
        <v>149</v>
      </c>
      <c r="C35" s="30">
        <v>0</v>
      </c>
      <c r="D35" s="21">
        <v>253.45</v>
      </c>
      <c r="E35" s="21">
        <v>-98.62</v>
      </c>
      <c r="F35" s="21">
        <v>-785.57</v>
      </c>
      <c r="G35" s="21">
        <v>-1869.26</v>
      </c>
      <c r="H35" s="21">
        <v>2500</v>
      </c>
      <c r="I35" s="21">
        <v>-785.57</v>
      </c>
      <c r="J35" s="21">
        <v>785.57</v>
      </c>
    </row>
    <row r="36" spans="1:10" x14ac:dyDescent="0.35">
      <c r="A36" s="21" t="s">
        <v>264</v>
      </c>
      <c r="B36" s="21" t="s">
        <v>323</v>
      </c>
      <c r="C36" s="30">
        <v>0</v>
      </c>
      <c r="D36" s="21">
        <v>186.89</v>
      </c>
      <c r="F36" s="21">
        <v>-463.54</v>
      </c>
      <c r="G36" s="21">
        <v>-1511.81</v>
      </c>
      <c r="H36" s="21">
        <v>1788.46</v>
      </c>
      <c r="I36" s="21">
        <v>-463.54</v>
      </c>
      <c r="J36" s="21">
        <v>463.54</v>
      </c>
    </row>
    <row r="37" spans="1:10" x14ac:dyDescent="0.35">
      <c r="A37" s="21" t="s">
        <v>151</v>
      </c>
      <c r="B37" s="21" t="s">
        <v>155</v>
      </c>
      <c r="C37" s="30">
        <v>0</v>
      </c>
      <c r="D37" s="21">
        <v>616.84</v>
      </c>
      <c r="E37" s="21">
        <v>-423.08</v>
      </c>
      <c r="F37" s="21">
        <v>-2131.94</v>
      </c>
      <c r="G37" s="21">
        <v>-4023.36</v>
      </c>
      <c r="H37" s="21">
        <v>5961.54</v>
      </c>
      <c r="I37" s="21">
        <v>-2131.94</v>
      </c>
      <c r="J37" s="21">
        <v>2131.94</v>
      </c>
    </row>
    <row r="38" spans="1:10" x14ac:dyDescent="0.35">
      <c r="A38" s="21" t="s">
        <v>265</v>
      </c>
      <c r="B38" s="21" t="s">
        <v>319</v>
      </c>
      <c r="C38" s="30">
        <v>0</v>
      </c>
      <c r="D38" s="21">
        <v>7.51</v>
      </c>
      <c r="E38" s="21">
        <v>-6.14</v>
      </c>
      <c r="F38" s="21">
        <v>-20.079999999999998</v>
      </c>
      <c r="G38" s="21">
        <v>-58.21</v>
      </c>
      <c r="H38" s="21">
        <v>76.92</v>
      </c>
      <c r="I38" s="21">
        <v>-20.079999999999998</v>
      </c>
      <c r="J38" s="21">
        <v>20.079999999999998</v>
      </c>
    </row>
    <row r="39" spans="1:10" x14ac:dyDescent="0.35">
      <c r="A39" s="21" t="s">
        <v>158</v>
      </c>
      <c r="B39" s="21" t="s">
        <v>92</v>
      </c>
      <c r="C39" s="30">
        <v>0</v>
      </c>
      <c r="D39" s="21">
        <v>387.12</v>
      </c>
      <c r="E39" s="21">
        <v>-279.14999999999998</v>
      </c>
      <c r="F39" s="21">
        <v>-1319.68</v>
      </c>
      <c r="G39" s="21">
        <v>-2595.98</v>
      </c>
      <c r="H39" s="21">
        <v>3807.69</v>
      </c>
      <c r="I39" s="21">
        <v>-1319.68</v>
      </c>
      <c r="J39" s="21">
        <v>1319.68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51"/>
  <sheetViews>
    <sheetView topLeftCell="A37" workbookViewId="0">
      <selection activeCell="K48" sqref="K48"/>
    </sheetView>
  </sheetViews>
  <sheetFormatPr defaultRowHeight="14.5" x14ac:dyDescent="0.35"/>
  <cols>
    <col min="3" max="3" width="40.453125" bestFit="1" customWidth="1"/>
    <col min="4" max="4" width="13.36328125" style="21" bestFit="1" customWidth="1"/>
  </cols>
  <sheetData>
    <row r="1" spans="1:34" x14ac:dyDescent="0.35">
      <c r="A1" s="40"/>
      <c r="B1" s="40" t="s">
        <v>176</v>
      </c>
      <c r="C1" s="41">
        <v>43850</v>
      </c>
      <c r="D1" s="40"/>
      <c r="E1" s="42" t="s">
        <v>30</v>
      </c>
      <c r="F1" s="40"/>
      <c r="G1" s="43" t="s">
        <v>214</v>
      </c>
      <c r="H1" s="43" t="s">
        <v>82</v>
      </c>
      <c r="I1" s="43" t="s">
        <v>82</v>
      </c>
      <c r="J1" s="43" t="s">
        <v>82</v>
      </c>
      <c r="K1" s="43" t="s">
        <v>295</v>
      </c>
      <c r="L1" s="43" t="s">
        <v>216</v>
      </c>
      <c r="M1" s="43" t="s">
        <v>296</v>
      </c>
      <c r="N1" s="43" t="s">
        <v>217</v>
      </c>
      <c r="O1" s="43" t="s">
        <v>297</v>
      </c>
      <c r="P1" s="43" t="s">
        <v>298</v>
      </c>
      <c r="Q1" s="43" t="s">
        <v>298</v>
      </c>
      <c r="R1" s="43" t="s">
        <v>299</v>
      </c>
      <c r="S1" s="43" t="s">
        <v>295</v>
      </c>
      <c r="T1" s="43" t="s">
        <v>300</v>
      </c>
      <c r="U1" s="43" t="s">
        <v>218</v>
      </c>
      <c r="V1" s="43" t="s">
        <v>296</v>
      </c>
      <c r="W1" s="43" t="s">
        <v>298</v>
      </c>
      <c r="X1" s="43" t="s">
        <v>301</v>
      </c>
      <c r="Y1" s="43" t="s">
        <v>302</v>
      </c>
      <c r="Z1" s="43" t="s">
        <v>219</v>
      </c>
      <c r="AA1" s="43" t="s">
        <v>303</v>
      </c>
      <c r="AB1" s="43" t="s">
        <v>82</v>
      </c>
      <c r="AC1" s="43" t="s">
        <v>82</v>
      </c>
      <c r="AD1" s="43" t="s">
        <v>82</v>
      </c>
      <c r="AE1" s="31" t="s">
        <v>306</v>
      </c>
      <c r="AF1" s="44"/>
      <c r="AG1" s="44"/>
      <c r="AH1" s="44"/>
    </row>
    <row r="2" spans="1:34" x14ac:dyDescent="0.35">
      <c r="A2" s="45"/>
      <c r="B2" s="46"/>
      <c r="C2" s="46"/>
      <c r="D2" s="46"/>
      <c r="E2" s="47" t="s">
        <v>220</v>
      </c>
      <c r="F2" s="47"/>
      <c r="G2" s="43" t="s">
        <v>180</v>
      </c>
      <c r="H2" s="43" t="s">
        <v>221</v>
      </c>
      <c r="I2" s="43" t="s">
        <v>1004</v>
      </c>
      <c r="J2" s="43" t="s">
        <v>222</v>
      </c>
      <c r="K2" s="43" t="s">
        <v>223</v>
      </c>
      <c r="L2" s="43" t="s">
        <v>224</v>
      </c>
      <c r="M2" s="43" t="s">
        <v>225</v>
      </c>
      <c r="N2" s="43" t="s">
        <v>226</v>
      </c>
      <c r="O2" s="43" t="s">
        <v>227</v>
      </c>
      <c r="P2" s="43" t="s">
        <v>304</v>
      </c>
      <c r="Q2" s="43" t="s">
        <v>228</v>
      </c>
      <c r="R2" s="43" t="s">
        <v>229</v>
      </c>
      <c r="S2" s="43" t="s">
        <v>230</v>
      </c>
      <c r="T2" s="43" t="s">
        <v>231</v>
      </c>
      <c r="U2" s="43" t="s">
        <v>232</v>
      </c>
      <c r="V2" s="43" t="s">
        <v>233</v>
      </c>
      <c r="W2" s="43" t="s">
        <v>262</v>
      </c>
      <c r="X2" s="43" t="s">
        <v>238</v>
      </c>
      <c r="Y2" s="43" t="s">
        <v>234</v>
      </c>
      <c r="Z2" s="43" t="s">
        <v>235</v>
      </c>
      <c r="AA2" s="43" t="s">
        <v>236</v>
      </c>
      <c r="AB2" s="43" t="s">
        <v>181</v>
      </c>
      <c r="AC2" s="43" t="s">
        <v>237</v>
      </c>
      <c r="AD2" s="43" t="s">
        <v>238</v>
      </c>
      <c r="AE2" s="43" t="s">
        <v>305</v>
      </c>
      <c r="AF2" s="44"/>
      <c r="AG2" s="44"/>
      <c r="AH2" s="44"/>
    </row>
    <row r="3" spans="1:34" x14ac:dyDescent="0.35">
      <c r="A3" s="48" t="s">
        <v>177</v>
      </c>
      <c r="B3" s="49" t="s">
        <v>178</v>
      </c>
      <c r="C3" s="49" t="s">
        <v>179</v>
      </c>
      <c r="D3" s="50" t="s">
        <v>202</v>
      </c>
      <c r="E3" s="51">
        <v>48</v>
      </c>
      <c r="F3" s="50" t="s">
        <v>239</v>
      </c>
      <c r="G3" s="52">
        <v>14.89</v>
      </c>
      <c r="H3" s="52">
        <v>2.11</v>
      </c>
      <c r="I3" s="52">
        <v>2</v>
      </c>
      <c r="J3" s="52">
        <v>2</v>
      </c>
      <c r="K3" s="52">
        <v>6.7</v>
      </c>
      <c r="L3" s="52">
        <v>1.33</v>
      </c>
      <c r="M3" s="52">
        <v>1.63</v>
      </c>
      <c r="N3" s="52">
        <v>2</v>
      </c>
      <c r="O3" s="52">
        <v>0.4</v>
      </c>
      <c r="P3" s="52">
        <v>0.18</v>
      </c>
      <c r="Q3" s="52">
        <v>1.01</v>
      </c>
      <c r="R3" s="52">
        <v>0.52</v>
      </c>
      <c r="S3" s="52">
        <v>0.33</v>
      </c>
      <c r="T3" s="52">
        <v>0.34</v>
      </c>
      <c r="U3" s="52">
        <v>2.0099999999999998</v>
      </c>
      <c r="V3" s="52">
        <v>1.18</v>
      </c>
      <c r="W3" s="52">
        <v>0.27</v>
      </c>
      <c r="X3" s="52">
        <v>0.57999999999999996</v>
      </c>
      <c r="Y3" s="52">
        <v>0.76</v>
      </c>
      <c r="Z3" s="52">
        <v>2.88</v>
      </c>
      <c r="AA3" s="52">
        <v>0.9</v>
      </c>
      <c r="AB3" s="52">
        <v>1.88</v>
      </c>
      <c r="AC3" s="52">
        <v>0.1</v>
      </c>
      <c r="AD3" s="52">
        <v>1</v>
      </c>
      <c r="AE3" s="52">
        <v>1</v>
      </c>
      <c r="AF3" s="53"/>
      <c r="AG3" s="53"/>
      <c r="AH3" s="53"/>
    </row>
    <row r="4" spans="1:34" x14ac:dyDescent="0.35">
      <c r="A4" s="54">
        <v>111</v>
      </c>
      <c r="B4" s="54" t="s">
        <v>42</v>
      </c>
      <c r="C4" s="54" t="s">
        <v>1005</v>
      </c>
      <c r="D4" s="36" t="s">
        <v>66</v>
      </c>
      <c r="E4" s="55">
        <v>1</v>
      </c>
      <c r="F4" s="56">
        <v>1</v>
      </c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>
        <v>1</v>
      </c>
      <c r="AF4" s="54"/>
      <c r="AG4" s="54"/>
      <c r="AH4" s="54"/>
    </row>
    <row r="5" spans="1:34" x14ac:dyDescent="0.35">
      <c r="A5" s="54" t="s">
        <v>33</v>
      </c>
      <c r="B5" s="54" t="s">
        <v>36</v>
      </c>
      <c r="C5" s="54" t="s">
        <v>1006</v>
      </c>
      <c r="D5" s="36" t="s">
        <v>422</v>
      </c>
      <c r="E5" s="55">
        <v>1</v>
      </c>
      <c r="F5" s="40">
        <v>2</v>
      </c>
      <c r="G5" s="54">
        <v>0.77</v>
      </c>
      <c r="H5" s="54">
        <v>0.23</v>
      </c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</row>
    <row r="6" spans="1:34" x14ac:dyDescent="0.35">
      <c r="A6" s="54" t="s">
        <v>309</v>
      </c>
      <c r="B6" s="54" t="s">
        <v>164</v>
      </c>
      <c r="C6" s="54" t="s">
        <v>1007</v>
      </c>
      <c r="D6" s="36" t="s">
        <v>165</v>
      </c>
      <c r="E6" s="55">
        <v>1</v>
      </c>
      <c r="F6" s="40">
        <v>2</v>
      </c>
      <c r="G6" s="54">
        <v>0.38</v>
      </c>
      <c r="H6" s="54">
        <v>0.62</v>
      </c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</row>
    <row r="7" spans="1:34" x14ac:dyDescent="0.35">
      <c r="A7" s="54" t="s">
        <v>263</v>
      </c>
      <c r="B7" s="36" t="s">
        <v>240</v>
      </c>
      <c r="C7" s="54" t="s">
        <v>1008</v>
      </c>
      <c r="D7" s="36" t="s">
        <v>424</v>
      </c>
      <c r="E7" s="55">
        <v>1</v>
      </c>
      <c r="F7" s="56">
        <v>1</v>
      </c>
      <c r="G7" s="54">
        <v>1</v>
      </c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</row>
    <row r="8" spans="1:34" x14ac:dyDescent="0.35">
      <c r="A8" s="54" t="s">
        <v>78</v>
      </c>
      <c r="B8" s="54" t="s">
        <v>81</v>
      </c>
      <c r="C8" s="54" t="s">
        <v>1009</v>
      </c>
      <c r="D8" s="36" t="s">
        <v>423</v>
      </c>
      <c r="E8" s="55">
        <v>1</v>
      </c>
      <c r="F8" s="56">
        <v>1</v>
      </c>
      <c r="G8" s="54"/>
      <c r="H8" s="54"/>
      <c r="I8" s="54">
        <v>1</v>
      </c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</row>
    <row r="9" spans="1:34" x14ac:dyDescent="0.35">
      <c r="A9" s="54" t="s">
        <v>43</v>
      </c>
      <c r="B9" s="54" t="s">
        <v>45</v>
      </c>
      <c r="C9" s="54" t="s">
        <v>1010</v>
      </c>
      <c r="D9" s="36" t="s">
        <v>424</v>
      </c>
      <c r="E9" s="55">
        <v>1</v>
      </c>
      <c r="F9" s="56">
        <v>1</v>
      </c>
      <c r="G9" s="54">
        <v>1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</row>
    <row r="10" spans="1:34" x14ac:dyDescent="0.35">
      <c r="A10" s="54" t="s">
        <v>1011</v>
      </c>
      <c r="B10" s="54" t="s">
        <v>45</v>
      </c>
      <c r="C10" s="54" t="s">
        <v>1010</v>
      </c>
      <c r="D10" s="36" t="s">
        <v>424</v>
      </c>
      <c r="E10" s="55">
        <v>1</v>
      </c>
      <c r="F10" s="56">
        <v>1</v>
      </c>
      <c r="G10" s="54">
        <v>1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</row>
    <row r="11" spans="1:34" x14ac:dyDescent="0.35">
      <c r="A11" s="54" t="s">
        <v>1012</v>
      </c>
      <c r="B11" s="54" t="s">
        <v>45</v>
      </c>
      <c r="C11" s="54" t="s">
        <v>1010</v>
      </c>
      <c r="D11" s="36" t="s">
        <v>424</v>
      </c>
      <c r="E11" s="55">
        <v>1</v>
      </c>
      <c r="F11" s="56">
        <v>1</v>
      </c>
      <c r="G11" s="54">
        <v>1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</row>
    <row r="12" spans="1:34" x14ac:dyDescent="0.35">
      <c r="A12" s="54" t="s">
        <v>110</v>
      </c>
      <c r="B12" s="54" t="s">
        <v>114</v>
      </c>
      <c r="C12" s="54" t="s">
        <v>1013</v>
      </c>
      <c r="D12" s="36" t="s">
        <v>425</v>
      </c>
      <c r="E12" s="55">
        <v>1</v>
      </c>
      <c r="F12" s="56">
        <v>1</v>
      </c>
      <c r="G12" s="54"/>
      <c r="H12" s="54"/>
      <c r="I12" s="54"/>
      <c r="J12" s="54"/>
      <c r="K12" s="54">
        <v>1</v>
      </c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</row>
    <row r="13" spans="1:34" x14ac:dyDescent="0.35">
      <c r="A13" s="54" t="s">
        <v>98</v>
      </c>
      <c r="B13" s="54" t="s">
        <v>99</v>
      </c>
      <c r="C13" s="54" t="s">
        <v>1014</v>
      </c>
      <c r="D13" s="36" t="s">
        <v>107</v>
      </c>
      <c r="E13" s="55">
        <v>1</v>
      </c>
      <c r="F13" s="56">
        <v>1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>
        <v>1</v>
      </c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</row>
    <row r="14" spans="1:34" x14ac:dyDescent="0.35">
      <c r="A14" s="54" t="s">
        <v>58</v>
      </c>
      <c r="B14" s="54" t="s">
        <v>60</v>
      </c>
      <c r="C14" s="54" t="s">
        <v>1015</v>
      </c>
      <c r="D14" s="36" t="s">
        <v>418</v>
      </c>
      <c r="E14" s="55">
        <v>1</v>
      </c>
      <c r="F14" s="40">
        <v>2</v>
      </c>
      <c r="G14" s="54">
        <v>0.72</v>
      </c>
      <c r="H14" s="54">
        <v>0.28000000000000003</v>
      </c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</row>
    <row r="15" spans="1:34" x14ac:dyDescent="0.35">
      <c r="A15" s="54" t="s">
        <v>83</v>
      </c>
      <c r="B15" s="54" t="s">
        <v>87</v>
      </c>
      <c r="C15" s="54" t="s">
        <v>1016</v>
      </c>
      <c r="D15" s="36" t="s">
        <v>66</v>
      </c>
      <c r="E15" s="55">
        <v>1</v>
      </c>
      <c r="F15" s="56">
        <v>1</v>
      </c>
      <c r="G15" s="54"/>
      <c r="H15" s="54"/>
      <c r="I15" s="54"/>
      <c r="J15" s="54">
        <v>1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</row>
    <row r="16" spans="1:34" x14ac:dyDescent="0.35">
      <c r="A16" s="54" t="s">
        <v>151</v>
      </c>
      <c r="B16" s="54" t="s">
        <v>155</v>
      </c>
      <c r="C16" s="54" t="s">
        <v>1017</v>
      </c>
      <c r="D16" s="36" t="s">
        <v>156</v>
      </c>
      <c r="E16" s="55">
        <v>1</v>
      </c>
      <c r="F16" s="40">
        <v>2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>
        <v>0.9</v>
      </c>
      <c r="AB16" s="54"/>
      <c r="AC16" s="54">
        <v>0.1</v>
      </c>
      <c r="AD16" s="54"/>
      <c r="AE16" s="54"/>
      <c r="AF16" s="54"/>
      <c r="AG16" s="54"/>
      <c r="AH16" s="54"/>
    </row>
    <row r="17" spans="1:34" x14ac:dyDescent="0.35">
      <c r="A17" s="54" t="s">
        <v>126</v>
      </c>
      <c r="B17" s="54" t="s">
        <v>130</v>
      </c>
      <c r="C17" s="54" t="s">
        <v>1018</v>
      </c>
      <c r="D17" s="36">
        <v>7225</v>
      </c>
      <c r="E17" s="55">
        <v>1</v>
      </c>
      <c r="F17" s="40">
        <v>2</v>
      </c>
      <c r="G17" s="54"/>
      <c r="H17" s="54"/>
      <c r="I17" s="54"/>
      <c r="J17" s="54"/>
      <c r="K17" s="54"/>
      <c r="L17" s="54">
        <v>0.33</v>
      </c>
      <c r="M17" s="54">
        <v>0.67</v>
      </c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</row>
    <row r="18" spans="1:34" x14ac:dyDescent="0.35">
      <c r="A18" s="54" t="s">
        <v>38</v>
      </c>
      <c r="B18" s="54" t="s">
        <v>40</v>
      </c>
      <c r="C18" s="54" t="s">
        <v>1016</v>
      </c>
      <c r="D18" s="36" t="s">
        <v>66</v>
      </c>
      <c r="E18" s="55">
        <v>1</v>
      </c>
      <c r="F18" s="56">
        <v>1</v>
      </c>
      <c r="G18" s="54"/>
      <c r="H18" s="54"/>
      <c r="I18" s="54"/>
      <c r="J18" s="54">
        <v>1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</row>
    <row r="19" spans="1:34" x14ac:dyDescent="0.35">
      <c r="A19" s="54" t="s">
        <v>264</v>
      </c>
      <c r="B19" s="36" t="s">
        <v>241</v>
      </c>
      <c r="C19" s="54" t="s">
        <v>1019</v>
      </c>
      <c r="D19" s="36" t="s">
        <v>324</v>
      </c>
      <c r="E19" s="55">
        <v>1</v>
      </c>
      <c r="F19" s="40">
        <v>3</v>
      </c>
      <c r="G19" s="54"/>
      <c r="H19" s="54"/>
      <c r="I19" s="54"/>
      <c r="J19" s="54"/>
      <c r="K19" s="54"/>
      <c r="L19" s="54"/>
      <c r="M19" s="54"/>
      <c r="N19" s="54"/>
      <c r="O19" s="57">
        <v>0.15</v>
      </c>
      <c r="P19" s="57"/>
      <c r="Q19" s="57">
        <v>0.74</v>
      </c>
      <c r="R19" s="57">
        <v>0.11</v>
      </c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</row>
    <row r="20" spans="1:34" x14ac:dyDescent="0.35">
      <c r="A20" s="54">
        <v>560</v>
      </c>
      <c r="B20" s="54" t="s">
        <v>150</v>
      </c>
      <c r="C20" s="54" t="s">
        <v>1020</v>
      </c>
      <c r="D20" s="36">
        <v>7228</v>
      </c>
      <c r="E20" s="55">
        <v>1</v>
      </c>
      <c r="F20" s="40">
        <v>4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8">
        <v>0.1</v>
      </c>
      <c r="U20" s="58">
        <v>0.45</v>
      </c>
      <c r="V20" s="58">
        <v>0.18</v>
      </c>
      <c r="W20" s="58">
        <v>0.27</v>
      </c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</row>
    <row r="21" spans="1:34" x14ac:dyDescent="0.35">
      <c r="A21" s="54" t="s">
        <v>73</v>
      </c>
      <c r="B21" s="54" t="s">
        <v>74</v>
      </c>
      <c r="C21" s="54" t="s">
        <v>1005</v>
      </c>
      <c r="D21" s="36" t="s">
        <v>66</v>
      </c>
      <c r="E21" s="55">
        <v>1</v>
      </c>
      <c r="F21" s="56">
        <v>1</v>
      </c>
      <c r="G21" s="54">
        <v>1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</row>
    <row r="22" spans="1:34" x14ac:dyDescent="0.35">
      <c r="A22" s="54" t="s">
        <v>136</v>
      </c>
      <c r="B22" s="54" t="s">
        <v>138</v>
      </c>
      <c r="C22" s="54" t="s">
        <v>1021</v>
      </c>
      <c r="D22" s="36">
        <v>7226</v>
      </c>
      <c r="E22" s="55">
        <v>1</v>
      </c>
      <c r="F22" s="56">
        <v>1</v>
      </c>
      <c r="G22" s="54"/>
      <c r="H22" s="54"/>
      <c r="I22" s="54"/>
      <c r="J22" s="54"/>
      <c r="K22" s="54"/>
      <c r="L22" s="54">
        <v>1</v>
      </c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</row>
    <row r="23" spans="1:34" x14ac:dyDescent="0.35">
      <c r="A23" s="54" t="s">
        <v>68</v>
      </c>
      <c r="B23" s="54" t="s">
        <v>69</v>
      </c>
      <c r="C23" s="54" t="s">
        <v>1022</v>
      </c>
      <c r="D23" s="36" t="s">
        <v>66</v>
      </c>
      <c r="E23" s="55">
        <v>1</v>
      </c>
      <c r="F23" s="56">
        <v>1</v>
      </c>
      <c r="G23" s="54"/>
      <c r="H23" s="54"/>
      <c r="I23" s="54"/>
      <c r="J23" s="54"/>
      <c r="K23" s="54">
        <v>1</v>
      </c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</row>
    <row r="24" spans="1:34" x14ac:dyDescent="0.35">
      <c r="A24" s="54" t="s">
        <v>117</v>
      </c>
      <c r="B24" s="54" t="s">
        <v>119</v>
      </c>
      <c r="C24" s="54" t="s">
        <v>1013</v>
      </c>
      <c r="D24" s="36" t="s">
        <v>425</v>
      </c>
      <c r="E24" s="55">
        <v>1</v>
      </c>
      <c r="F24" s="56">
        <v>1</v>
      </c>
      <c r="G24" s="54">
        <v>1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</row>
    <row r="25" spans="1:34" x14ac:dyDescent="0.35">
      <c r="A25" s="54" t="s">
        <v>123</v>
      </c>
      <c r="B25" s="54" t="s">
        <v>125</v>
      </c>
      <c r="C25" s="54" t="s">
        <v>1013</v>
      </c>
      <c r="D25" s="36" t="s">
        <v>425</v>
      </c>
      <c r="E25" s="55">
        <v>1</v>
      </c>
      <c r="F25" s="56">
        <v>1</v>
      </c>
      <c r="G25" s="54"/>
      <c r="H25" s="54"/>
      <c r="I25" s="54"/>
      <c r="J25" s="54"/>
      <c r="K25" s="54">
        <v>1</v>
      </c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</row>
    <row r="26" spans="1:34" x14ac:dyDescent="0.35">
      <c r="A26" s="54" t="s">
        <v>144</v>
      </c>
      <c r="B26" s="54" t="s">
        <v>149</v>
      </c>
      <c r="C26" s="54" t="s">
        <v>1023</v>
      </c>
      <c r="D26" s="36" t="s">
        <v>324</v>
      </c>
      <c r="E26" s="55">
        <v>1</v>
      </c>
      <c r="F26" s="40">
        <v>5</v>
      </c>
      <c r="G26" s="54"/>
      <c r="H26" s="54"/>
      <c r="I26" s="54"/>
      <c r="J26" s="54"/>
      <c r="K26" s="54"/>
      <c r="L26" s="54"/>
      <c r="M26" s="54"/>
      <c r="N26" s="54"/>
      <c r="O26" s="59">
        <v>0.25</v>
      </c>
      <c r="P26" s="59">
        <v>0.18</v>
      </c>
      <c r="Q26" s="59">
        <v>7.0000000000000007E-2</v>
      </c>
      <c r="R26" s="59">
        <v>0.25</v>
      </c>
      <c r="S26" s="59">
        <v>0.25</v>
      </c>
      <c r="T26" s="59"/>
      <c r="U26" s="59"/>
      <c r="V26" s="59"/>
      <c r="W26" s="59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</row>
    <row r="27" spans="1:34" x14ac:dyDescent="0.35">
      <c r="A27" s="54" t="s">
        <v>70</v>
      </c>
      <c r="B27" s="54" t="s">
        <v>72</v>
      </c>
      <c r="C27" s="54" t="s">
        <v>1010</v>
      </c>
      <c r="D27" s="36" t="s">
        <v>424</v>
      </c>
      <c r="E27" s="55">
        <v>1</v>
      </c>
      <c r="F27" s="56">
        <v>1</v>
      </c>
      <c r="G27" s="54">
        <v>1</v>
      </c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</row>
    <row r="28" spans="1:34" x14ac:dyDescent="0.35">
      <c r="A28" s="54" t="s">
        <v>141</v>
      </c>
      <c r="B28" s="54" t="s">
        <v>143</v>
      </c>
      <c r="C28" s="54" t="s">
        <v>1024</v>
      </c>
      <c r="D28" s="36" t="s">
        <v>107</v>
      </c>
      <c r="E28" s="55">
        <v>1</v>
      </c>
      <c r="F28" s="56">
        <v>1</v>
      </c>
      <c r="G28" s="54"/>
      <c r="H28" s="54"/>
      <c r="I28" s="54"/>
      <c r="J28" s="54"/>
      <c r="K28" s="54"/>
      <c r="L28" s="54"/>
      <c r="M28" s="54"/>
      <c r="N28" s="54">
        <v>1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</row>
    <row r="29" spans="1:34" x14ac:dyDescent="0.35">
      <c r="A29" s="54" t="s">
        <v>317</v>
      </c>
      <c r="B29" s="36" t="s">
        <v>182</v>
      </c>
      <c r="C29" s="54" t="s">
        <v>1025</v>
      </c>
      <c r="D29" s="36" t="s">
        <v>426</v>
      </c>
      <c r="E29" s="55">
        <v>1</v>
      </c>
      <c r="F29" s="40">
        <v>2</v>
      </c>
      <c r="G29" s="54"/>
      <c r="H29" s="54"/>
      <c r="I29" s="54"/>
      <c r="J29" s="54"/>
      <c r="K29" s="60">
        <v>0.95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>
        <v>0.05</v>
      </c>
      <c r="AC29" s="60"/>
      <c r="AD29" s="54"/>
      <c r="AE29" s="54"/>
      <c r="AF29" s="54"/>
      <c r="AG29" s="54"/>
      <c r="AH29" s="54"/>
    </row>
    <row r="30" spans="1:34" x14ac:dyDescent="0.35">
      <c r="A30" s="54" t="s">
        <v>265</v>
      </c>
      <c r="B30" s="36" t="s">
        <v>182</v>
      </c>
      <c r="C30" s="54" t="s">
        <v>1025</v>
      </c>
      <c r="D30" s="36" t="s">
        <v>426</v>
      </c>
      <c r="E30" s="55">
        <v>1</v>
      </c>
      <c r="F30" s="40">
        <v>2</v>
      </c>
      <c r="G30" s="54"/>
      <c r="H30" s="54"/>
      <c r="I30" s="54"/>
      <c r="J30" s="54"/>
      <c r="K30" s="60">
        <v>0.95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>
        <v>0.05</v>
      </c>
      <c r="AC30" s="60"/>
      <c r="AD30" s="54"/>
      <c r="AE30" s="54"/>
      <c r="AF30" s="54"/>
      <c r="AG30" s="54"/>
      <c r="AH30" s="54"/>
    </row>
    <row r="31" spans="1:34" x14ac:dyDescent="0.35">
      <c r="A31" s="54" t="s">
        <v>315</v>
      </c>
      <c r="B31" s="54" t="s">
        <v>106</v>
      </c>
      <c r="C31" s="54" t="s">
        <v>1026</v>
      </c>
      <c r="D31" s="36" t="s">
        <v>419</v>
      </c>
      <c r="E31" s="55">
        <v>1</v>
      </c>
      <c r="F31" s="56">
        <v>1</v>
      </c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61"/>
      <c r="Z31" s="61">
        <v>1</v>
      </c>
      <c r="AA31" s="61"/>
      <c r="AB31" s="61"/>
      <c r="AC31" s="61"/>
      <c r="AD31" s="61"/>
      <c r="AE31" s="61"/>
      <c r="AF31" s="54"/>
      <c r="AG31" s="54"/>
      <c r="AH31" s="54"/>
    </row>
    <row r="32" spans="1:34" x14ac:dyDescent="0.35">
      <c r="A32" s="54" t="s">
        <v>102</v>
      </c>
      <c r="B32" s="54" t="s">
        <v>106</v>
      </c>
      <c r="C32" s="54" t="s">
        <v>1026</v>
      </c>
      <c r="D32" s="36" t="s">
        <v>419</v>
      </c>
      <c r="E32" s="55">
        <v>1</v>
      </c>
      <c r="F32" s="56">
        <v>1</v>
      </c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61"/>
      <c r="Z32" s="61">
        <v>1</v>
      </c>
      <c r="AA32" s="61"/>
      <c r="AB32" s="61"/>
      <c r="AC32" s="61"/>
      <c r="AD32" s="61"/>
      <c r="AE32" s="61"/>
      <c r="AF32" s="54"/>
      <c r="AG32" s="54"/>
      <c r="AH32" s="54"/>
    </row>
    <row r="33" spans="1:34" x14ac:dyDescent="0.35">
      <c r="A33" s="54">
        <v>111</v>
      </c>
      <c r="B33" s="36" t="s">
        <v>183</v>
      </c>
      <c r="C33" s="54" t="s">
        <v>1027</v>
      </c>
      <c r="D33" s="36" t="s">
        <v>420</v>
      </c>
      <c r="E33" s="55">
        <v>1</v>
      </c>
      <c r="F33" s="40">
        <v>2</v>
      </c>
      <c r="G33" s="54">
        <v>0.82</v>
      </c>
      <c r="H33" s="54">
        <v>0.18</v>
      </c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</row>
    <row r="34" spans="1:34" x14ac:dyDescent="0.35">
      <c r="A34" s="54" t="s">
        <v>1028</v>
      </c>
      <c r="B34" s="36" t="s">
        <v>183</v>
      </c>
      <c r="C34" s="54" t="s">
        <v>1027</v>
      </c>
      <c r="D34" s="36" t="s">
        <v>420</v>
      </c>
      <c r="E34" s="55">
        <v>1</v>
      </c>
      <c r="F34" s="40">
        <v>2</v>
      </c>
      <c r="G34" s="54">
        <v>0.82</v>
      </c>
      <c r="H34" s="54">
        <v>0.18</v>
      </c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</row>
    <row r="35" spans="1:34" x14ac:dyDescent="0.35">
      <c r="A35" s="54" t="s">
        <v>310</v>
      </c>
      <c r="B35" s="36" t="s">
        <v>185</v>
      </c>
      <c r="C35" s="54" t="s">
        <v>1005</v>
      </c>
      <c r="D35" s="36" t="s">
        <v>66</v>
      </c>
      <c r="E35" s="55">
        <v>1</v>
      </c>
      <c r="F35" s="56">
        <v>1</v>
      </c>
      <c r="G35" s="54">
        <v>1</v>
      </c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</row>
    <row r="36" spans="1:34" x14ac:dyDescent="0.35">
      <c r="A36" s="54" t="s">
        <v>120</v>
      </c>
      <c r="B36" s="54" t="s">
        <v>122</v>
      </c>
      <c r="C36" s="54" t="s">
        <v>1029</v>
      </c>
      <c r="D36" s="36" t="s">
        <v>418</v>
      </c>
      <c r="E36" s="55">
        <v>1</v>
      </c>
      <c r="F36" s="56">
        <v>1</v>
      </c>
      <c r="G36" s="54"/>
      <c r="H36" s="54"/>
      <c r="I36" s="54"/>
      <c r="J36" s="54"/>
      <c r="K36" s="54">
        <v>1</v>
      </c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</row>
    <row r="37" spans="1:34" x14ac:dyDescent="0.35">
      <c r="A37" s="54">
        <v>111</v>
      </c>
      <c r="B37" s="36" t="s">
        <v>184</v>
      </c>
      <c r="C37" s="54" t="s">
        <v>1030</v>
      </c>
      <c r="D37" s="36" t="s">
        <v>51</v>
      </c>
      <c r="E37" s="55">
        <v>1</v>
      </c>
      <c r="F37" s="56">
        <v>1</v>
      </c>
      <c r="G37" s="54">
        <v>1</v>
      </c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</row>
    <row r="38" spans="1:34" x14ac:dyDescent="0.35">
      <c r="A38" s="54">
        <v>369</v>
      </c>
      <c r="B38" s="36" t="s">
        <v>242</v>
      </c>
      <c r="C38" s="54" t="s">
        <v>1031</v>
      </c>
      <c r="D38" s="36" t="s">
        <v>417</v>
      </c>
      <c r="E38" s="55">
        <v>1</v>
      </c>
      <c r="F38" s="56">
        <v>1</v>
      </c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>
        <v>1</v>
      </c>
      <c r="AE38" s="54" t="s">
        <v>1032</v>
      </c>
      <c r="AF38" s="54"/>
      <c r="AG38" s="54"/>
      <c r="AH38" s="54"/>
    </row>
    <row r="39" spans="1:34" x14ac:dyDescent="0.35">
      <c r="A39" s="54">
        <v>451</v>
      </c>
      <c r="B39" s="54" t="s">
        <v>162</v>
      </c>
      <c r="C39" s="54" t="s">
        <v>1033</v>
      </c>
      <c r="D39" s="36" t="s">
        <v>131</v>
      </c>
      <c r="E39" s="55">
        <v>1</v>
      </c>
      <c r="F39" s="40">
        <v>7</v>
      </c>
      <c r="G39" s="54"/>
      <c r="H39" s="54"/>
      <c r="I39" s="54"/>
      <c r="J39" s="54"/>
      <c r="K39" s="62">
        <v>0.2</v>
      </c>
      <c r="L39" s="62"/>
      <c r="M39" s="62">
        <v>0.24</v>
      </c>
      <c r="N39" s="62"/>
      <c r="O39" s="62" t="s">
        <v>1032</v>
      </c>
      <c r="P39" s="62"/>
      <c r="Q39" s="62">
        <v>0.05</v>
      </c>
      <c r="R39" s="62">
        <v>0.04</v>
      </c>
      <c r="S39" s="62">
        <v>0.02</v>
      </c>
      <c r="T39" s="62">
        <v>0.06</v>
      </c>
      <c r="U39" s="62">
        <v>0.39</v>
      </c>
      <c r="V39" s="54" t="s">
        <v>1032</v>
      </c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</row>
    <row r="40" spans="1:34" x14ac:dyDescent="0.35">
      <c r="A40" s="54">
        <v>467</v>
      </c>
      <c r="B40" s="54" t="s">
        <v>162</v>
      </c>
      <c r="C40" s="54" t="s">
        <v>1033</v>
      </c>
      <c r="D40" s="36" t="s">
        <v>131</v>
      </c>
      <c r="E40" s="55">
        <v>1</v>
      </c>
      <c r="F40" s="40">
        <v>7</v>
      </c>
      <c r="G40" s="54"/>
      <c r="H40" s="54"/>
      <c r="I40" s="54"/>
      <c r="J40" s="54"/>
      <c r="K40" s="62">
        <v>0.2</v>
      </c>
      <c r="L40" s="62"/>
      <c r="M40" s="62">
        <v>0.24</v>
      </c>
      <c r="N40" s="62"/>
      <c r="O40" s="62" t="s">
        <v>1032</v>
      </c>
      <c r="P40" s="62"/>
      <c r="Q40" s="62">
        <v>0.05</v>
      </c>
      <c r="R40" s="62">
        <v>0.04</v>
      </c>
      <c r="S40" s="62">
        <v>0.02</v>
      </c>
      <c r="T40" s="62">
        <v>0.06</v>
      </c>
      <c r="U40" s="62">
        <v>0.39</v>
      </c>
      <c r="V40" s="54" t="s">
        <v>1032</v>
      </c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</row>
    <row r="41" spans="1:34" x14ac:dyDescent="0.35">
      <c r="A41" s="54">
        <v>454</v>
      </c>
      <c r="B41" s="54" t="s">
        <v>162</v>
      </c>
      <c r="C41" s="54" t="s">
        <v>1033</v>
      </c>
      <c r="D41" s="36" t="s">
        <v>131</v>
      </c>
      <c r="E41" s="55">
        <v>1</v>
      </c>
      <c r="F41" s="40">
        <v>7</v>
      </c>
      <c r="G41" s="54"/>
      <c r="H41" s="54"/>
      <c r="I41" s="54"/>
      <c r="J41" s="54"/>
      <c r="K41" s="62">
        <v>0.2</v>
      </c>
      <c r="L41" s="62"/>
      <c r="M41" s="62">
        <v>0.24</v>
      </c>
      <c r="N41" s="62"/>
      <c r="O41" s="62" t="s">
        <v>1032</v>
      </c>
      <c r="P41" s="62"/>
      <c r="Q41" s="62">
        <v>0.05</v>
      </c>
      <c r="R41" s="62">
        <v>0.04</v>
      </c>
      <c r="S41" s="62">
        <v>0.02</v>
      </c>
      <c r="T41" s="62">
        <v>0.06</v>
      </c>
      <c r="U41" s="62">
        <v>0.39</v>
      </c>
      <c r="V41" s="54" t="s">
        <v>1032</v>
      </c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</row>
    <row r="42" spans="1:34" x14ac:dyDescent="0.35">
      <c r="A42" s="54">
        <v>630</v>
      </c>
      <c r="B42" s="54" t="s">
        <v>162</v>
      </c>
      <c r="C42" s="54" t="s">
        <v>1033</v>
      </c>
      <c r="D42" s="36" t="s">
        <v>131</v>
      </c>
      <c r="E42" s="55">
        <v>1</v>
      </c>
      <c r="F42" s="40">
        <v>7</v>
      </c>
      <c r="G42" s="54"/>
      <c r="H42" s="54"/>
      <c r="I42" s="54"/>
      <c r="J42" s="54"/>
      <c r="K42" s="62">
        <v>0.2</v>
      </c>
      <c r="L42" s="62"/>
      <c r="M42" s="62">
        <v>0.24</v>
      </c>
      <c r="N42" s="62"/>
      <c r="O42" s="62" t="s">
        <v>1032</v>
      </c>
      <c r="P42" s="62"/>
      <c r="Q42" s="62">
        <v>0.05</v>
      </c>
      <c r="R42" s="62">
        <v>0.04</v>
      </c>
      <c r="S42" s="62">
        <v>0.02</v>
      </c>
      <c r="T42" s="62">
        <v>0.06</v>
      </c>
      <c r="U42" s="62">
        <v>0.39</v>
      </c>
      <c r="V42" s="54" t="s">
        <v>1032</v>
      </c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</row>
    <row r="43" spans="1:34" x14ac:dyDescent="0.35">
      <c r="A43" s="54" t="s">
        <v>95</v>
      </c>
      <c r="B43" s="54" t="s">
        <v>97</v>
      </c>
      <c r="C43" s="54" t="s">
        <v>1034</v>
      </c>
      <c r="D43" s="36" t="s">
        <v>61</v>
      </c>
      <c r="E43" s="55">
        <v>1</v>
      </c>
      <c r="F43" s="40">
        <v>3</v>
      </c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63">
        <v>0.27</v>
      </c>
      <c r="Y43" s="63">
        <v>0.28999999999999998</v>
      </c>
      <c r="Z43" s="63">
        <v>0.44</v>
      </c>
      <c r="AA43" s="54"/>
      <c r="AB43" s="54"/>
      <c r="AC43" s="54"/>
      <c r="AD43" s="54"/>
      <c r="AE43" s="54"/>
      <c r="AF43" s="54"/>
      <c r="AG43" s="54"/>
      <c r="AH43" s="54"/>
    </row>
    <row r="44" spans="1:34" x14ac:dyDescent="0.35">
      <c r="A44" s="54" t="s">
        <v>109</v>
      </c>
      <c r="B44" s="54" t="s">
        <v>97</v>
      </c>
      <c r="C44" s="54" t="s">
        <v>1034</v>
      </c>
      <c r="D44" s="36" t="s">
        <v>61</v>
      </c>
      <c r="E44" s="55">
        <v>1</v>
      </c>
      <c r="F44" s="40">
        <v>3</v>
      </c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63">
        <v>0.27</v>
      </c>
      <c r="Y44" s="63">
        <v>0.28999999999999998</v>
      </c>
      <c r="Z44" s="63">
        <v>0.44</v>
      </c>
      <c r="AA44" s="54"/>
      <c r="AB44" s="54"/>
      <c r="AC44" s="54"/>
      <c r="AD44" s="54"/>
      <c r="AE44" s="54"/>
      <c r="AF44" s="54"/>
      <c r="AG44" s="54"/>
      <c r="AH44" s="54"/>
    </row>
    <row r="45" spans="1:34" x14ac:dyDescent="0.35">
      <c r="A45" s="54" t="s">
        <v>63</v>
      </c>
      <c r="B45" s="54" t="s">
        <v>65</v>
      </c>
      <c r="C45" s="54" t="s">
        <v>1005</v>
      </c>
      <c r="D45" s="36" t="s">
        <v>66</v>
      </c>
      <c r="E45" s="55">
        <v>1</v>
      </c>
      <c r="F45" s="56">
        <v>1</v>
      </c>
      <c r="G45" s="54">
        <v>1</v>
      </c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</row>
    <row r="46" spans="1:34" x14ac:dyDescent="0.35">
      <c r="A46" s="54" t="s">
        <v>75</v>
      </c>
      <c r="B46" s="54" t="s">
        <v>77</v>
      </c>
      <c r="C46" s="54" t="s">
        <v>1010</v>
      </c>
      <c r="D46" s="36" t="s">
        <v>424</v>
      </c>
      <c r="E46" s="55">
        <v>1</v>
      </c>
      <c r="F46" s="56">
        <v>1</v>
      </c>
      <c r="G46" s="54">
        <v>1</v>
      </c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</row>
    <row r="47" spans="1:34" x14ac:dyDescent="0.35">
      <c r="A47" s="54" t="s">
        <v>53</v>
      </c>
      <c r="B47" s="54" t="s">
        <v>55</v>
      </c>
      <c r="C47" s="54" t="s">
        <v>1035</v>
      </c>
      <c r="D47" s="36" t="s">
        <v>421</v>
      </c>
      <c r="E47" s="55">
        <v>1</v>
      </c>
      <c r="F47" s="40">
        <v>2</v>
      </c>
      <c r="G47" s="54">
        <v>0.38</v>
      </c>
      <c r="H47" s="54">
        <v>0.62</v>
      </c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</row>
    <row r="48" spans="1:34" x14ac:dyDescent="0.35">
      <c r="A48" s="54" t="s">
        <v>88</v>
      </c>
      <c r="B48" s="54" t="s">
        <v>92</v>
      </c>
      <c r="C48" s="54" t="s">
        <v>1036</v>
      </c>
      <c r="D48" s="36" t="s">
        <v>93</v>
      </c>
      <c r="E48" s="55">
        <v>1</v>
      </c>
      <c r="F48" s="40">
        <v>3</v>
      </c>
      <c r="G48" s="54"/>
      <c r="H48" s="54"/>
      <c r="I48" s="54"/>
      <c r="J48" s="54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>
        <v>0.02</v>
      </c>
      <c r="Y48" s="60">
        <v>0.09</v>
      </c>
      <c r="Z48" s="60"/>
      <c r="AA48" s="60"/>
      <c r="AB48" s="60">
        <v>0.89</v>
      </c>
      <c r="AC48" s="60"/>
      <c r="AD48" s="54"/>
      <c r="AE48" s="54"/>
      <c r="AF48" s="54"/>
      <c r="AG48" s="54"/>
      <c r="AH48" s="54"/>
    </row>
    <row r="49" spans="1:34" x14ac:dyDescent="0.35">
      <c r="A49" s="54" t="s">
        <v>158</v>
      </c>
      <c r="B49" s="54" t="s">
        <v>92</v>
      </c>
      <c r="C49" s="54" t="s">
        <v>1036</v>
      </c>
      <c r="D49" s="36" t="s">
        <v>93</v>
      </c>
      <c r="E49" s="55">
        <v>1</v>
      </c>
      <c r="F49" s="40">
        <v>3</v>
      </c>
      <c r="G49" s="54"/>
      <c r="H49" s="54"/>
      <c r="I49" s="54"/>
      <c r="J49" s="54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>
        <v>0.02</v>
      </c>
      <c r="Y49" s="60">
        <v>0.09</v>
      </c>
      <c r="Z49" s="60"/>
      <c r="AA49" s="60"/>
      <c r="AB49" s="60">
        <v>0.89</v>
      </c>
      <c r="AC49" s="60"/>
      <c r="AD49" s="54"/>
      <c r="AE49" s="54"/>
      <c r="AF49" s="54"/>
      <c r="AG49" s="54"/>
      <c r="AH49" s="54"/>
    </row>
    <row r="50" spans="1:34" x14ac:dyDescent="0.35">
      <c r="A50" s="54" t="s">
        <v>133</v>
      </c>
      <c r="B50" s="54" t="s">
        <v>135</v>
      </c>
      <c r="C50" s="54" t="s">
        <v>1037</v>
      </c>
      <c r="D50" s="36">
        <v>7227</v>
      </c>
      <c r="E50" s="55">
        <v>1</v>
      </c>
      <c r="F50" s="56">
        <v>1</v>
      </c>
      <c r="G50" s="54"/>
      <c r="H50" s="54"/>
      <c r="I50" s="54"/>
      <c r="J50" s="54"/>
      <c r="K50" s="54"/>
      <c r="L50" s="54"/>
      <c r="M50" s="54"/>
      <c r="N50" s="54">
        <v>1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</row>
    <row r="51" spans="1:34" x14ac:dyDescent="0.35">
      <c r="A51" s="54" t="s">
        <v>48</v>
      </c>
      <c r="B51" s="54" t="s">
        <v>50</v>
      </c>
      <c r="C51" s="54" t="s">
        <v>1009</v>
      </c>
      <c r="D51" s="36" t="s">
        <v>423</v>
      </c>
      <c r="E51" s="55">
        <v>1</v>
      </c>
      <c r="F51" s="56">
        <v>1</v>
      </c>
      <c r="G51" s="54"/>
      <c r="H51" s="54"/>
      <c r="I51" s="54">
        <v>1</v>
      </c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</row>
  </sheetData>
  <conditionalFormatting sqref="E37">
    <cfRule type="cellIs" dxfId="19" priority="4" operator="notEqual">
      <formula>1</formula>
    </cfRule>
  </conditionalFormatting>
  <conditionalFormatting sqref="F37">
    <cfRule type="cellIs" dxfId="18" priority="3" operator="greaterThan">
      <formula>1</formula>
    </cfRule>
  </conditionalFormatting>
  <conditionalFormatting sqref="E28">
    <cfRule type="cellIs" dxfId="17" priority="2" operator="notEqual">
      <formula>1</formula>
    </cfRule>
  </conditionalFormatting>
  <conditionalFormatting sqref="F28">
    <cfRule type="cellIs" dxfId="16" priority="1" operator="greaterThan">
      <formula>1</formula>
    </cfRule>
  </conditionalFormatting>
  <conditionalFormatting sqref="E5:E27 E31:E36 E38:E46 E29">
    <cfRule type="cellIs" dxfId="15" priority="10" operator="notEqual">
      <formula>1</formula>
    </cfRule>
  </conditionalFormatting>
  <conditionalFormatting sqref="F5:F27 F31:F36 F38:F46 F29">
    <cfRule type="cellIs" dxfId="14" priority="9" operator="greaterThan">
      <formula>1</formula>
    </cfRule>
  </conditionalFormatting>
  <conditionalFormatting sqref="E4">
    <cfRule type="cellIs" dxfId="13" priority="8" operator="notEqual">
      <formula>1</formula>
    </cfRule>
  </conditionalFormatting>
  <conditionalFormatting sqref="F4">
    <cfRule type="cellIs" dxfId="12" priority="7" operator="greaterThan">
      <formula>1</formula>
    </cfRule>
  </conditionalFormatting>
  <conditionalFormatting sqref="E30">
    <cfRule type="cellIs" dxfId="11" priority="6" operator="notEqual">
      <formula>1</formula>
    </cfRule>
  </conditionalFormatting>
  <conditionalFormatting sqref="F30">
    <cfRule type="cellIs" dxfId="10" priority="5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topLeftCell="A34" workbookViewId="0">
      <selection activeCell="K48" sqref="K48"/>
    </sheetView>
  </sheetViews>
  <sheetFormatPr defaultRowHeight="14.5" x14ac:dyDescent="0.35"/>
  <cols>
    <col min="3" max="3" width="40.453125" bestFit="1" customWidth="1"/>
    <col min="4" max="4" width="13.36328125" style="21" bestFit="1" customWidth="1"/>
  </cols>
  <sheetData>
    <row r="1" spans="1:54" x14ac:dyDescent="0.35">
      <c r="A1" s="40"/>
      <c r="B1" s="40" t="s">
        <v>176</v>
      </c>
      <c r="C1" s="41">
        <v>43850</v>
      </c>
      <c r="D1" s="40"/>
      <c r="E1" s="42" t="s">
        <v>30</v>
      </c>
      <c r="F1" s="40"/>
      <c r="G1" s="43" t="s">
        <v>214</v>
      </c>
      <c r="H1" s="43" t="s">
        <v>82</v>
      </c>
      <c r="I1" s="43" t="s">
        <v>82</v>
      </c>
      <c r="J1" s="43" t="s">
        <v>82</v>
      </c>
      <c r="K1" s="43" t="s">
        <v>295</v>
      </c>
      <c r="L1" s="43" t="s">
        <v>216</v>
      </c>
      <c r="M1" s="43" t="s">
        <v>296</v>
      </c>
      <c r="N1" s="43" t="s">
        <v>217</v>
      </c>
      <c r="O1" s="43" t="s">
        <v>297</v>
      </c>
      <c r="P1" s="43" t="s">
        <v>298</v>
      </c>
      <c r="Q1" s="43" t="s">
        <v>298</v>
      </c>
      <c r="R1" s="43" t="s">
        <v>299</v>
      </c>
      <c r="S1" s="43" t="s">
        <v>295</v>
      </c>
      <c r="T1" s="43" t="s">
        <v>300</v>
      </c>
      <c r="U1" s="43" t="s">
        <v>218</v>
      </c>
      <c r="V1" s="43" t="s">
        <v>296</v>
      </c>
      <c r="W1" s="43" t="s">
        <v>298</v>
      </c>
      <c r="X1" s="43" t="s">
        <v>301</v>
      </c>
      <c r="Y1" s="43" t="s">
        <v>302</v>
      </c>
      <c r="Z1" s="43" t="s">
        <v>219</v>
      </c>
      <c r="AA1" s="43" t="s">
        <v>303</v>
      </c>
      <c r="AB1" s="43" t="s">
        <v>82</v>
      </c>
      <c r="AC1" s="43" t="s">
        <v>82</v>
      </c>
      <c r="AD1" s="43" t="s">
        <v>82</v>
      </c>
      <c r="AE1" s="31" t="s">
        <v>306</v>
      </c>
      <c r="AF1" s="44"/>
      <c r="AG1" s="44"/>
      <c r="AH1" s="44"/>
    </row>
    <row r="2" spans="1:54" x14ac:dyDescent="0.35">
      <c r="A2" s="45"/>
      <c r="B2" s="46"/>
      <c r="C2" s="46"/>
      <c r="D2" s="46"/>
      <c r="E2" s="47" t="s">
        <v>220</v>
      </c>
      <c r="F2" s="47"/>
      <c r="G2" s="43" t="s">
        <v>180</v>
      </c>
      <c r="H2" s="43" t="s">
        <v>221</v>
      </c>
      <c r="I2" s="43" t="s">
        <v>1004</v>
      </c>
      <c r="J2" s="43" t="s">
        <v>222</v>
      </c>
      <c r="K2" s="43" t="s">
        <v>223</v>
      </c>
      <c r="L2" s="43" t="s">
        <v>224</v>
      </c>
      <c r="M2" s="43" t="s">
        <v>225</v>
      </c>
      <c r="N2" s="43" t="s">
        <v>226</v>
      </c>
      <c r="O2" s="43" t="s">
        <v>227</v>
      </c>
      <c r="P2" s="43" t="s">
        <v>304</v>
      </c>
      <c r="Q2" s="43" t="s">
        <v>228</v>
      </c>
      <c r="R2" s="43" t="s">
        <v>229</v>
      </c>
      <c r="S2" s="43" t="s">
        <v>230</v>
      </c>
      <c r="T2" s="43" t="s">
        <v>231</v>
      </c>
      <c r="U2" s="43" t="s">
        <v>232</v>
      </c>
      <c r="V2" s="43" t="s">
        <v>233</v>
      </c>
      <c r="W2" s="43" t="s">
        <v>262</v>
      </c>
      <c r="X2" s="43" t="s">
        <v>238</v>
      </c>
      <c r="Y2" s="43" t="s">
        <v>234</v>
      </c>
      <c r="Z2" s="43" t="s">
        <v>235</v>
      </c>
      <c r="AA2" s="43" t="s">
        <v>236</v>
      </c>
      <c r="AB2" s="43" t="s">
        <v>181</v>
      </c>
      <c r="AC2" s="43" t="s">
        <v>237</v>
      </c>
      <c r="AD2" s="43" t="s">
        <v>238</v>
      </c>
      <c r="AE2" s="43" t="s">
        <v>305</v>
      </c>
      <c r="AF2" s="44"/>
      <c r="AG2" s="44"/>
      <c r="AH2" s="44"/>
    </row>
    <row r="3" spans="1:54" x14ac:dyDescent="0.35">
      <c r="A3" s="48" t="s">
        <v>177</v>
      </c>
      <c r="B3" s="49" t="s">
        <v>178</v>
      </c>
      <c r="C3" s="49" t="s">
        <v>179</v>
      </c>
      <c r="D3" s="50" t="s">
        <v>202</v>
      </c>
      <c r="E3" s="51">
        <v>48</v>
      </c>
      <c r="F3" s="50" t="s">
        <v>239</v>
      </c>
      <c r="G3" s="52">
        <v>14.89</v>
      </c>
      <c r="H3" s="52">
        <v>2.11</v>
      </c>
      <c r="I3" s="52">
        <v>2</v>
      </c>
      <c r="J3" s="52">
        <v>2</v>
      </c>
      <c r="K3" s="52">
        <v>6.7</v>
      </c>
      <c r="L3" s="52">
        <v>1.33</v>
      </c>
      <c r="M3" s="52">
        <v>1.63</v>
      </c>
      <c r="N3" s="52">
        <v>2</v>
      </c>
      <c r="O3" s="52">
        <v>0.4</v>
      </c>
      <c r="P3" s="52">
        <v>0.18</v>
      </c>
      <c r="Q3" s="52">
        <v>1.01</v>
      </c>
      <c r="R3" s="52">
        <v>0.52</v>
      </c>
      <c r="S3" s="52">
        <v>0.33</v>
      </c>
      <c r="T3" s="52">
        <v>0.34</v>
      </c>
      <c r="U3" s="52">
        <v>2.0099999999999998</v>
      </c>
      <c r="V3" s="52">
        <v>1.18</v>
      </c>
      <c r="W3" s="52">
        <v>0.27</v>
      </c>
      <c r="X3" s="52">
        <v>0.57999999999999996</v>
      </c>
      <c r="Y3" s="52">
        <v>0.76</v>
      </c>
      <c r="Z3" s="52">
        <v>2.88</v>
      </c>
      <c r="AA3" s="52">
        <v>0.9</v>
      </c>
      <c r="AB3" s="52">
        <v>1.88</v>
      </c>
      <c r="AC3" s="52">
        <v>0.1</v>
      </c>
      <c r="AD3" s="52">
        <v>1</v>
      </c>
      <c r="AE3" s="52">
        <v>1</v>
      </c>
      <c r="AF3" s="53"/>
      <c r="AG3" s="53"/>
      <c r="AH3" s="53"/>
    </row>
    <row r="4" spans="1:54" x14ac:dyDescent="0.35">
      <c r="A4" s="54">
        <v>111</v>
      </c>
      <c r="B4" s="54" t="s">
        <v>42</v>
      </c>
      <c r="C4" s="54" t="s">
        <v>1005</v>
      </c>
      <c r="D4" s="36" t="s">
        <v>66</v>
      </c>
      <c r="E4" s="64">
        <v>1</v>
      </c>
      <c r="F4" s="65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</row>
    <row r="5" spans="1:54" x14ac:dyDescent="0.35">
      <c r="A5" s="54" t="s">
        <v>33</v>
      </c>
      <c r="B5" s="54" t="s">
        <v>36</v>
      </c>
      <c r="C5" s="54" t="s">
        <v>1006</v>
      </c>
      <c r="D5" s="36" t="s">
        <v>422</v>
      </c>
      <c r="E5" s="64">
        <v>1</v>
      </c>
      <c r="F5" s="67"/>
      <c r="G5" s="66">
        <v>0</v>
      </c>
      <c r="H5" s="66">
        <v>0</v>
      </c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</row>
    <row r="6" spans="1:54" x14ac:dyDescent="0.35">
      <c r="A6" s="54" t="s">
        <v>309</v>
      </c>
      <c r="B6" s="54" t="s">
        <v>164</v>
      </c>
      <c r="C6" s="54" t="s">
        <v>1007</v>
      </c>
      <c r="D6" s="36" t="s">
        <v>165</v>
      </c>
      <c r="E6" s="64">
        <v>1</v>
      </c>
      <c r="F6" s="67"/>
      <c r="G6" s="66">
        <v>0</v>
      </c>
      <c r="H6" s="66">
        <v>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x14ac:dyDescent="0.35">
      <c r="A7" s="54" t="s">
        <v>263</v>
      </c>
      <c r="B7" s="36" t="s">
        <v>240</v>
      </c>
      <c r="C7" s="54" t="s">
        <v>1008</v>
      </c>
      <c r="D7" s="36" t="s">
        <v>424</v>
      </c>
      <c r="E7" s="64">
        <v>1</v>
      </c>
      <c r="F7" s="65"/>
      <c r="G7" s="66">
        <v>2.2737367544323206E-13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</row>
    <row r="8" spans="1:54" x14ac:dyDescent="0.35">
      <c r="A8" s="54" t="s">
        <v>78</v>
      </c>
      <c r="B8" s="54" t="s">
        <v>81</v>
      </c>
      <c r="C8" s="54" t="s">
        <v>1009</v>
      </c>
      <c r="D8" s="36" t="s">
        <v>423</v>
      </c>
      <c r="E8" s="64">
        <v>1</v>
      </c>
      <c r="F8" s="65"/>
      <c r="G8" s="66"/>
      <c r="H8" s="66"/>
      <c r="I8" s="66">
        <v>0</v>
      </c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</row>
    <row r="9" spans="1:54" x14ac:dyDescent="0.35">
      <c r="A9" s="54" t="s">
        <v>43</v>
      </c>
      <c r="B9" s="54" t="s">
        <v>45</v>
      </c>
      <c r="C9" s="54" t="s">
        <v>1010</v>
      </c>
      <c r="D9" s="36" t="s">
        <v>424</v>
      </c>
      <c r="E9" s="64">
        <v>1</v>
      </c>
      <c r="F9" s="65"/>
      <c r="G9" s="66">
        <v>0</v>
      </c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x14ac:dyDescent="0.35">
      <c r="A10" s="54" t="s">
        <v>1011</v>
      </c>
      <c r="B10" s="54" t="s">
        <v>45</v>
      </c>
      <c r="C10" s="54" t="s">
        <v>1010</v>
      </c>
      <c r="D10" s="36" t="s">
        <v>424</v>
      </c>
      <c r="E10" s="64">
        <v>1</v>
      </c>
      <c r="F10" s="65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</row>
    <row r="11" spans="1:54" x14ac:dyDescent="0.35">
      <c r="A11" s="54" t="s">
        <v>1012</v>
      </c>
      <c r="B11" s="54" t="s">
        <v>45</v>
      </c>
      <c r="C11" s="54" t="s">
        <v>1010</v>
      </c>
      <c r="D11" s="36" t="s">
        <v>424</v>
      </c>
      <c r="E11" s="64">
        <v>1</v>
      </c>
      <c r="F11" s="65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</row>
    <row r="12" spans="1:54" x14ac:dyDescent="0.35">
      <c r="A12" s="54" t="s">
        <v>110</v>
      </c>
      <c r="B12" s="54" t="s">
        <v>114</v>
      </c>
      <c r="C12" s="54" t="s">
        <v>1013</v>
      </c>
      <c r="D12" s="36" t="s">
        <v>425</v>
      </c>
      <c r="E12" s="64">
        <v>1</v>
      </c>
      <c r="F12" s="65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x14ac:dyDescent="0.35">
      <c r="A13" s="54" t="s">
        <v>98</v>
      </c>
      <c r="B13" s="54" t="s">
        <v>99</v>
      </c>
      <c r="C13" s="54" t="s">
        <v>1014</v>
      </c>
      <c r="D13" s="36" t="s">
        <v>107</v>
      </c>
      <c r="E13" s="64">
        <v>1</v>
      </c>
      <c r="F13" s="65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</row>
    <row r="14" spans="1:54" x14ac:dyDescent="0.35">
      <c r="A14" s="54" t="s">
        <v>58</v>
      </c>
      <c r="B14" s="54" t="s">
        <v>60</v>
      </c>
      <c r="C14" s="54" t="s">
        <v>1015</v>
      </c>
      <c r="D14" s="36" t="s">
        <v>418</v>
      </c>
      <c r="E14" s="64">
        <v>1</v>
      </c>
      <c r="F14" s="67"/>
      <c r="G14" s="66">
        <v>0</v>
      </c>
      <c r="H14" s="66">
        <v>0</v>
      </c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</row>
    <row r="15" spans="1:54" x14ac:dyDescent="0.35">
      <c r="A15" s="54" t="s">
        <v>83</v>
      </c>
      <c r="B15" s="54" t="s">
        <v>87</v>
      </c>
      <c r="C15" s="54" t="s">
        <v>1016</v>
      </c>
      <c r="D15" s="36" t="s">
        <v>66</v>
      </c>
      <c r="E15" s="64">
        <v>1</v>
      </c>
      <c r="F15" s="65"/>
      <c r="G15" s="66"/>
      <c r="H15" s="66"/>
      <c r="I15" s="66"/>
      <c r="J15" s="66">
        <v>0</v>
      </c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x14ac:dyDescent="0.35">
      <c r="A16" s="54" t="s">
        <v>151</v>
      </c>
      <c r="B16" s="54" t="s">
        <v>155</v>
      </c>
      <c r="C16" s="54" t="s">
        <v>1017</v>
      </c>
      <c r="D16" s="36" t="s">
        <v>156</v>
      </c>
      <c r="E16" s="64">
        <v>1</v>
      </c>
      <c r="F16" s="67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</row>
    <row r="17" spans="1:54" x14ac:dyDescent="0.35">
      <c r="A17" s="54" t="s">
        <v>126</v>
      </c>
      <c r="B17" s="54" t="s">
        <v>130</v>
      </c>
      <c r="C17" s="54" t="s">
        <v>1018</v>
      </c>
      <c r="D17" s="36">
        <v>7225</v>
      </c>
      <c r="E17" s="64">
        <v>1</v>
      </c>
      <c r="F17" s="67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</row>
    <row r="18" spans="1:54" x14ac:dyDescent="0.35">
      <c r="A18" s="54" t="s">
        <v>38</v>
      </c>
      <c r="B18" s="54" t="s">
        <v>40</v>
      </c>
      <c r="C18" s="54" t="s">
        <v>1016</v>
      </c>
      <c r="D18" s="36" t="s">
        <v>66</v>
      </c>
      <c r="E18" s="64">
        <v>1</v>
      </c>
      <c r="F18" s="65"/>
      <c r="G18" s="66"/>
      <c r="H18" s="66"/>
      <c r="I18" s="66"/>
      <c r="J18" s="66">
        <v>0</v>
      </c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x14ac:dyDescent="0.35">
      <c r="A19" s="54" t="s">
        <v>264</v>
      </c>
      <c r="B19" s="36" t="s">
        <v>241</v>
      </c>
      <c r="C19" s="54" t="s">
        <v>1019</v>
      </c>
      <c r="D19" s="36" t="s">
        <v>324</v>
      </c>
      <c r="E19" s="64">
        <v>1</v>
      </c>
      <c r="F19" s="67"/>
      <c r="G19" s="66"/>
      <c r="H19" s="66"/>
      <c r="I19" s="66"/>
      <c r="J19" s="66"/>
      <c r="K19" s="66"/>
      <c r="L19" s="66"/>
      <c r="M19" s="66"/>
      <c r="N19" s="66"/>
      <c r="O19" s="68"/>
      <c r="P19" s="68"/>
      <c r="Q19" s="68"/>
      <c r="R19" s="68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</row>
    <row r="20" spans="1:54" x14ac:dyDescent="0.35">
      <c r="A20" s="54">
        <v>560</v>
      </c>
      <c r="B20" s="54" t="s">
        <v>150</v>
      </c>
      <c r="C20" s="54" t="s">
        <v>1020</v>
      </c>
      <c r="D20" s="36">
        <v>7228</v>
      </c>
      <c r="E20" s="64">
        <v>1</v>
      </c>
      <c r="F20" s="67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9"/>
      <c r="U20" s="69"/>
      <c r="V20" s="69"/>
      <c r="W20" s="69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</row>
    <row r="21" spans="1:54" x14ac:dyDescent="0.35">
      <c r="A21" s="54" t="s">
        <v>73</v>
      </c>
      <c r="B21" s="54" t="s">
        <v>74</v>
      </c>
      <c r="C21" s="54" t="s">
        <v>1005</v>
      </c>
      <c r="D21" s="36" t="s">
        <v>66</v>
      </c>
      <c r="E21" s="64">
        <v>1</v>
      </c>
      <c r="F21" s="65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x14ac:dyDescent="0.35">
      <c r="A22" s="54" t="s">
        <v>136</v>
      </c>
      <c r="B22" s="54" t="s">
        <v>138</v>
      </c>
      <c r="C22" s="54" t="s">
        <v>1021</v>
      </c>
      <c r="D22" s="36">
        <v>7226</v>
      </c>
      <c r="E22" s="64">
        <v>1</v>
      </c>
      <c r="F22" s="65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</row>
    <row r="23" spans="1:54" x14ac:dyDescent="0.35">
      <c r="A23" s="54" t="s">
        <v>68</v>
      </c>
      <c r="B23" s="54" t="s">
        <v>69</v>
      </c>
      <c r="C23" s="54" t="s">
        <v>1022</v>
      </c>
      <c r="D23" s="36" t="s">
        <v>66</v>
      </c>
      <c r="E23" s="64">
        <v>1</v>
      </c>
      <c r="F23" s="65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</row>
    <row r="24" spans="1:54" x14ac:dyDescent="0.35">
      <c r="A24" s="54" t="s">
        <v>117</v>
      </c>
      <c r="B24" s="54" t="s">
        <v>119</v>
      </c>
      <c r="C24" s="54" t="s">
        <v>1013</v>
      </c>
      <c r="D24" s="36" t="s">
        <v>425</v>
      </c>
      <c r="E24" s="64">
        <v>1</v>
      </c>
      <c r="F24" s="65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x14ac:dyDescent="0.35">
      <c r="A25" s="54" t="s">
        <v>123</v>
      </c>
      <c r="B25" s="54" t="s">
        <v>125</v>
      </c>
      <c r="C25" s="54" t="s">
        <v>1013</v>
      </c>
      <c r="D25" s="36" t="s">
        <v>425</v>
      </c>
      <c r="E25" s="64">
        <v>1</v>
      </c>
      <c r="F25" s="65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</row>
    <row r="26" spans="1:54" x14ac:dyDescent="0.35">
      <c r="A26" s="54" t="s">
        <v>144</v>
      </c>
      <c r="B26" s="54" t="s">
        <v>149</v>
      </c>
      <c r="C26" s="54" t="s">
        <v>1023</v>
      </c>
      <c r="D26" s="36" t="s">
        <v>324</v>
      </c>
      <c r="E26" s="64">
        <v>1</v>
      </c>
      <c r="F26" s="67"/>
      <c r="G26" s="66"/>
      <c r="H26" s="66"/>
      <c r="I26" s="66"/>
      <c r="J26" s="66"/>
      <c r="K26" s="66"/>
      <c r="L26" s="66"/>
      <c r="M26" s="66"/>
      <c r="N26" s="66"/>
      <c r="O26" s="70"/>
      <c r="P26" s="70"/>
      <c r="Q26" s="70"/>
      <c r="R26" s="70"/>
      <c r="S26" s="70"/>
      <c r="T26" s="70"/>
      <c r="U26" s="70"/>
      <c r="V26" s="70"/>
      <c r="W26" s="70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</row>
    <row r="27" spans="1:54" x14ac:dyDescent="0.35">
      <c r="A27" s="54" t="s">
        <v>70</v>
      </c>
      <c r="B27" s="54" t="s">
        <v>72</v>
      </c>
      <c r="C27" s="54" t="s">
        <v>1010</v>
      </c>
      <c r="D27" s="36" t="s">
        <v>424</v>
      </c>
      <c r="E27" s="64">
        <v>1</v>
      </c>
      <c r="F27" s="65"/>
      <c r="G27" s="66">
        <v>0</v>
      </c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x14ac:dyDescent="0.35">
      <c r="A28" s="54" t="s">
        <v>141</v>
      </c>
      <c r="B28" s="54" t="s">
        <v>143</v>
      </c>
      <c r="C28" s="54" t="s">
        <v>1024</v>
      </c>
      <c r="D28" s="36" t="s">
        <v>107</v>
      </c>
      <c r="E28" s="64">
        <v>1</v>
      </c>
      <c r="F28" s="65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</row>
    <row r="29" spans="1:54" x14ac:dyDescent="0.35">
      <c r="A29" s="54" t="s">
        <v>317</v>
      </c>
      <c r="B29" s="36" t="s">
        <v>182</v>
      </c>
      <c r="C29" s="54" t="s">
        <v>1025</v>
      </c>
      <c r="D29" s="36" t="s">
        <v>426</v>
      </c>
      <c r="E29" s="64">
        <v>1</v>
      </c>
      <c r="F29" s="67"/>
      <c r="G29" s="66"/>
      <c r="H29" s="66"/>
      <c r="I29" s="66"/>
      <c r="J29" s="66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66"/>
      <c r="AE29" s="66"/>
      <c r="AF29" s="66"/>
      <c r="AG29" s="66"/>
      <c r="AH29" s="66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</row>
    <row r="30" spans="1:54" x14ac:dyDescent="0.35">
      <c r="A30" s="54" t="s">
        <v>265</v>
      </c>
      <c r="B30" s="36" t="s">
        <v>182</v>
      </c>
      <c r="C30" s="54" t="s">
        <v>1025</v>
      </c>
      <c r="D30" s="36" t="s">
        <v>426</v>
      </c>
      <c r="E30" s="64">
        <v>1</v>
      </c>
      <c r="F30" s="67"/>
      <c r="G30" s="66"/>
      <c r="H30" s="66"/>
      <c r="I30" s="66"/>
      <c r="J30" s="66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66"/>
      <c r="AE30" s="66"/>
      <c r="AF30" s="66"/>
      <c r="AG30" s="66"/>
      <c r="AH30" s="66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x14ac:dyDescent="0.35">
      <c r="A31" s="54" t="s">
        <v>315</v>
      </c>
      <c r="B31" s="54" t="s">
        <v>106</v>
      </c>
      <c r="C31" s="54" t="s">
        <v>1026</v>
      </c>
      <c r="D31" s="36" t="s">
        <v>419</v>
      </c>
      <c r="E31" s="64">
        <v>1</v>
      </c>
      <c r="F31" s="65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72"/>
      <c r="Z31" s="72"/>
      <c r="AA31" s="72"/>
      <c r="AB31" s="72"/>
      <c r="AC31" s="72"/>
      <c r="AD31" s="72"/>
      <c r="AE31" s="72"/>
      <c r="AF31" s="66"/>
      <c r="AG31" s="66"/>
      <c r="AH31" s="66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</row>
    <row r="32" spans="1:54" x14ac:dyDescent="0.35">
      <c r="A32" s="54" t="s">
        <v>102</v>
      </c>
      <c r="B32" s="54" t="s">
        <v>106</v>
      </c>
      <c r="C32" s="54" t="s">
        <v>1026</v>
      </c>
      <c r="D32" s="36" t="s">
        <v>419</v>
      </c>
      <c r="E32" s="64">
        <v>1</v>
      </c>
      <c r="F32" s="65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72"/>
      <c r="Z32" s="72"/>
      <c r="AA32" s="72"/>
      <c r="AB32" s="72"/>
      <c r="AC32" s="72"/>
      <c r="AD32" s="72"/>
      <c r="AE32" s="72"/>
      <c r="AF32" s="66"/>
      <c r="AG32" s="66"/>
      <c r="AH32" s="66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</row>
    <row r="33" spans="1:54" x14ac:dyDescent="0.35">
      <c r="A33" s="54">
        <v>111</v>
      </c>
      <c r="B33" s="36" t="s">
        <v>183</v>
      </c>
      <c r="C33" s="54" t="s">
        <v>1027</v>
      </c>
      <c r="D33" s="36" t="s">
        <v>420</v>
      </c>
      <c r="E33" s="64">
        <v>1</v>
      </c>
      <c r="F33" s="67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x14ac:dyDescent="0.35">
      <c r="A34" s="54" t="s">
        <v>1028</v>
      </c>
      <c r="B34" s="36" t="s">
        <v>183</v>
      </c>
      <c r="C34" s="54" t="s">
        <v>1027</v>
      </c>
      <c r="D34" s="36" t="s">
        <v>420</v>
      </c>
      <c r="E34" s="64">
        <v>1</v>
      </c>
      <c r="F34" s="67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</row>
    <row r="35" spans="1:54" x14ac:dyDescent="0.35">
      <c r="A35" s="54" t="s">
        <v>310</v>
      </c>
      <c r="B35" s="36" t="s">
        <v>185</v>
      </c>
      <c r="C35" s="54" t="s">
        <v>1005</v>
      </c>
      <c r="D35" s="36" t="s">
        <v>66</v>
      </c>
      <c r="E35" s="64">
        <v>1</v>
      </c>
      <c r="F35" s="65"/>
      <c r="G35" s="66">
        <v>0</v>
      </c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</row>
    <row r="36" spans="1:54" x14ac:dyDescent="0.35">
      <c r="A36" s="54" t="s">
        <v>120</v>
      </c>
      <c r="B36" s="54" t="s">
        <v>122</v>
      </c>
      <c r="C36" s="54" t="s">
        <v>1029</v>
      </c>
      <c r="D36" s="36" t="s">
        <v>418</v>
      </c>
      <c r="E36" s="64">
        <v>1</v>
      </c>
      <c r="F36" s="65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x14ac:dyDescent="0.35">
      <c r="A37" s="54">
        <v>111</v>
      </c>
      <c r="B37" s="36" t="s">
        <v>184</v>
      </c>
      <c r="C37" s="54" t="s">
        <v>1030</v>
      </c>
      <c r="D37" s="36" t="s">
        <v>51</v>
      </c>
      <c r="E37" s="64">
        <v>1</v>
      </c>
      <c r="F37" s="65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</row>
    <row r="38" spans="1:54" x14ac:dyDescent="0.35">
      <c r="A38" s="54">
        <v>369</v>
      </c>
      <c r="B38" s="36" t="s">
        <v>242</v>
      </c>
      <c r="C38" s="54" t="s">
        <v>1031</v>
      </c>
      <c r="D38" s="36" t="s">
        <v>417</v>
      </c>
      <c r="E38" s="64">
        <v>1</v>
      </c>
      <c r="F38" s="65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</row>
    <row r="39" spans="1:54" x14ac:dyDescent="0.35">
      <c r="A39" s="54">
        <v>451</v>
      </c>
      <c r="B39" s="54" t="s">
        <v>162</v>
      </c>
      <c r="C39" s="54" t="s">
        <v>1033</v>
      </c>
      <c r="D39" s="36" t="s">
        <v>131</v>
      </c>
      <c r="E39" s="64">
        <v>1</v>
      </c>
      <c r="F39" s="67"/>
      <c r="G39" s="66"/>
      <c r="H39" s="66"/>
      <c r="I39" s="66"/>
      <c r="J39" s="66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x14ac:dyDescent="0.35">
      <c r="A40" s="54">
        <v>467</v>
      </c>
      <c r="B40" s="54" t="s">
        <v>162</v>
      </c>
      <c r="C40" s="54" t="s">
        <v>1033</v>
      </c>
      <c r="D40" s="36" t="s">
        <v>131</v>
      </c>
      <c r="E40" s="64">
        <v>1</v>
      </c>
      <c r="F40" s="67"/>
      <c r="G40" s="66"/>
      <c r="H40" s="66"/>
      <c r="I40" s="66"/>
      <c r="J40" s="66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</row>
    <row r="41" spans="1:54" x14ac:dyDescent="0.35">
      <c r="A41" s="54">
        <v>454</v>
      </c>
      <c r="B41" s="54" t="s">
        <v>162</v>
      </c>
      <c r="C41" s="54" t="s">
        <v>1033</v>
      </c>
      <c r="D41" s="36" t="s">
        <v>131</v>
      </c>
      <c r="E41" s="64">
        <v>1</v>
      </c>
      <c r="F41" s="67"/>
      <c r="G41" s="66"/>
      <c r="H41" s="66"/>
      <c r="I41" s="66"/>
      <c r="J41" s="66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</row>
    <row r="42" spans="1:54" x14ac:dyDescent="0.35">
      <c r="A42" s="54">
        <v>630</v>
      </c>
      <c r="B42" s="54" t="s">
        <v>162</v>
      </c>
      <c r="C42" s="54" t="s">
        <v>1033</v>
      </c>
      <c r="D42" s="36" t="s">
        <v>131</v>
      </c>
      <c r="E42" s="64">
        <v>1</v>
      </c>
      <c r="F42" s="67"/>
      <c r="G42" s="66"/>
      <c r="H42" s="66"/>
      <c r="I42" s="66"/>
      <c r="J42" s="66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x14ac:dyDescent="0.35">
      <c r="A43" s="54" t="s">
        <v>95</v>
      </c>
      <c r="B43" s="54" t="s">
        <v>97</v>
      </c>
      <c r="C43" s="54" t="s">
        <v>1034</v>
      </c>
      <c r="D43" s="36" t="s">
        <v>61</v>
      </c>
      <c r="E43" s="64">
        <v>1</v>
      </c>
      <c r="F43" s="67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74"/>
      <c r="Y43" s="74"/>
      <c r="Z43" s="74"/>
      <c r="AA43" s="66"/>
      <c r="AB43" s="66"/>
      <c r="AC43" s="66"/>
      <c r="AD43" s="66"/>
      <c r="AE43" s="66"/>
      <c r="AF43" s="66"/>
      <c r="AG43" s="66"/>
      <c r="AH43" s="66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</row>
    <row r="44" spans="1:54" x14ac:dyDescent="0.35">
      <c r="A44" s="54" t="s">
        <v>109</v>
      </c>
      <c r="B44" s="54" t="s">
        <v>97</v>
      </c>
      <c r="C44" s="54" t="s">
        <v>1034</v>
      </c>
      <c r="D44" s="36" t="s">
        <v>61</v>
      </c>
      <c r="E44" s="64">
        <v>1</v>
      </c>
      <c r="F44" s="67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74"/>
      <c r="Y44" s="74"/>
      <c r="Z44" s="74"/>
      <c r="AA44" s="66"/>
      <c r="AB44" s="66"/>
      <c r="AC44" s="66"/>
      <c r="AD44" s="66"/>
      <c r="AE44" s="66"/>
      <c r="AF44" s="66"/>
      <c r="AG44" s="66"/>
      <c r="AH44" s="66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</row>
    <row r="45" spans="1:54" x14ac:dyDescent="0.35">
      <c r="A45" s="54" t="s">
        <v>63</v>
      </c>
      <c r="B45" s="54" t="s">
        <v>65</v>
      </c>
      <c r="C45" s="54" t="s">
        <v>1005</v>
      </c>
      <c r="D45" s="36" t="s">
        <v>66</v>
      </c>
      <c r="E45" s="64">
        <v>1</v>
      </c>
      <c r="F45" s="65"/>
      <c r="G45" s="66">
        <v>0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x14ac:dyDescent="0.35">
      <c r="A46" s="54" t="s">
        <v>75</v>
      </c>
      <c r="B46" s="54" t="s">
        <v>77</v>
      </c>
      <c r="C46" s="54" t="s">
        <v>1010</v>
      </c>
      <c r="D46" s="36" t="s">
        <v>424</v>
      </c>
      <c r="E46" s="64">
        <v>1</v>
      </c>
      <c r="F46" s="65"/>
      <c r="G46" s="66">
        <v>0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</row>
    <row r="47" spans="1:54" x14ac:dyDescent="0.35">
      <c r="A47" s="54" t="s">
        <v>53</v>
      </c>
      <c r="B47" s="54" t="s">
        <v>55</v>
      </c>
      <c r="C47" s="54" t="s">
        <v>1035</v>
      </c>
      <c r="D47" s="36" t="s">
        <v>421</v>
      </c>
      <c r="E47" s="64">
        <v>1</v>
      </c>
      <c r="F47" s="67"/>
      <c r="G47" s="66">
        <v>-2.8421709430404007E-14</v>
      </c>
      <c r="H47" s="66">
        <v>-5.6843418860808015E-14</v>
      </c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</row>
    <row r="48" spans="1:54" x14ac:dyDescent="0.35">
      <c r="A48" s="54" t="s">
        <v>88</v>
      </c>
      <c r="B48" s="54" t="s">
        <v>92</v>
      </c>
      <c r="C48" s="54" t="s">
        <v>1036</v>
      </c>
      <c r="D48" s="36" t="s">
        <v>93</v>
      </c>
      <c r="E48" s="64">
        <v>1</v>
      </c>
      <c r="F48" s="67"/>
      <c r="G48" s="66"/>
      <c r="H48" s="66"/>
      <c r="I48" s="66"/>
      <c r="J48" s="66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66"/>
      <c r="AE48" s="66"/>
      <c r="AF48" s="66"/>
      <c r="AG48" s="66"/>
      <c r="AH48" s="66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x14ac:dyDescent="0.35">
      <c r="A49" s="54" t="s">
        <v>158</v>
      </c>
      <c r="B49" s="54" t="s">
        <v>92</v>
      </c>
      <c r="C49" s="54" t="s">
        <v>1036</v>
      </c>
      <c r="D49" s="36" t="s">
        <v>93</v>
      </c>
      <c r="E49" s="64">
        <v>1</v>
      </c>
      <c r="F49" s="67"/>
      <c r="G49" s="66"/>
      <c r="H49" s="66"/>
      <c r="I49" s="66"/>
      <c r="J49" s="66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66"/>
      <c r="AE49" s="66"/>
      <c r="AF49" s="66"/>
      <c r="AG49" s="66"/>
      <c r="AH49" s="66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</row>
    <row r="50" spans="1:54" x14ac:dyDescent="0.35">
      <c r="A50" s="54" t="s">
        <v>133</v>
      </c>
      <c r="B50" s="54" t="s">
        <v>135</v>
      </c>
      <c r="C50" s="54" t="s">
        <v>1037</v>
      </c>
      <c r="D50" s="36">
        <v>7227</v>
      </c>
      <c r="E50" s="64">
        <v>1</v>
      </c>
      <c r="F50" s="65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</row>
    <row r="51" spans="1:54" x14ac:dyDescent="0.35">
      <c r="A51" s="54" t="s">
        <v>48</v>
      </c>
      <c r="B51" s="54" t="s">
        <v>50</v>
      </c>
      <c r="C51" s="54" t="s">
        <v>1009</v>
      </c>
      <c r="D51" s="36" t="s">
        <v>423</v>
      </c>
      <c r="E51" s="64">
        <v>1</v>
      </c>
      <c r="F51" s="65"/>
      <c r="G51" s="66"/>
      <c r="H51" s="66"/>
      <c r="I51" s="66">
        <v>0</v>
      </c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x14ac:dyDescent="0.35"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</row>
    <row r="53" spans="1:54" x14ac:dyDescent="0.35"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</row>
    <row r="54" spans="1:54" x14ac:dyDescent="0.35"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x14ac:dyDescent="0.35"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</row>
    <row r="56" spans="1:54" x14ac:dyDescent="0.35"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</row>
    <row r="57" spans="1:54" x14ac:dyDescent="0.35"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x14ac:dyDescent="0.35"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</row>
    <row r="59" spans="1:54" x14ac:dyDescent="0.35"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</row>
    <row r="60" spans="1:54" x14ac:dyDescent="0.35"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x14ac:dyDescent="0.35"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</row>
    <row r="62" spans="1:54" x14ac:dyDescent="0.35"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</row>
    <row r="63" spans="1:54" x14ac:dyDescent="0.35"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</row>
    <row r="64" spans="1:54" x14ac:dyDescent="0.35"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</row>
    <row r="65" spans="5:54" x14ac:dyDescent="0.35"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</row>
    <row r="66" spans="5:54" x14ac:dyDescent="0.35"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</row>
    <row r="67" spans="5:54" x14ac:dyDescent="0.35"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</row>
    <row r="68" spans="5:54" x14ac:dyDescent="0.35"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5:54" x14ac:dyDescent="0.35"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</row>
    <row r="70" spans="5:54" x14ac:dyDescent="0.35"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</row>
    <row r="71" spans="5:54" x14ac:dyDescent="0.35"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</row>
    <row r="72" spans="5:54" x14ac:dyDescent="0.35"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</row>
    <row r="73" spans="5:54" x14ac:dyDescent="0.35"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</row>
    <row r="74" spans="5:54" x14ac:dyDescent="0.35"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</row>
    <row r="75" spans="5:54" x14ac:dyDescent="0.35"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</row>
    <row r="76" spans="5:54" x14ac:dyDescent="0.35"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</row>
    <row r="77" spans="5:54" x14ac:dyDescent="0.35"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</row>
    <row r="78" spans="5:54" x14ac:dyDescent="0.35"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</row>
    <row r="79" spans="5:54" x14ac:dyDescent="0.35"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</row>
    <row r="80" spans="5:54" x14ac:dyDescent="0.35"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</row>
    <row r="81" spans="5:54" x14ac:dyDescent="0.35"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</row>
    <row r="82" spans="5:54" x14ac:dyDescent="0.35"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</row>
    <row r="83" spans="5:54" x14ac:dyDescent="0.35"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</row>
    <row r="84" spans="5:54" x14ac:dyDescent="0.35"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</row>
    <row r="85" spans="5:54" x14ac:dyDescent="0.35"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</row>
    <row r="86" spans="5:54" x14ac:dyDescent="0.35"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</row>
    <row r="87" spans="5:54" x14ac:dyDescent="0.35"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</row>
    <row r="88" spans="5:54" x14ac:dyDescent="0.35"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</row>
    <row r="89" spans="5:54" x14ac:dyDescent="0.35"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</row>
    <row r="90" spans="5:54" x14ac:dyDescent="0.35"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</row>
    <row r="91" spans="5:54" x14ac:dyDescent="0.35"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</row>
    <row r="92" spans="5:54" x14ac:dyDescent="0.35"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</row>
    <row r="93" spans="5:54" x14ac:dyDescent="0.35"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</row>
    <row r="94" spans="5:54" x14ac:dyDescent="0.35"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</row>
    <row r="95" spans="5:54" x14ac:dyDescent="0.35"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</row>
    <row r="96" spans="5:54" x14ac:dyDescent="0.35"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</row>
    <row r="97" spans="5:54" x14ac:dyDescent="0.35"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</row>
    <row r="98" spans="5:54" x14ac:dyDescent="0.35"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</row>
    <row r="99" spans="5:54" x14ac:dyDescent="0.35"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</row>
    <row r="100" spans="5:54" x14ac:dyDescent="0.35"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</row>
    <row r="101" spans="5:54" x14ac:dyDescent="0.35"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</row>
    <row r="102" spans="5:54" x14ac:dyDescent="0.35"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</row>
    <row r="103" spans="5:54" x14ac:dyDescent="0.35"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</row>
    <row r="104" spans="5:54" x14ac:dyDescent="0.35"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</row>
    <row r="105" spans="5:54" x14ac:dyDescent="0.35"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</row>
    <row r="106" spans="5:54" x14ac:dyDescent="0.35"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</row>
    <row r="107" spans="5:54" x14ac:dyDescent="0.35"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</row>
    <row r="108" spans="5:54" x14ac:dyDescent="0.35"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</row>
    <row r="109" spans="5:54" x14ac:dyDescent="0.35"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</row>
    <row r="110" spans="5:54" x14ac:dyDescent="0.35"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</row>
    <row r="111" spans="5:54" x14ac:dyDescent="0.35"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</row>
    <row r="112" spans="5:54" x14ac:dyDescent="0.35"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</row>
    <row r="113" spans="5:54" x14ac:dyDescent="0.35"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</row>
    <row r="114" spans="5:54" x14ac:dyDescent="0.35"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</row>
    <row r="115" spans="5:54" x14ac:dyDescent="0.35"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</row>
    <row r="116" spans="5:54" x14ac:dyDescent="0.35"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</row>
    <row r="117" spans="5:54" x14ac:dyDescent="0.35"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</row>
    <row r="118" spans="5:54" x14ac:dyDescent="0.35"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</row>
    <row r="119" spans="5:54" x14ac:dyDescent="0.35"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</row>
    <row r="120" spans="5:54" x14ac:dyDescent="0.35"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</row>
    <row r="121" spans="5:54" x14ac:dyDescent="0.35"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</row>
    <row r="122" spans="5:54" x14ac:dyDescent="0.35"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</row>
    <row r="123" spans="5:54" x14ac:dyDescent="0.35"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</row>
    <row r="124" spans="5:54" x14ac:dyDescent="0.35"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</row>
    <row r="125" spans="5:54" x14ac:dyDescent="0.35"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</row>
    <row r="126" spans="5:54" x14ac:dyDescent="0.35"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</row>
    <row r="127" spans="5:54" x14ac:dyDescent="0.35"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</row>
    <row r="128" spans="5:54" x14ac:dyDescent="0.35"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</row>
    <row r="129" spans="5:54" x14ac:dyDescent="0.35"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</row>
    <row r="130" spans="5:54" x14ac:dyDescent="0.35"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</row>
    <row r="131" spans="5:54" x14ac:dyDescent="0.35"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</row>
    <row r="132" spans="5:54" x14ac:dyDescent="0.35"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</row>
    <row r="133" spans="5:54" x14ac:dyDescent="0.35"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</row>
    <row r="134" spans="5:54" x14ac:dyDescent="0.35"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</row>
    <row r="135" spans="5:54" x14ac:dyDescent="0.35"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</row>
    <row r="136" spans="5:54" x14ac:dyDescent="0.35"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</row>
    <row r="137" spans="5:54" x14ac:dyDescent="0.35"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</row>
    <row r="138" spans="5:54" x14ac:dyDescent="0.35"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</row>
    <row r="139" spans="5:54" x14ac:dyDescent="0.35"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</row>
    <row r="140" spans="5:54" x14ac:dyDescent="0.35"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</row>
    <row r="141" spans="5:54" x14ac:dyDescent="0.35"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</row>
    <row r="142" spans="5:54" x14ac:dyDescent="0.35"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</row>
    <row r="143" spans="5:54" x14ac:dyDescent="0.35"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</row>
    <row r="144" spans="5:54" x14ac:dyDescent="0.35"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</row>
    <row r="145" spans="5:54" x14ac:dyDescent="0.35"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</row>
    <row r="146" spans="5:54" x14ac:dyDescent="0.35"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</row>
    <row r="147" spans="5:54" x14ac:dyDescent="0.35"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</row>
    <row r="148" spans="5:54" x14ac:dyDescent="0.35"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</row>
    <row r="149" spans="5:54" x14ac:dyDescent="0.35"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</row>
    <row r="150" spans="5:54" x14ac:dyDescent="0.35"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</row>
    <row r="151" spans="5:54" x14ac:dyDescent="0.35"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</row>
    <row r="152" spans="5:54" x14ac:dyDescent="0.35"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</row>
    <row r="153" spans="5:54" x14ac:dyDescent="0.35"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</row>
    <row r="154" spans="5:54" x14ac:dyDescent="0.35"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</row>
    <row r="155" spans="5:54" x14ac:dyDescent="0.35"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</row>
    <row r="156" spans="5:54" x14ac:dyDescent="0.35"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</row>
    <row r="157" spans="5:54" x14ac:dyDescent="0.35"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</row>
    <row r="158" spans="5:54" x14ac:dyDescent="0.35"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</row>
    <row r="159" spans="5:54" x14ac:dyDescent="0.35"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</row>
    <row r="160" spans="5:54" x14ac:dyDescent="0.35"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</row>
    <row r="161" spans="5:54" x14ac:dyDescent="0.35"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</row>
    <row r="162" spans="5:54" x14ac:dyDescent="0.35"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</row>
    <row r="163" spans="5:54" x14ac:dyDescent="0.35"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</row>
    <row r="164" spans="5:54" x14ac:dyDescent="0.35"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</row>
    <row r="165" spans="5:54" x14ac:dyDescent="0.35"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</row>
    <row r="166" spans="5:54" x14ac:dyDescent="0.35"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</row>
    <row r="167" spans="5:54" x14ac:dyDescent="0.35"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</row>
    <row r="168" spans="5:54" x14ac:dyDescent="0.35"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</row>
    <row r="169" spans="5:54" x14ac:dyDescent="0.35"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</row>
    <row r="170" spans="5:54" x14ac:dyDescent="0.35"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</row>
    <row r="171" spans="5:54" x14ac:dyDescent="0.35"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</row>
    <row r="172" spans="5:54" x14ac:dyDescent="0.35"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</row>
    <row r="173" spans="5:54" x14ac:dyDescent="0.35"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</row>
    <row r="174" spans="5:54" x14ac:dyDescent="0.35"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</row>
    <row r="175" spans="5:54" x14ac:dyDescent="0.35"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</row>
    <row r="176" spans="5:54" x14ac:dyDescent="0.35"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</row>
    <row r="177" spans="5:54" x14ac:dyDescent="0.35"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</row>
    <row r="178" spans="5:54" x14ac:dyDescent="0.35"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</row>
    <row r="179" spans="5:54" x14ac:dyDescent="0.35"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</row>
    <row r="180" spans="5:54" x14ac:dyDescent="0.35"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</row>
    <row r="181" spans="5:54" x14ac:dyDescent="0.35"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</row>
    <row r="182" spans="5:54" x14ac:dyDescent="0.35"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</row>
    <row r="183" spans="5:54" x14ac:dyDescent="0.35"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</row>
    <row r="184" spans="5:54" x14ac:dyDescent="0.35"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</row>
    <row r="185" spans="5:54" x14ac:dyDescent="0.35"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</row>
    <row r="186" spans="5:54" x14ac:dyDescent="0.35"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</row>
    <row r="187" spans="5:54" x14ac:dyDescent="0.35"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</row>
    <row r="188" spans="5:54" x14ac:dyDescent="0.35"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</row>
    <row r="189" spans="5:54" x14ac:dyDescent="0.35"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</row>
    <row r="190" spans="5:54" x14ac:dyDescent="0.35"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</row>
    <row r="191" spans="5:54" x14ac:dyDescent="0.35"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</row>
    <row r="192" spans="5:54" x14ac:dyDescent="0.35"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</row>
    <row r="193" spans="5:54" x14ac:dyDescent="0.35"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</row>
    <row r="194" spans="5:54" x14ac:dyDescent="0.35"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</row>
    <row r="195" spans="5:54" x14ac:dyDescent="0.35"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</row>
    <row r="196" spans="5:54" x14ac:dyDescent="0.35"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</row>
    <row r="197" spans="5:54" x14ac:dyDescent="0.35"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</row>
    <row r="198" spans="5:54" x14ac:dyDescent="0.35"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</row>
    <row r="199" spans="5:54" x14ac:dyDescent="0.35"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</row>
    <row r="200" spans="5:54" x14ac:dyDescent="0.35"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</row>
    <row r="201" spans="5:54" x14ac:dyDescent="0.35"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</row>
    <row r="202" spans="5:54" x14ac:dyDescent="0.35"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</row>
    <row r="203" spans="5:54" x14ac:dyDescent="0.35"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</row>
    <row r="204" spans="5:54" x14ac:dyDescent="0.35"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</row>
    <row r="205" spans="5:54" x14ac:dyDescent="0.35"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</row>
    <row r="206" spans="5:54" x14ac:dyDescent="0.35"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</row>
    <row r="207" spans="5:54" x14ac:dyDescent="0.35"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</row>
    <row r="208" spans="5:54" x14ac:dyDescent="0.35"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</row>
    <row r="209" spans="5:54" x14ac:dyDescent="0.35"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</row>
    <row r="210" spans="5:54" x14ac:dyDescent="0.35"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</row>
    <row r="211" spans="5:54" x14ac:dyDescent="0.35"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</row>
    <row r="212" spans="5:54" x14ac:dyDescent="0.35"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</row>
    <row r="213" spans="5:54" x14ac:dyDescent="0.35"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</row>
    <row r="214" spans="5:54" x14ac:dyDescent="0.35"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</row>
    <row r="215" spans="5:54" x14ac:dyDescent="0.35"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</row>
    <row r="216" spans="5:54" x14ac:dyDescent="0.35"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</row>
    <row r="217" spans="5:54" x14ac:dyDescent="0.35"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</row>
    <row r="218" spans="5:54" x14ac:dyDescent="0.35"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</row>
    <row r="219" spans="5:54" x14ac:dyDescent="0.35"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</row>
    <row r="220" spans="5:54" x14ac:dyDescent="0.35"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</row>
    <row r="221" spans="5:54" x14ac:dyDescent="0.35"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</row>
    <row r="222" spans="5:54" x14ac:dyDescent="0.35"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</row>
    <row r="223" spans="5:54" x14ac:dyDescent="0.35"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</row>
    <row r="224" spans="5:54" x14ac:dyDescent="0.35"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</row>
    <row r="225" spans="5:54" x14ac:dyDescent="0.35"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</row>
    <row r="226" spans="5:54" x14ac:dyDescent="0.35"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</row>
    <row r="227" spans="5:54" x14ac:dyDescent="0.35"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</row>
    <row r="228" spans="5:54" x14ac:dyDescent="0.35"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</row>
    <row r="229" spans="5:54" x14ac:dyDescent="0.35"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</row>
    <row r="230" spans="5:54" x14ac:dyDescent="0.35"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</row>
    <row r="231" spans="5:54" x14ac:dyDescent="0.35"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</row>
    <row r="232" spans="5:54" x14ac:dyDescent="0.35"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</row>
    <row r="233" spans="5:54" x14ac:dyDescent="0.35"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</row>
    <row r="234" spans="5:54" x14ac:dyDescent="0.35"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</row>
    <row r="235" spans="5:54" x14ac:dyDescent="0.35"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</row>
    <row r="236" spans="5:54" x14ac:dyDescent="0.35"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</row>
    <row r="237" spans="5:54" x14ac:dyDescent="0.35"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</row>
    <row r="238" spans="5:54" x14ac:dyDescent="0.35"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</row>
    <row r="239" spans="5:54" x14ac:dyDescent="0.35"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</row>
    <row r="240" spans="5:54" x14ac:dyDescent="0.35"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</row>
    <row r="241" spans="5:54" x14ac:dyDescent="0.35"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</row>
    <row r="242" spans="5:54" x14ac:dyDescent="0.35"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</row>
    <row r="243" spans="5:54" x14ac:dyDescent="0.35"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</row>
    <row r="244" spans="5:54" x14ac:dyDescent="0.35"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</row>
    <row r="245" spans="5:54" x14ac:dyDescent="0.35"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</row>
    <row r="246" spans="5:54" x14ac:dyDescent="0.35"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</row>
    <row r="247" spans="5:54" x14ac:dyDescent="0.35"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</row>
    <row r="248" spans="5:54" x14ac:dyDescent="0.35"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</row>
    <row r="249" spans="5:54" x14ac:dyDescent="0.35"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</row>
    <row r="250" spans="5:54" x14ac:dyDescent="0.35"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</row>
    <row r="251" spans="5:54" x14ac:dyDescent="0.35"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</row>
    <row r="252" spans="5:54" x14ac:dyDescent="0.35"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</row>
    <row r="253" spans="5:54" x14ac:dyDescent="0.35"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</row>
    <row r="254" spans="5:54" x14ac:dyDescent="0.35"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</row>
    <row r="255" spans="5:54" x14ac:dyDescent="0.35"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</row>
    <row r="256" spans="5:54" x14ac:dyDescent="0.35"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</row>
    <row r="257" spans="5:54" x14ac:dyDescent="0.35"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</row>
    <row r="258" spans="5:54" x14ac:dyDescent="0.35"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</row>
    <row r="259" spans="5:54" x14ac:dyDescent="0.35"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</row>
    <row r="260" spans="5:54" x14ac:dyDescent="0.35"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</row>
    <row r="261" spans="5:54" x14ac:dyDescent="0.35"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</row>
    <row r="262" spans="5:54" x14ac:dyDescent="0.35"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</row>
    <row r="263" spans="5:54" x14ac:dyDescent="0.35"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</row>
    <row r="264" spans="5:54" x14ac:dyDescent="0.35"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</row>
    <row r="265" spans="5:54" x14ac:dyDescent="0.35"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</row>
    <row r="266" spans="5:54" x14ac:dyDescent="0.35"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</row>
    <row r="267" spans="5:54" x14ac:dyDescent="0.35"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</row>
    <row r="268" spans="5:54" x14ac:dyDescent="0.35"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</row>
    <row r="269" spans="5:54" x14ac:dyDescent="0.35"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</row>
    <row r="270" spans="5:54" x14ac:dyDescent="0.35"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</row>
    <row r="271" spans="5:54" x14ac:dyDescent="0.35"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</row>
    <row r="272" spans="5:54" x14ac:dyDescent="0.35"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</row>
    <row r="273" spans="5:54" x14ac:dyDescent="0.35"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</row>
    <row r="274" spans="5:54" x14ac:dyDescent="0.35"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</row>
    <row r="275" spans="5:54" x14ac:dyDescent="0.35"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</row>
    <row r="276" spans="5:54" x14ac:dyDescent="0.35"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</row>
    <row r="277" spans="5:54" x14ac:dyDescent="0.35"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</row>
    <row r="278" spans="5:54" x14ac:dyDescent="0.35"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</row>
    <row r="279" spans="5:54" x14ac:dyDescent="0.35"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</row>
    <row r="280" spans="5:54" x14ac:dyDescent="0.35"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</row>
    <row r="281" spans="5:54" x14ac:dyDescent="0.35"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</row>
    <row r="282" spans="5:54" x14ac:dyDescent="0.35"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</row>
    <row r="283" spans="5:54" x14ac:dyDescent="0.35"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</row>
    <row r="284" spans="5:54" x14ac:dyDescent="0.35"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</row>
    <row r="285" spans="5:54" x14ac:dyDescent="0.35"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</row>
    <row r="286" spans="5:54" x14ac:dyDescent="0.35"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</row>
    <row r="287" spans="5:54" x14ac:dyDescent="0.35"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</row>
    <row r="288" spans="5:54" x14ac:dyDescent="0.35"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</row>
    <row r="289" spans="5:54" x14ac:dyDescent="0.35"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</row>
    <row r="290" spans="5:54" x14ac:dyDescent="0.35"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</row>
    <row r="291" spans="5:54" x14ac:dyDescent="0.35"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</row>
    <row r="292" spans="5:54" x14ac:dyDescent="0.35"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</row>
    <row r="293" spans="5:54" x14ac:dyDescent="0.35"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</row>
    <row r="294" spans="5:54" x14ac:dyDescent="0.35"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</row>
    <row r="295" spans="5:54" x14ac:dyDescent="0.35"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</row>
    <row r="296" spans="5:54" x14ac:dyDescent="0.35"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</row>
    <row r="297" spans="5:54" x14ac:dyDescent="0.35"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</row>
    <row r="298" spans="5:54" x14ac:dyDescent="0.35"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</row>
    <row r="299" spans="5:54" x14ac:dyDescent="0.35"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</row>
    <row r="300" spans="5:54" x14ac:dyDescent="0.35"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</row>
    <row r="301" spans="5:54" x14ac:dyDescent="0.35"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</row>
    <row r="302" spans="5:54" x14ac:dyDescent="0.35"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</row>
    <row r="303" spans="5:54" x14ac:dyDescent="0.35"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</row>
    <row r="304" spans="5:54" x14ac:dyDescent="0.35"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</row>
    <row r="305" spans="5:54" x14ac:dyDescent="0.35"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</row>
    <row r="306" spans="5:54" x14ac:dyDescent="0.35"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</row>
    <row r="307" spans="5:54" x14ac:dyDescent="0.35"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</row>
    <row r="308" spans="5:54" x14ac:dyDescent="0.35"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</row>
    <row r="309" spans="5:54" x14ac:dyDescent="0.35"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</row>
    <row r="310" spans="5:54" x14ac:dyDescent="0.35"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</row>
    <row r="311" spans="5:54" x14ac:dyDescent="0.35"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</row>
    <row r="312" spans="5:54" x14ac:dyDescent="0.35"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</row>
    <row r="313" spans="5:54" x14ac:dyDescent="0.35"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</row>
    <row r="314" spans="5:54" x14ac:dyDescent="0.35"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</row>
    <row r="315" spans="5:54" x14ac:dyDescent="0.35"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</row>
    <row r="316" spans="5:54" x14ac:dyDescent="0.35"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</row>
    <row r="317" spans="5:54" x14ac:dyDescent="0.35"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</row>
    <row r="318" spans="5:54" x14ac:dyDescent="0.35"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</row>
    <row r="319" spans="5:54" x14ac:dyDescent="0.35"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</row>
    <row r="320" spans="5:54" x14ac:dyDescent="0.35"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</row>
    <row r="321" spans="5:54" x14ac:dyDescent="0.35"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</row>
    <row r="322" spans="5:54" x14ac:dyDescent="0.35"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</row>
    <row r="323" spans="5:54" x14ac:dyDescent="0.35"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</row>
    <row r="324" spans="5:54" x14ac:dyDescent="0.35"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</row>
    <row r="325" spans="5:54" x14ac:dyDescent="0.35"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</row>
    <row r="326" spans="5:54" x14ac:dyDescent="0.35"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</row>
    <row r="327" spans="5:54" x14ac:dyDescent="0.35"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</row>
    <row r="328" spans="5:54" x14ac:dyDescent="0.35"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</row>
    <row r="329" spans="5:54" x14ac:dyDescent="0.35"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</row>
    <row r="330" spans="5:54" x14ac:dyDescent="0.35"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</row>
    <row r="331" spans="5:54" x14ac:dyDescent="0.35"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</row>
    <row r="332" spans="5:54" x14ac:dyDescent="0.35"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</row>
    <row r="333" spans="5:54" x14ac:dyDescent="0.35"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</row>
    <row r="334" spans="5:54" x14ac:dyDescent="0.35"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</row>
    <row r="335" spans="5:54" x14ac:dyDescent="0.35"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</row>
    <row r="336" spans="5:54" x14ac:dyDescent="0.35"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</row>
    <row r="337" spans="5:54" x14ac:dyDescent="0.35"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</row>
    <row r="338" spans="5:54" x14ac:dyDescent="0.35"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</row>
    <row r="339" spans="5:54" x14ac:dyDescent="0.35"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</row>
    <row r="340" spans="5:54" x14ac:dyDescent="0.35"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</row>
    <row r="341" spans="5:54" x14ac:dyDescent="0.35"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</row>
    <row r="342" spans="5:54" x14ac:dyDescent="0.35"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</row>
    <row r="343" spans="5:54" x14ac:dyDescent="0.35"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</row>
    <row r="344" spans="5:54" x14ac:dyDescent="0.35"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</row>
    <row r="345" spans="5:54" x14ac:dyDescent="0.35"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</row>
    <row r="346" spans="5:54" x14ac:dyDescent="0.35"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</row>
    <row r="347" spans="5:54" x14ac:dyDescent="0.35"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</row>
    <row r="348" spans="5:54" x14ac:dyDescent="0.35"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</row>
    <row r="349" spans="5:54" x14ac:dyDescent="0.35"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</row>
    <row r="350" spans="5:54" x14ac:dyDescent="0.35"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</row>
    <row r="351" spans="5:54" x14ac:dyDescent="0.35"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</row>
    <row r="352" spans="5:54" x14ac:dyDescent="0.35"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</row>
    <row r="353" spans="5:54" x14ac:dyDescent="0.35"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</row>
    <row r="354" spans="5:54" x14ac:dyDescent="0.35"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</row>
    <row r="355" spans="5:54" x14ac:dyDescent="0.35"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</row>
    <row r="356" spans="5:54" x14ac:dyDescent="0.35"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</row>
    <row r="357" spans="5:54" x14ac:dyDescent="0.35"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</row>
    <row r="358" spans="5:54" x14ac:dyDescent="0.35"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</row>
    <row r="359" spans="5:54" x14ac:dyDescent="0.35"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</row>
    <row r="360" spans="5:54" x14ac:dyDescent="0.35"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</row>
    <row r="361" spans="5:54" x14ac:dyDescent="0.35"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</row>
    <row r="362" spans="5:54" x14ac:dyDescent="0.35"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</row>
    <row r="363" spans="5:54" x14ac:dyDescent="0.35"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</row>
    <row r="364" spans="5:54" x14ac:dyDescent="0.35"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</row>
    <row r="365" spans="5:54" x14ac:dyDescent="0.35"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</row>
    <row r="366" spans="5:54" x14ac:dyDescent="0.35"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</row>
    <row r="367" spans="5:54" x14ac:dyDescent="0.35"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</row>
    <row r="368" spans="5:54" x14ac:dyDescent="0.35"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</row>
    <row r="369" spans="5:54" x14ac:dyDescent="0.35"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</row>
    <row r="370" spans="5:54" x14ac:dyDescent="0.35"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</row>
    <row r="371" spans="5:54" x14ac:dyDescent="0.35"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</row>
    <row r="372" spans="5:54" x14ac:dyDescent="0.35"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</row>
    <row r="373" spans="5:54" x14ac:dyDescent="0.35"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</row>
    <row r="374" spans="5:54" x14ac:dyDescent="0.35"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</row>
    <row r="375" spans="5:54" x14ac:dyDescent="0.35"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</row>
    <row r="376" spans="5:54" x14ac:dyDescent="0.35"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</row>
    <row r="377" spans="5:54" x14ac:dyDescent="0.35"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</row>
    <row r="378" spans="5:54" x14ac:dyDescent="0.35"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</row>
    <row r="379" spans="5:54" x14ac:dyDescent="0.35"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</row>
    <row r="380" spans="5:54" x14ac:dyDescent="0.35"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</row>
    <row r="381" spans="5:54" x14ac:dyDescent="0.35"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</row>
    <row r="382" spans="5:54" x14ac:dyDescent="0.35"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</row>
    <row r="383" spans="5:54" x14ac:dyDescent="0.35"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</row>
    <row r="384" spans="5:54" x14ac:dyDescent="0.35"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</row>
    <row r="385" spans="5:54" x14ac:dyDescent="0.35"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</row>
    <row r="386" spans="5:54" x14ac:dyDescent="0.35"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</row>
    <row r="387" spans="5:54" x14ac:dyDescent="0.35"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</row>
    <row r="388" spans="5:54" x14ac:dyDescent="0.35"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</row>
    <row r="389" spans="5:54" x14ac:dyDescent="0.35"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</row>
    <row r="390" spans="5:54" x14ac:dyDescent="0.35"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</row>
    <row r="391" spans="5:54" x14ac:dyDescent="0.35"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</row>
    <row r="392" spans="5:54" x14ac:dyDescent="0.35"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</row>
    <row r="393" spans="5:54" x14ac:dyDescent="0.35"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</row>
    <row r="394" spans="5:54" x14ac:dyDescent="0.35"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</row>
    <row r="395" spans="5:54" x14ac:dyDescent="0.35"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</row>
    <row r="396" spans="5:54" x14ac:dyDescent="0.35"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</row>
    <row r="397" spans="5:54" x14ac:dyDescent="0.35"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</row>
    <row r="398" spans="5:54" x14ac:dyDescent="0.35"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</row>
    <row r="399" spans="5:54" x14ac:dyDescent="0.35"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</row>
    <row r="400" spans="5:54" x14ac:dyDescent="0.35"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</row>
    <row r="401" spans="5:54" x14ac:dyDescent="0.35"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</row>
    <row r="402" spans="5:54" x14ac:dyDescent="0.35"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</row>
    <row r="403" spans="5:54" x14ac:dyDescent="0.35"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</row>
    <row r="404" spans="5:54" x14ac:dyDescent="0.35"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</row>
    <row r="405" spans="5:54" x14ac:dyDescent="0.35"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</row>
    <row r="406" spans="5:54" x14ac:dyDescent="0.35"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</row>
    <row r="407" spans="5:54" x14ac:dyDescent="0.35"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</row>
    <row r="408" spans="5:54" x14ac:dyDescent="0.35"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</row>
    <row r="409" spans="5:54" x14ac:dyDescent="0.35"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</row>
    <row r="410" spans="5:54" x14ac:dyDescent="0.35"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</row>
    <row r="411" spans="5:54" x14ac:dyDescent="0.35"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</row>
    <row r="412" spans="5:54" x14ac:dyDescent="0.35"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</row>
    <row r="413" spans="5:54" x14ac:dyDescent="0.35"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</row>
    <row r="414" spans="5:54" x14ac:dyDescent="0.35"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</row>
    <row r="415" spans="5:54" x14ac:dyDescent="0.35"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</row>
    <row r="416" spans="5:54" x14ac:dyDescent="0.35"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</row>
    <row r="417" spans="5:54" x14ac:dyDescent="0.35"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</row>
    <row r="418" spans="5:54" x14ac:dyDescent="0.35"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</row>
    <row r="419" spans="5:54" x14ac:dyDescent="0.35"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</row>
    <row r="420" spans="5:54" x14ac:dyDescent="0.35"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</row>
    <row r="421" spans="5:54" x14ac:dyDescent="0.35"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</row>
    <row r="422" spans="5:54" x14ac:dyDescent="0.35"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</row>
    <row r="423" spans="5:54" x14ac:dyDescent="0.35"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</row>
    <row r="424" spans="5:54" x14ac:dyDescent="0.35"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</row>
    <row r="425" spans="5:54" x14ac:dyDescent="0.35"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</row>
    <row r="426" spans="5:54" x14ac:dyDescent="0.35"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</row>
    <row r="427" spans="5:54" x14ac:dyDescent="0.35"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</row>
    <row r="428" spans="5:54" x14ac:dyDescent="0.35"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</row>
    <row r="429" spans="5:54" x14ac:dyDescent="0.35"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</row>
    <row r="430" spans="5:54" x14ac:dyDescent="0.35"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</row>
    <row r="431" spans="5:54" x14ac:dyDescent="0.35"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</row>
    <row r="432" spans="5:54" x14ac:dyDescent="0.35"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</row>
    <row r="433" spans="5:54" x14ac:dyDescent="0.35"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</row>
    <row r="434" spans="5:54" x14ac:dyDescent="0.35"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</row>
    <row r="435" spans="5:54" x14ac:dyDescent="0.35"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</row>
    <row r="436" spans="5:54" x14ac:dyDescent="0.35"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</row>
    <row r="437" spans="5:54" x14ac:dyDescent="0.35"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</row>
    <row r="438" spans="5:54" x14ac:dyDescent="0.35"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</row>
    <row r="439" spans="5:54" x14ac:dyDescent="0.35"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</row>
    <row r="440" spans="5:54" x14ac:dyDescent="0.35"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</row>
    <row r="441" spans="5:54" x14ac:dyDescent="0.35"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</row>
    <row r="442" spans="5:54" x14ac:dyDescent="0.35"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</row>
    <row r="443" spans="5:54" x14ac:dyDescent="0.35"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</row>
    <row r="444" spans="5:54" x14ac:dyDescent="0.35"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</row>
    <row r="445" spans="5:54" x14ac:dyDescent="0.35"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</row>
    <row r="446" spans="5:54" x14ac:dyDescent="0.35"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</row>
    <row r="447" spans="5:54" x14ac:dyDescent="0.35"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</row>
    <row r="448" spans="5:54" x14ac:dyDescent="0.35"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</row>
    <row r="449" spans="5:54" x14ac:dyDescent="0.35"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</row>
    <row r="450" spans="5:54" x14ac:dyDescent="0.35"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</row>
    <row r="451" spans="5:54" x14ac:dyDescent="0.35"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</row>
    <row r="452" spans="5:54" x14ac:dyDescent="0.35"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</row>
    <row r="453" spans="5:54" x14ac:dyDescent="0.35"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</row>
    <row r="454" spans="5:54" x14ac:dyDescent="0.35"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</row>
    <row r="455" spans="5:54" x14ac:dyDescent="0.35"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</row>
    <row r="456" spans="5:54" x14ac:dyDescent="0.35"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</row>
    <row r="457" spans="5:54" x14ac:dyDescent="0.35"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</row>
    <row r="458" spans="5:54" x14ac:dyDescent="0.35"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</row>
    <row r="459" spans="5:54" x14ac:dyDescent="0.35"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</row>
    <row r="460" spans="5:54" x14ac:dyDescent="0.35"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</row>
    <row r="461" spans="5:54" x14ac:dyDescent="0.35"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</row>
    <row r="462" spans="5:54" x14ac:dyDescent="0.35"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</row>
    <row r="463" spans="5:54" x14ac:dyDescent="0.35"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</row>
    <row r="464" spans="5:54" x14ac:dyDescent="0.35"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</row>
    <row r="465" spans="5:54" x14ac:dyDescent="0.35"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</row>
    <row r="466" spans="5:54" x14ac:dyDescent="0.35"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</row>
    <row r="467" spans="5:54" x14ac:dyDescent="0.35"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</row>
    <row r="468" spans="5:54" x14ac:dyDescent="0.35"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</row>
    <row r="469" spans="5:54" x14ac:dyDescent="0.35"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</row>
    <row r="470" spans="5:54" x14ac:dyDescent="0.35"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</row>
    <row r="471" spans="5:54" x14ac:dyDescent="0.35"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</row>
    <row r="472" spans="5:54" x14ac:dyDescent="0.35"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</row>
    <row r="473" spans="5:54" x14ac:dyDescent="0.35"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</row>
    <row r="474" spans="5:54" x14ac:dyDescent="0.35"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</row>
    <row r="475" spans="5:54" x14ac:dyDescent="0.35"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</row>
    <row r="476" spans="5:54" x14ac:dyDescent="0.35"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</row>
    <row r="477" spans="5:54" x14ac:dyDescent="0.35"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</row>
    <row r="478" spans="5:54" x14ac:dyDescent="0.35"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</row>
    <row r="479" spans="5:54" x14ac:dyDescent="0.35"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</row>
    <row r="480" spans="5:54" x14ac:dyDescent="0.35"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</row>
    <row r="481" spans="5:54" x14ac:dyDescent="0.35"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</row>
    <row r="482" spans="5:54" x14ac:dyDescent="0.35"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</row>
    <row r="483" spans="5:54" x14ac:dyDescent="0.35"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</row>
    <row r="484" spans="5:54" x14ac:dyDescent="0.35"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</row>
    <row r="485" spans="5:54" x14ac:dyDescent="0.35"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</row>
    <row r="486" spans="5:54" x14ac:dyDescent="0.35"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</row>
    <row r="487" spans="5:54" x14ac:dyDescent="0.35"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</row>
    <row r="488" spans="5:54" x14ac:dyDescent="0.35"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</row>
    <row r="489" spans="5:54" x14ac:dyDescent="0.35"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</row>
    <row r="490" spans="5:54" x14ac:dyDescent="0.35"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</row>
    <row r="491" spans="5:54" x14ac:dyDescent="0.35"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</row>
    <row r="492" spans="5:54" x14ac:dyDescent="0.35"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</row>
    <row r="493" spans="5:54" x14ac:dyDescent="0.35"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</row>
    <row r="494" spans="5:54" x14ac:dyDescent="0.35"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</row>
    <row r="495" spans="5:54" x14ac:dyDescent="0.35"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</row>
    <row r="496" spans="5:54" x14ac:dyDescent="0.35"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</row>
    <row r="497" spans="5:54" x14ac:dyDescent="0.35"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</row>
    <row r="498" spans="5:54" x14ac:dyDescent="0.35"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</row>
    <row r="499" spans="5:54" x14ac:dyDescent="0.35"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</row>
    <row r="500" spans="5:54" x14ac:dyDescent="0.35"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</row>
    <row r="501" spans="5:54" x14ac:dyDescent="0.35"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</row>
    <row r="502" spans="5:54" x14ac:dyDescent="0.35"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</row>
    <row r="503" spans="5:54" x14ac:dyDescent="0.35"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</row>
    <row r="504" spans="5:54" x14ac:dyDescent="0.35"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</row>
    <row r="505" spans="5:54" x14ac:dyDescent="0.35"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</row>
    <row r="506" spans="5:54" x14ac:dyDescent="0.35"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</row>
    <row r="507" spans="5:54" x14ac:dyDescent="0.35"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</row>
    <row r="508" spans="5:54" x14ac:dyDescent="0.35"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</row>
    <row r="509" spans="5:54" x14ac:dyDescent="0.35"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</row>
    <row r="510" spans="5:54" x14ac:dyDescent="0.35"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</row>
    <row r="511" spans="5:54" x14ac:dyDescent="0.35"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</row>
    <row r="512" spans="5:54" x14ac:dyDescent="0.35"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</row>
    <row r="513" spans="5:54" x14ac:dyDescent="0.35"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</row>
    <row r="514" spans="5:54" x14ac:dyDescent="0.35"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</row>
    <row r="515" spans="5:54" x14ac:dyDescent="0.35"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</row>
    <row r="516" spans="5:54" x14ac:dyDescent="0.35"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</row>
    <row r="517" spans="5:54" x14ac:dyDescent="0.35"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</row>
    <row r="518" spans="5:54" x14ac:dyDescent="0.35"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</row>
    <row r="519" spans="5:54" x14ac:dyDescent="0.35"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</row>
    <row r="520" spans="5:54" x14ac:dyDescent="0.35"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</row>
    <row r="521" spans="5:54" x14ac:dyDescent="0.35"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</row>
    <row r="522" spans="5:54" x14ac:dyDescent="0.35"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</row>
    <row r="523" spans="5:54" x14ac:dyDescent="0.35"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</row>
    <row r="524" spans="5:54" x14ac:dyDescent="0.35"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</row>
    <row r="525" spans="5:54" x14ac:dyDescent="0.35"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</row>
    <row r="526" spans="5:54" x14ac:dyDescent="0.35"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</row>
    <row r="527" spans="5:54" x14ac:dyDescent="0.35"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</row>
    <row r="528" spans="5:54" x14ac:dyDescent="0.35"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</row>
    <row r="529" spans="5:54" x14ac:dyDescent="0.35"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</row>
    <row r="530" spans="5:54" x14ac:dyDescent="0.35"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</row>
    <row r="531" spans="5:54" x14ac:dyDescent="0.35"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</row>
    <row r="532" spans="5:54" x14ac:dyDescent="0.35"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</row>
    <row r="533" spans="5:54" x14ac:dyDescent="0.35"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</row>
    <row r="534" spans="5:54" x14ac:dyDescent="0.35"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</row>
    <row r="535" spans="5:54" x14ac:dyDescent="0.35"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</row>
    <row r="536" spans="5:54" x14ac:dyDescent="0.35"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</row>
    <row r="537" spans="5:54" x14ac:dyDescent="0.35"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</row>
    <row r="538" spans="5:54" x14ac:dyDescent="0.35"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</row>
    <row r="539" spans="5:54" x14ac:dyDescent="0.35"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</row>
    <row r="540" spans="5:54" x14ac:dyDescent="0.35"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</row>
    <row r="541" spans="5:54" x14ac:dyDescent="0.35"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</row>
    <row r="542" spans="5:54" x14ac:dyDescent="0.35"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</row>
    <row r="543" spans="5:54" x14ac:dyDescent="0.35"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</row>
    <row r="544" spans="5:54" x14ac:dyDescent="0.35"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</row>
    <row r="545" spans="5:54" x14ac:dyDescent="0.35"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</row>
    <row r="546" spans="5:54" x14ac:dyDescent="0.35"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</row>
    <row r="547" spans="5:54" x14ac:dyDescent="0.35"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</row>
    <row r="548" spans="5:54" x14ac:dyDescent="0.35"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</row>
    <row r="549" spans="5:54" x14ac:dyDescent="0.35"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</row>
    <row r="550" spans="5:54" x14ac:dyDescent="0.35"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</row>
    <row r="551" spans="5:54" x14ac:dyDescent="0.35"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</row>
    <row r="552" spans="5:54" x14ac:dyDescent="0.35"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</row>
    <row r="553" spans="5:54" x14ac:dyDescent="0.35"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</row>
    <row r="554" spans="5:54" x14ac:dyDescent="0.35"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</row>
    <row r="555" spans="5:54" x14ac:dyDescent="0.35"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</row>
    <row r="556" spans="5:54" x14ac:dyDescent="0.35"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</row>
    <row r="557" spans="5:54" x14ac:dyDescent="0.35"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</row>
    <row r="558" spans="5:54" x14ac:dyDescent="0.35"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</row>
    <row r="559" spans="5:54" x14ac:dyDescent="0.35"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</row>
    <row r="560" spans="5:54" x14ac:dyDescent="0.35"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</row>
    <row r="561" spans="5:54" x14ac:dyDescent="0.35"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</row>
    <row r="562" spans="5:54" x14ac:dyDescent="0.35"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</row>
    <row r="563" spans="5:54" x14ac:dyDescent="0.35"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</row>
    <row r="564" spans="5:54" x14ac:dyDescent="0.35"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</row>
    <row r="565" spans="5:54" x14ac:dyDescent="0.35"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</row>
    <row r="566" spans="5:54" x14ac:dyDescent="0.35"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</row>
    <row r="567" spans="5:54" x14ac:dyDescent="0.35"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</row>
    <row r="568" spans="5:54" x14ac:dyDescent="0.35"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</row>
    <row r="569" spans="5:54" x14ac:dyDescent="0.35"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</row>
    <row r="570" spans="5:54" x14ac:dyDescent="0.35"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</row>
    <row r="571" spans="5:54" x14ac:dyDescent="0.35"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</row>
    <row r="572" spans="5:54" x14ac:dyDescent="0.35"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</row>
    <row r="573" spans="5:54" x14ac:dyDescent="0.35"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</row>
    <row r="574" spans="5:54" x14ac:dyDescent="0.35"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</row>
    <row r="575" spans="5:54" x14ac:dyDescent="0.35"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</row>
    <row r="576" spans="5:54" x14ac:dyDescent="0.35"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</row>
    <row r="577" spans="5:54" x14ac:dyDescent="0.35"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</row>
    <row r="578" spans="5:54" x14ac:dyDescent="0.35"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</row>
    <row r="579" spans="5:54" x14ac:dyDescent="0.35"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</row>
    <row r="580" spans="5:54" x14ac:dyDescent="0.35"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</row>
    <row r="581" spans="5:54" x14ac:dyDescent="0.35"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</row>
    <row r="582" spans="5:54" x14ac:dyDescent="0.35"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</row>
    <row r="583" spans="5:54" x14ac:dyDescent="0.35"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</row>
    <row r="584" spans="5:54" x14ac:dyDescent="0.35"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</row>
    <row r="585" spans="5:54" x14ac:dyDescent="0.35"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</row>
    <row r="586" spans="5:54" x14ac:dyDescent="0.35"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</row>
    <row r="587" spans="5:54" x14ac:dyDescent="0.35"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</row>
    <row r="588" spans="5:54" x14ac:dyDescent="0.35"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</row>
    <row r="589" spans="5:54" x14ac:dyDescent="0.35"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</row>
    <row r="590" spans="5:54" x14ac:dyDescent="0.35"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</row>
    <row r="591" spans="5:54" x14ac:dyDescent="0.35"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</row>
    <row r="592" spans="5:54" x14ac:dyDescent="0.35"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</row>
    <row r="593" spans="5:54" x14ac:dyDescent="0.35"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</row>
    <row r="594" spans="5:54" x14ac:dyDescent="0.35"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</row>
    <row r="595" spans="5:54" x14ac:dyDescent="0.35"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</row>
    <row r="596" spans="5:54" x14ac:dyDescent="0.35"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</row>
    <row r="597" spans="5:54" x14ac:dyDescent="0.35"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</row>
    <row r="598" spans="5:54" x14ac:dyDescent="0.35"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</row>
    <row r="599" spans="5:54" x14ac:dyDescent="0.35"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</row>
    <row r="600" spans="5:54" x14ac:dyDescent="0.35"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</row>
    <row r="601" spans="5:54" x14ac:dyDescent="0.35"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</row>
    <row r="602" spans="5:54" x14ac:dyDescent="0.35"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</row>
    <row r="603" spans="5:54" x14ac:dyDescent="0.35"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</row>
    <row r="604" spans="5:54" x14ac:dyDescent="0.35"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</row>
    <row r="605" spans="5:54" x14ac:dyDescent="0.35"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</row>
    <row r="606" spans="5:54" x14ac:dyDescent="0.35"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</row>
    <row r="607" spans="5:54" x14ac:dyDescent="0.35"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</row>
    <row r="608" spans="5:54" x14ac:dyDescent="0.35"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</row>
    <row r="609" spans="5:54" x14ac:dyDescent="0.35"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</row>
    <row r="610" spans="5:54" x14ac:dyDescent="0.35"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</row>
    <row r="611" spans="5:54" x14ac:dyDescent="0.35"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</row>
    <row r="612" spans="5:54" x14ac:dyDescent="0.35"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</row>
    <row r="613" spans="5:54" x14ac:dyDescent="0.35"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</row>
    <row r="614" spans="5:54" x14ac:dyDescent="0.35"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</row>
    <row r="615" spans="5:54" x14ac:dyDescent="0.35"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</row>
    <row r="616" spans="5:54" x14ac:dyDescent="0.35"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</row>
    <row r="617" spans="5:54" x14ac:dyDescent="0.35"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</row>
    <row r="618" spans="5:54" x14ac:dyDescent="0.35"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</row>
    <row r="619" spans="5:54" x14ac:dyDescent="0.35"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</row>
    <row r="620" spans="5:54" x14ac:dyDescent="0.35"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</row>
    <row r="621" spans="5:54" x14ac:dyDescent="0.35"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</row>
    <row r="622" spans="5:54" x14ac:dyDescent="0.35"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</row>
    <row r="623" spans="5:54" x14ac:dyDescent="0.35"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</row>
    <row r="624" spans="5:54" x14ac:dyDescent="0.35"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</row>
    <row r="625" spans="5:54" x14ac:dyDescent="0.35"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</row>
    <row r="626" spans="5:54" x14ac:dyDescent="0.35"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</row>
    <row r="627" spans="5:54" x14ac:dyDescent="0.35"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</row>
    <row r="628" spans="5:54" x14ac:dyDescent="0.35"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</row>
    <row r="629" spans="5:54" x14ac:dyDescent="0.35"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</row>
    <row r="630" spans="5:54" x14ac:dyDescent="0.35"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</row>
    <row r="631" spans="5:54" x14ac:dyDescent="0.35"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</row>
    <row r="632" spans="5:54" x14ac:dyDescent="0.35"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</row>
    <row r="633" spans="5:54" x14ac:dyDescent="0.35"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</row>
    <row r="634" spans="5:54" x14ac:dyDescent="0.35"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</row>
    <row r="635" spans="5:54" x14ac:dyDescent="0.35"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</row>
    <row r="636" spans="5:54" x14ac:dyDescent="0.35"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</row>
    <row r="637" spans="5:54" x14ac:dyDescent="0.35"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</row>
    <row r="638" spans="5:54" x14ac:dyDescent="0.35"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</row>
    <row r="639" spans="5:54" x14ac:dyDescent="0.35"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</row>
    <row r="640" spans="5:54" x14ac:dyDescent="0.35"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</row>
    <row r="641" spans="5:54" x14ac:dyDescent="0.35"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</row>
    <row r="642" spans="5:54" x14ac:dyDescent="0.35"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</row>
    <row r="643" spans="5:54" x14ac:dyDescent="0.35"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</row>
    <row r="644" spans="5:54" x14ac:dyDescent="0.35"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</row>
    <row r="645" spans="5:54" x14ac:dyDescent="0.35"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</row>
    <row r="646" spans="5:54" x14ac:dyDescent="0.35"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</row>
    <row r="647" spans="5:54" x14ac:dyDescent="0.35"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</row>
    <row r="648" spans="5:54" x14ac:dyDescent="0.35"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</row>
    <row r="649" spans="5:54" x14ac:dyDescent="0.35"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</row>
    <row r="650" spans="5:54" x14ac:dyDescent="0.35"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</row>
    <row r="651" spans="5:54" x14ac:dyDescent="0.35"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</row>
    <row r="652" spans="5:54" x14ac:dyDescent="0.35"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</row>
    <row r="653" spans="5:54" x14ac:dyDescent="0.35"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</row>
    <row r="654" spans="5:54" x14ac:dyDescent="0.35"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</row>
    <row r="655" spans="5:54" x14ac:dyDescent="0.35"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</row>
    <row r="656" spans="5:54" x14ac:dyDescent="0.35"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</row>
    <row r="657" spans="5:54" x14ac:dyDescent="0.35"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</row>
    <row r="658" spans="5:54" x14ac:dyDescent="0.35"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</row>
    <row r="659" spans="5:54" x14ac:dyDescent="0.35"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</row>
    <row r="660" spans="5:54" x14ac:dyDescent="0.35"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</row>
    <row r="661" spans="5:54" x14ac:dyDescent="0.35"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</row>
    <row r="662" spans="5:54" x14ac:dyDescent="0.35"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</row>
    <row r="663" spans="5:54" x14ac:dyDescent="0.35"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</row>
    <row r="664" spans="5:54" x14ac:dyDescent="0.35"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</row>
    <row r="665" spans="5:54" x14ac:dyDescent="0.35"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</row>
    <row r="666" spans="5:54" x14ac:dyDescent="0.35"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</row>
    <row r="667" spans="5:54" x14ac:dyDescent="0.35"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</row>
    <row r="668" spans="5:54" x14ac:dyDescent="0.35"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</row>
    <row r="669" spans="5:54" x14ac:dyDescent="0.35"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</row>
    <row r="670" spans="5:54" x14ac:dyDescent="0.35"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</row>
    <row r="671" spans="5:54" x14ac:dyDescent="0.35"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</row>
    <row r="672" spans="5:54" x14ac:dyDescent="0.35"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</row>
    <row r="673" spans="5:54" x14ac:dyDescent="0.35"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</row>
    <row r="674" spans="5:54" x14ac:dyDescent="0.35"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</row>
    <row r="675" spans="5:54" x14ac:dyDescent="0.35"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</row>
    <row r="676" spans="5:54" x14ac:dyDescent="0.35"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</row>
    <row r="677" spans="5:54" x14ac:dyDescent="0.35"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</row>
    <row r="678" spans="5:54" x14ac:dyDescent="0.35"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</row>
    <row r="679" spans="5:54" x14ac:dyDescent="0.35"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</row>
    <row r="680" spans="5:54" x14ac:dyDescent="0.35"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</row>
    <row r="681" spans="5:54" x14ac:dyDescent="0.35"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</row>
    <row r="682" spans="5:54" x14ac:dyDescent="0.35"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</row>
    <row r="683" spans="5:54" x14ac:dyDescent="0.35"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</row>
    <row r="684" spans="5:54" x14ac:dyDescent="0.35"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</row>
    <row r="685" spans="5:54" x14ac:dyDescent="0.35"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</row>
    <row r="686" spans="5:54" x14ac:dyDescent="0.35"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</row>
    <row r="687" spans="5:54" x14ac:dyDescent="0.35"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</row>
    <row r="688" spans="5:54" x14ac:dyDescent="0.35"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</row>
    <row r="689" spans="5:54" x14ac:dyDescent="0.35"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</row>
    <row r="690" spans="5:54" x14ac:dyDescent="0.35"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</row>
    <row r="691" spans="5:54" x14ac:dyDescent="0.35"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</row>
    <row r="692" spans="5:54" x14ac:dyDescent="0.35"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</row>
    <row r="693" spans="5:54" x14ac:dyDescent="0.35"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</row>
    <row r="694" spans="5:54" x14ac:dyDescent="0.35"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</row>
    <row r="695" spans="5:54" x14ac:dyDescent="0.35"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</row>
    <row r="696" spans="5:54" x14ac:dyDescent="0.35"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</row>
    <row r="697" spans="5:54" x14ac:dyDescent="0.35"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</row>
    <row r="698" spans="5:54" x14ac:dyDescent="0.35"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</row>
    <row r="699" spans="5:54" x14ac:dyDescent="0.35"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</row>
    <row r="700" spans="5:54" x14ac:dyDescent="0.35"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</row>
    <row r="701" spans="5:54" x14ac:dyDescent="0.35"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</row>
    <row r="702" spans="5:54" x14ac:dyDescent="0.35"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</row>
    <row r="703" spans="5:54" x14ac:dyDescent="0.35"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</row>
    <row r="704" spans="5:54" x14ac:dyDescent="0.35"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</row>
    <row r="705" spans="5:54" x14ac:dyDescent="0.35"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</row>
    <row r="706" spans="5:54" x14ac:dyDescent="0.35"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</row>
    <row r="707" spans="5:54" x14ac:dyDescent="0.35"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</row>
    <row r="708" spans="5:54" x14ac:dyDescent="0.35"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</row>
    <row r="709" spans="5:54" x14ac:dyDescent="0.35"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</row>
    <row r="710" spans="5:54" x14ac:dyDescent="0.35"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</row>
    <row r="711" spans="5:54" x14ac:dyDescent="0.35"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</row>
    <row r="712" spans="5:54" x14ac:dyDescent="0.35"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</row>
    <row r="713" spans="5:54" x14ac:dyDescent="0.35"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</row>
    <row r="714" spans="5:54" x14ac:dyDescent="0.35"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</row>
    <row r="715" spans="5:54" x14ac:dyDescent="0.35"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</row>
    <row r="716" spans="5:54" x14ac:dyDescent="0.35"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</row>
    <row r="717" spans="5:54" x14ac:dyDescent="0.35"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</row>
    <row r="718" spans="5:54" x14ac:dyDescent="0.35"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</row>
    <row r="719" spans="5:54" x14ac:dyDescent="0.35"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</row>
    <row r="720" spans="5:54" x14ac:dyDescent="0.35"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</row>
    <row r="721" spans="5:54" x14ac:dyDescent="0.35"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</row>
    <row r="722" spans="5:54" x14ac:dyDescent="0.35"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</row>
    <row r="723" spans="5:54" x14ac:dyDescent="0.35"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</row>
    <row r="724" spans="5:54" x14ac:dyDescent="0.35"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</row>
    <row r="725" spans="5:54" x14ac:dyDescent="0.35"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</row>
    <row r="726" spans="5:54" x14ac:dyDescent="0.35"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</row>
    <row r="727" spans="5:54" x14ac:dyDescent="0.35"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</row>
    <row r="728" spans="5:54" x14ac:dyDescent="0.35"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</row>
    <row r="729" spans="5:54" x14ac:dyDescent="0.35"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</row>
    <row r="730" spans="5:54" x14ac:dyDescent="0.35"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</row>
    <row r="731" spans="5:54" x14ac:dyDescent="0.35"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</row>
    <row r="732" spans="5:54" x14ac:dyDescent="0.35"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</row>
    <row r="733" spans="5:54" x14ac:dyDescent="0.35"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</row>
    <row r="734" spans="5:54" x14ac:dyDescent="0.35"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</row>
    <row r="735" spans="5:54" x14ac:dyDescent="0.35"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</row>
    <row r="736" spans="5:54" x14ac:dyDescent="0.35"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</row>
    <row r="737" spans="5:54" x14ac:dyDescent="0.35"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</row>
    <row r="738" spans="5:54" x14ac:dyDescent="0.35"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</row>
    <row r="739" spans="5:54" x14ac:dyDescent="0.35"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</row>
    <row r="740" spans="5:54" x14ac:dyDescent="0.35"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</row>
    <row r="741" spans="5:54" x14ac:dyDescent="0.35"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</row>
    <row r="742" spans="5:54" x14ac:dyDescent="0.35"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</row>
    <row r="743" spans="5:54" x14ac:dyDescent="0.35"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</row>
    <row r="744" spans="5:54" x14ac:dyDescent="0.35"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</row>
    <row r="745" spans="5:54" x14ac:dyDescent="0.35"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</row>
    <row r="746" spans="5:54" x14ac:dyDescent="0.35"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</row>
    <row r="747" spans="5:54" x14ac:dyDescent="0.35"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</row>
    <row r="748" spans="5:54" x14ac:dyDescent="0.35"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</row>
    <row r="749" spans="5:54" x14ac:dyDescent="0.35"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</row>
    <row r="750" spans="5:54" x14ac:dyDescent="0.35"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</row>
    <row r="751" spans="5:54" x14ac:dyDescent="0.35"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</row>
    <row r="752" spans="5:54" x14ac:dyDescent="0.35"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</row>
    <row r="753" spans="5:54" x14ac:dyDescent="0.35"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</row>
    <row r="754" spans="5:54" x14ac:dyDescent="0.35"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</row>
    <row r="755" spans="5:54" x14ac:dyDescent="0.35"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</row>
    <row r="756" spans="5:54" x14ac:dyDescent="0.35"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</row>
    <row r="757" spans="5:54" x14ac:dyDescent="0.35"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</row>
    <row r="758" spans="5:54" x14ac:dyDescent="0.35"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</row>
    <row r="759" spans="5:54" x14ac:dyDescent="0.35"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</row>
    <row r="760" spans="5:54" x14ac:dyDescent="0.35"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</row>
    <row r="761" spans="5:54" x14ac:dyDescent="0.35"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</row>
    <row r="762" spans="5:54" x14ac:dyDescent="0.35"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</row>
    <row r="763" spans="5:54" x14ac:dyDescent="0.35"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</row>
    <row r="764" spans="5:54" x14ac:dyDescent="0.35"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</row>
    <row r="765" spans="5:54" x14ac:dyDescent="0.35"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</row>
    <row r="766" spans="5:54" x14ac:dyDescent="0.35"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</row>
    <row r="767" spans="5:54" x14ac:dyDescent="0.35"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</row>
    <row r="768" spans="5:54" x14ac:dyDescent="0.35"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</row>
    <row r="769" spans="5:54" x14ac:dyDescent="0.35"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</row>
    <row r="770" spans="5:54" x14ac:dyDescent="0.35"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</row>
    <row r="771" spans="5:54" x14ac:dyDescent="0.35"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</row>
    <row r="772" spans="5:54" x14ac:dyDescent="0.35"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</row>
    <row r="773" spans="5:54" x14ac:dyDescent="0.35"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</row>
    <row r="774" spans="5:54" x14ac:dyDescent="0.35"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</row>
    <row r="775" spans="5:54" x14ac:dyDescent="0.35"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</row>
    <row r="776" spans="5:54" x14ac:dyDescent="0.35"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</row>
    <row r="777" spans="5:54" x14ac:dyDescent="0.35"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</row>
    <row r="778" spans="5:54" x14ac:dyDescent="0.35"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</row>
    <row r="779" spans="5:54" x14ac:dyDescent="0.35"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</row>
    <row r="780" spans="5:54" x14ac:dyDescent="0.35"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</row>
    <row r="781" spans="5:54" x14ac:dyDescent="0.35"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</row>
    <row r="782" spans="5:54" x14ac:dyDescent="0.35"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</row>
    <row r="783" spans="5:54" x14ac:dyDescent="0.35"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</row>
    <row r="784" spans="5:54" x14ac:dyDescent="0.35"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</row>
    <row r="785" spans="5:54" x14ac:dyDescent="0.35"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</row>
    <row r="786" spans="5:54" x14ac:dyDescent="0.35"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</row>
    <row r="787" spans="5:54" x14ac:dyDescent="0.35"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</row>
    <row r="788" spans="5:54" x14ac:dyDescent="0.35"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</row>
    <row r="789" spans="5:54" x14ac:dyDescent="0.35"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</row>
    <row r="790" spans="5:54" x14ac:dyDescent="0.35"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</row>
    <row r="791" spans="5:54" x14ac:dyDescent="0.35"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</row>
    <row r="792" spans="5:54" x14ac:dyDescent="0.35"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</row>
    <row r="793" spans="5:54" x14ac:dyDescent="0.35"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</row>
    <row r="794" spans="5:54" x14ac:dyDescent="0.35"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</row>
    <row r="795" spans="5:54" x14ac:dyDescent="0.35"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</row>
    <row r="796" spans="5:54" x14ac:dyDescent="0.35"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</row>
    <row r="797" spans="5:54" x14ac:dyDescent="0.35"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</row>
    <row r="798" spans="5:54" x14ac:dyDescent="0.35"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</row>
    <row r="799" spans="5:54" x14ac:dyDescent="0.35"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</row>
    <row r="800" spans="5:54" x14ac:dyDescent="0.35"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</row>
    <row r="801" spans="5:54" x14ac:dyDescent="0.35"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</row>
    <row r="802" spans="5:54" x14ac:dyDescent="0.35"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</row>
    <row r="803" spans="5:54" x14ac:dyDescent="0.35"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</row>
    <row r="804" spans="5:54" x14ac:dyDescent="0.35"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</row>
    <row r="805" spans="5:54" x14ac:dyDescent="0.35"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</row>
    <row r="806" spans="5:54" x14ac:dyDescent="0.35"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</row>
    <row r="807" spans="5:54" x14ac:dyDescent="0.35"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</row>
    <row r="808" spans="5:54" x14ac:dyDescent="0.35"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</row>
    <row r="809" spans="5:54" x14ac:dyDescent="0.35"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</row>
    <row r="810" spans="5:54" x14ac:dyDescent="0.35"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</row>
    <row r="811" spans="5:54" x14ac:dyDescent="0.35"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</row>
    <row r="812" spans="5:54" x14ac:dyDescent="0.35"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</row>
    <row r="813" spans="5:54" x14ac:dyDescent="0.35"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</row>
    <row r="814" spans="5:54" x14ac:dyDescent="0.35"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</row>
    <row r="815" spans="5:54" x14ac:dyDescent="0.35"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</row>
    <row r="816" spans="5:54" x14ac:dyDescent="0.35"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</row>
    <row r="817" spans="5:54" x14ac:dyDescent="0.35"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</row>
    <row r="818" spans="5:54" x14ac:dyDescent="0.35"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</row>
    <row r="819" spans="5:54" x14ac:dyDescent="0.35"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</row>
    <row r="820" spans="5:54" x14ac:dyDescent="0.35"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</row>
    <row r="821" spans="5:54" x14ac:dyDescent="0.35"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</row>
    <row r="822" spans="5:54" x14ac:dyDescent="0.35"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</row>
    <row r="823" spans="5:54" x14ac:dyDescent="0.35"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</row>
    <row r="824" spans="5:54" x14ac:dyDescent="0.35"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</row>
    <row r="825" spans="5:54" x14ac:dyDescent="0.35"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</row>
    <row r="826" spans="5:54" x14ac:dyDescent="0.35"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</row>
    <row r="827" spans="5:54" x14ac:dyDescent="0.35"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</row>
    <row r="828" spans="5:54" x14ac:dyDescent="0.35"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</row>
    <row r="829" spans="5:54" x14ac:dyDescent="0.35"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</row>
    <row r="830" spans="5:54" x14ac:dyDescent="0.35"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</row>
    <row r="831" spans="5:54" x14ac:dyDescent="0.35"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</row>
    <row r="832" spans="5:54" x14ac:dyDescent="0.35"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</row>
    <row r="833" spans="5:54" x14ac:dyDescent="0.35"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</row>
    <row r="834" spans="5:54" x14ac:dyDescent="0.35"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</row>
    <row r="835" spans="5:54" x14ac:dyDescent="0.35"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</row>
    <row r="836" spans="5:54" x14ac:dyDescent="0.35"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</row>
    <row r="837" spans="5:54" x14ac:dyDescent="0.35"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</row>
    <row r="838" spans="5:54" x14ac:dyDescent="0.35"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</row>
    <row r="839" spans="5:54" x14ac:dyDescent="0.35"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</row>
    <row r="840" spans="5:54" x14ac:dyDescent="0.35"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</row>
    <row r="841" spans="5:54" x14ac:dyDescent="0.35"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</row>
    <row r="842" spans="5:54" x14ac:dyDescent="0.35"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</row>
    <row r="843" spans="5:54" x14ac:dyDescent="0.35"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</row>
    <row r="844" spans="5:54" x14ac:dyDescent="0.35"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</row>
    <row r="845" spans="5:54" x14ac:dyDescent="0.35"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</row>
    <row r="846" spans="5:54" x14ac:dyDescent="0.35"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</row>
    <row r="847" spans="5:54" x14ac:dyDescent="0.35"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</row>
    <row r="848" spans="5:54" x14ac:dyDescent="0.35"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</row>
    <row r="849" spans="5:54" x14ac:dyDescent="0.35"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</row>
    <row r="850" spans="5:54" x14ac:dyDescent="0.35"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</row>
    <row r="851" spans="5:54" x14ac:dyDescent="0.35"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</row>
    <row r="852" spans="5:54" x14ac:dyDescent="0.35"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</row>
    <row r="853" spans="5:54" x14ac:dyDescent="0.35"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</row>
    <row r="854" spans="5:54" x14ac:dyDescent="0.35"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</row>
    <row r="855" spans="5:54" x14ac:dyDescent="0.35"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</row>
    <row r="856" spans="5:54" x14ac:dyDescent="0.35"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</row>
    <row r="857" spans="5:54" x14ac:dyDescent="0.35"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</row>
    <row r="858" spans="5:54" x14ac:dyDescent="0.35"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</row>
    <row r="859" spans="5:54" x14ac:dyDescent="0.35"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</row>
    <row r="860" spans="5:54" x14ac:dyDescent="0.35"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</row>
    <row r="861" spans="5:54" x14ac:dyDescent="0.35"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</row>
    <row r="862" spans="5:54" x14ac:dyDescent="0.35"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</row>
    <row r="863" spans="5:54" x14ac:dyDescent="0.35"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</row>
    <row r="864" spans="5:54" x14ac:dyDescent="0.35"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</row>
    <row r="865" spans="5:54" x14ac:dyDescent="0.35"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</row>
    <row r="866" spans="5:54" x14ac:dyDescent="0.35"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</row>
    <row r="867" spans="5:54" x14ac:dyDescent="0.35"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</row>
    <row r="868" spans="5:54" x14ac:dyDescent="0.35"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</row>
    <row r="869" spans="5:54" x14ac:dyDescent="0.35"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</row>
    <row r="870" spans="5:54" x14ac:dyDescent="0.35"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</row>
    <row r="871" spans="5:54" x14ac:dyDescent="0.35"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</row>
    <row r="872" spans="5:54" x14ac:dyDescent="0.35"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</row>
    <row r="873" spans="5:54" x14ac:dyDescent="0.35"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</row>
    <row r="874" spans="5:54" x14ac:dyDescent="0.35"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</row>
    <row r="875" spans="5:54" x14ac:dyDescent="0.35"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</row>
    <row r="876" spans="5:54" x14ac:dyDescent="0.35"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</row>
    <row r="877" spans="5:54" x14ac:dyDescent="0.35"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</row>
    <row r="878" spans="5:54" x14ac:dyDescent="0.35"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</row>
    <row r="879" spans="5:54" x14ac:dyDescent="0.35"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</row>
    <row r="880" spans="5:54" x14ac:dyDescent="0.35"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</row>
    <row r="881" spans="5:54" x14ac:dyDescent="0.35"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</row>
    <row r="882" spans="5:54" x14ac:dyDescent="0.35"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</row>
    <row r="883" spans="5:54" x14ac:dyDescent="0.35"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</row>
    <row r="884" spans="5:54" x14ac:dyDescent="0.35"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</row>
    <row r="885" spans="5:54" x14ac:dyDescent="0.35"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</row>
    <row r="886" spans="5:54" x14ac:dyDescent="0.35"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</row>
    <row r="887" spans="5:54" x14ac:dyDescent="0.35"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</row>
    <row r="888" spans="5:54" x14ac:dyDescent="0.35"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</row>
    <row r="889" spans="5:54" x14ac:dyDescent="0.35"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</row>
    <row r="890" spans="5:54" x14ac:dyDescent="0.35"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</row>
    <row r="891" spans="5:54" x14ac:dyDescent="0.35"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</row>
    <row r="892" spans="5:54" x14ac:dyDescent="0.35"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</row>
    <row r="893" spans="5:54" x14ac:dyDescent="0.35"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</row>
    <row r="894" spans="5:54" x14ac:dyDescent="0.35"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</row>
    <row r="895" spans="5:54" x14ac:dyDescent="0.35"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</row>
    <row r="896" spans="5:54" x14ac:dyDescent="0.35"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</row>
    <row r="897" spans="5:54" x14ac:dyDescent="0.35"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</row>
    <row r="898" spans="5:54" x14ac:dyDescent="0.35"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</row>
    <row r="899" spans="5:54" x14ac:dyDescent="0.35"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</row>
    <row r="900" spans="5:54" x14ac:dyDescent="0.35"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</row>
    <row r="901" spans="5:54" x14ac:dyDescent="0.35"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</row>
    <row r="902" spans="5:54" x14ac:dyDescent="0.35"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</row>
    <row r="903" spans="5:54" x14ac:dyDescent="0.35"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</row>
    <row r="904" spans="5:54" x14ac:dyDescent="0.35"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</row>
    <row r="905" spans="5:54" x14ac:dyDescent="0.35"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</row>
    <row r="906" spans="5:54" x14ac:dyDescent="0.35"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</row>
    <row r="907" spans="5:54" x14ac:dyDescent="0.35"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</row>
    <row r="908" spans="5:54" x14ac:dyDescent="0.35"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</row>
    <row r="909" spans="5:54" x14ac:dyDescent="0.35"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</row>
    <row r="910" spans="5:54" x14ac:dyDescent="0.35"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</row>
    <row r="911" spans="5:54" x14ac:dyDescent="0.35"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</row>
    <row r="912" spans="5:54" x14ac:dyDescent="0.35"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</row>
    <row r="913" spans="5:54" x14ac:dyDescent="0.35"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</row>
    <row r="914" spans="5:54" x14ac:dyDescent="0.35"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</row>
    <row r="915" spans="5:54" x14ac:dyDescent="0.35"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</row>
    <row r="916" spans="5:54" x14ac:dyDescent="0.35"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</row>
    <row r="917" spans="5:54" x14ac:dyDescent="0.35"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</row>
    <row r="918" spans="5:54" x14ac:dyDescent="0.35"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</row>
    <row r="919" spans="5:54" x14ac:dyDescent="0.35"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</row>
    <row r="920" spans="5:54" x14ac:dyDescent="0.35"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</row>
    <row r="921" spans="5:54" x14ac:dyDescent="0.35"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</row>
    <row r="922" spans="5:54" x14ac:dyDescent="0.35"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</row>
    <row r="923" spans="5:54" x14ac:dyDescent="0.35"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</row>
    <row r="924" spans="5:54" x14ac:dyDescent="0.35"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</row>
    <row r="925" spans="5:54" x14ac:dyDescent="0.35"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</row>
    <row r="926" spans="5:54" x14ac:dyDescent="0.35"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</row>
    <row r="927" spans="5:54" x14ac:dyDescent="0.35"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</row>
    <row r="928" spans="5:54" x14ac:dyDescent="0.35"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</row>
    <row r="929" spans="5:54" x14ac:dyDescent="0.35"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</row>
    <row r="930" spans="5:54" x14ac:dyDescent="0.35"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</row>
    <row r="931" spans="5:54" x14ac:dyDescent="0.35"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</row>
    <row r="932" spans="5:54" x14ac:dyDescent="0.35"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</row>
    <row r="933" spans="5:54" x14ac:dyDescent="0.35"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</row>
    <row r="934" spans="5:54" x14ac:dyDescent="0.35"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</row>
    <row r="935" spans="5:54" x14ac:dyDescent="0.35"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</row>
    <row r="936" spans="5:54" x14ac:dyDescent="0.35"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</row>
    <row r="937" spans="5:54" x14ac:dyDescent="0.35"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</row>
    <row r="938" spans="5:54" x14ac:dyDescent="0.35"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</row>
    <row r="939" spans="5:54" x14ac:dyDescent="0.35"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</row>
    <row r="940" spans="5:54" x14ac:dyDescent="0.35"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</row>
    <row r="941" spans="5:54" x14ac:dyDescent="0.35"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</row>
    <row r="942" spans="5:54" x14ac:dyDescent="0.35"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</row>
    <row r="943" spans="5:54" x14ac:dyDescent="0.35"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</row>
    <row r="944" spans="5:54" x14ac:dyDescent="0.35"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</row>
    <row r="945" spans="5:54" x14ac:dyDescent="0.35"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</row>
    <row r="946" spans="5:54" x14ac:dyDescent="0.35"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</row>
    <row r="947" spans="5:54" x14ac:dyDescent="0.35"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</row>
    <row r="948" spans="5:54" x14ac:dyDescent="0.35"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</row>
    <row r="949" spans="5:54" x14ac:dyDescent="0.35"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</row>
    <row r="950" spans="5:54" x14ac:dyDescent="0.35"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</row>
    <row r="951" spans="5:54" x14ac:dyDescent="0.35"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</row>
    <row r="952" spans="5:54" x14ac:dyDescent="0.35"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</row>
    <row r="953" spans="5:54" x14ac:dyDescent="0.35"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</row>
    <row r="954" spans="5:54" x14ac:dyDescent="0.35"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</row>
    <row r="955" spans="5:54" x14ac:dyDescent="0.35"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</row>
    <row r="956" spans="5:54" x14ac:dyDescent="0.35"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</row>
    <row r="957" spans="5:54" x14ac:dyDescent="0.35"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</row>
    <row r="958" spans="5:54" x14ac:dyDescent="0.35"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</row>
    <row r="959" spans="5:54" x14ac:dyDescent="0.35"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</row>
    <row r="960" spans="5:54" x14ac:dyDescent="0.35"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</row>
    <row r="961" spans="5:54" x14ac:dyDescent="0.35"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</row>
    <row r="962" spans="5:54" x14ac:dyDescent="0.35"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</row>
    <row r="963" spans="5:54" x14ac:dyDescent="0.35"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</row>
    <row r="964" spans="5:54" x14ac:dyDescent="0.35"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</row>
    <row r="965" spans="5:54" x14ac:dyDescent="0.35"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</row>
    <row r="966" spans="5:54" x14ac:dyDescent="0.35"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</row>
    <row r="967" spans="5:54" x14ac:dyDescent="0.35"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</row>
    <row r="968" spans="5:54" x14ac:dyDescent="0.35"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</row>
    <row r="969" spans="5:54" x14ac:dyDescent="0.35"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</row>
    <row r="970" spans="5:54" x14ac:dyDescent="0.35"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</row>
    <row r="971" spans="5:54" x14ac:dyDescent="0.35"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</row>
    <row r="972" spans="5:54" x14ac:dyDescent="0.35"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</row>
    <row r="973" spans="5:54" x14ac:dyDescent="0.35"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</row>
    <row r="974" spans="5:54" x14ac:dyDescent="0.35"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</row>
    <row r="975" spans="5:54" x14ac:dyDescent="0.35"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</row>
    <row r="976" spans="5:54" x14ac:dyDescent="0.35"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</row>
    <row r="977" spans="5:54" x14ac:dyDescent="0.35"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</row>
    <row r="978" spans="5:54" x14ac:dyDescent="0.35"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</row>
    <row r="979" spans="5:54" x14ac:dyDescent="0.35"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</row>
    <row r="980" spans="5:54" x14ac:dyDescent="0.35"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</row>
    <row r="981" spans="5:54" x14ac:dyDescent="0.35"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</row>
    <row r="982" spans="5:54" x14ac:dyDescent="0.35"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</row>
    <row r="983" spans="5:54" x14ac:dyDescent="0.35"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</row>
    <row r="984" spans="5:54" x14ac:dyDescent="0.35"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</row>
    <row r="985" spans="5:54" x14ac:dyDescent="0.35"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</row>
    <row r="986" spans="5:54" x14ac:dyDescent="0.35"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</row>
    <row r="987" spans="5:54" x14ac:dyDescent="0.35"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</row>
    <row r="988" spans="5:54" x14ac:dyDescent="0.35"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</row>
    <row r="989" spans="5:54" x14ac:dyDescent="0.35"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</row>
    <row r="990" spans="5:54" x14ac:dyDescent="0.35"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</row>
    <row r="991" spans="5:54" x14ac:dyDescent="0.35"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</row>
    <row r="992" spans="5:54" x14ac:dyDescent="0.35"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</row>
    <row r="993" spans="5:54" x14ac:dyDescent="0.35"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</row>
    <row r="994" spans="5:54" x14ac:dyDescent="0.35"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</row>
    <row r="995" spans="5:54" x14ac:dyDescent="0.35"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</row>
    <row r="996" spans="5:54" x14ac:dyDescent="0.35"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</row>
    <row r="997" spans="5:54" x14ac:dyDescent="0.35"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</row>
    <row r="998" spans="5:54" x14ac:dyDescent="0.35"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</row>
    <row r="999" spans="5:54" x14ac:dyDescent="0.35"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</row>
    <row r="1000" spans="5:54" x14ac:dyDescent="0.35"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  <c r="BA1000" s="23"/>
      <c r="BB1000" s="23"/>
    </row>
    <row r="1001" spans="5:54" x14ac:dyDescent="0.35"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  <c r="AM1001" s="23"/>
      <c r="AN1001" s="23"/>
      <c r="AO1001" s="23"/>
      <c r="AP1001" s="23"/>
      <c r="AQ1001" s="23"/>
      <c r="AR1001" s="23"/>
      <c r="AS1001" s="23"/>
      <c r="AT1001" s="23"/>
      <c r="AU1001" s="23"/>
      <c r="AV1001" s="23"/>
      <c r="AW1001" s="23"/>
      <c r="AX1001" s="23"/>
      <c r="AY1001" s="23"/>
      <c r="AZ1001" s="23"/>
      <c r="BA1001" s="23"/>
      <c r="BB1001" s="23"/>
    </row>
    <row r="1002" spans="5:54" x14ac:dyDescent="0.35"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  <c r="AM1002" s="23"/>
      <c r="AN1002" s="23"/>
      <c r="AO1002" s="23"/>
      <c r="AP1002" s="23"/>
      <c r="AQ1002" s="23"/>
      <c r="AR1002" s="23"/>
      <c r="AS1002" s="23"/>
      <c r="AT1002" s="23"/>
      <c r="AU1002" s="23"/>
      <c r="AV1002" s="23"/>
      <c r="AW1002" s="23"/>
      <c r="AX1002" s="23"/>
      <c r="AY1002" s="23"/>
      <c r="AZ1002" s="23"/>
      <c r="BA1002" s="23"/>
      <c r="BB1002" s="23"/>
    </row>
    <row r="1003" spans="5:54" x14ac:dyDescent="0.35"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  <c r="AM1003" s="23"/>
      <c r="AN1003" s="23"/>
      <c r="AO1003" s="23"/>
      <c r="AP1003" s="23"/>
      <c r="AQ1003" s="23"/>
      <c r="AR1003" s="23"/>
      <c r="AS1003" s="23"/>
      <c r="AT1003" s="23"/>
      <c r="AU1003" s="23"/>
      <c r="AV1003" s="23"/>
      <c r="AW1003" s="23"/>
      <c r="AX1003" s="23"/>
      <c r="AY1003" s="23"/>
      <c r="AZ1003" s="23"/>
      <c r="BA1003" s="23"/>
      <c r="BB1003" s="23"/>
    </row>
    <row r="1004" spans="5:54" x14ac:dyDescent="0.35"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  <c r="AM1004" s="23"/>
      <c r="AN1004" s="23"/>
      <c r="AO1004" s="23"/>
      <c r="AP1004" s="23"/>
      <c r="AQ1004" s="23"/>
      <c r="AR1004" s="23"/>
      <c r="AS1004" s="23"/>
      <c r="AT1004" s="23"/>
      <c r="AU1004" s="23"/>
      <c r="AV1004" s="23"/>
      <c r="AW1004" s="23"/>
      <c r="AX1004" s="23"/>
      <c r="AY1004" s="23"/>
      <c r="AZ1004" s="23"/>
      <c r="BA1004" s="23"/>
      <c r="BB1004" s="23"/>
    </row>
    <row r="1005" spans="5:54" x14ac:dyDescent="0.35"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  <c r="AM1005" s="23"/>
      <c r="AN1005" s="23"/>
      <c r="AO1005" s="23"/>
      <c r="AP1005" s="23"/>
      <c r="AQ1005" s="23"/>
      <c r="AR1005" s="23"/>
      <c r="AS1005" s="23"/>
      <c r="AT1005" s="23"/>
      <c r="AU1005" s="23"/>
      <c r="AV1005" s="23"/>
      <c r="AW1005" s="23"/>
      <c r="AX1005" s="23"/>
      <c r="AY1005" s="23"/>
      <c r="AZ1005" s="23"/>
      <c r="BA1005" s="23"/>
      <c r="BB1005" s="23"/>
    </row>
    <row r="1006" spans="5:54" x14ac:dyDescent="0.35"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  <c r="AM1006" s="23"/>
      <c r="AN1006" s="23"/>
      <c r="AO1006" s="23"/>
      <c r="AP1006" s="23"/>
      <c r="AQ1006" s="23"/>
      <c r="AR1006" s="23"/>
      <c r="AS1006" s="23"/>
      <c r="AT1006" s="23"/>
      <c r="AU1006" s="23"/>
      <c r="AV1006" s="23"/>
      <c r="AW1006" s="23"/>
      <c r="AX1006" s="23"/>
      <c r="AY1006" s="23"/>
      <c r="AZ1006" s="23"/>
      <c r="BA1006" s="23"/>
      <c r="BB1006" s="23"/>
    </row>
    <row r="1007" spans="5:54" x14ac:dyDescent="0.35"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  <c r="AM1007" s="23"/>
      <c r="AN1007" s="23"/>
      <c r="AO1007" s="23"/>
      <c r="AP1007" s="23"/>
      <c r="AQ1007" s="23"/>
      <c r="AR1007" s="23"/>
      <c r="AS1007" s="23"/>
      <c r="AT1007" s="23"/>
      <c r="AU1007" s="23"/>
      <c r="AV1007" s="23"/>
      <c r="AW1007" s="23"/>
      <c r="AX1007" s="23"/>
      <c r="AY1007" s="23"/>
      <c r="AZ1007" s="23"/>
      <c r="BA1007" s="23"/>
      <c r="BB1007" s="23"/>
    </row>
    <row r="1008" spans="5:54" x14ac:dyDescent="0.35"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  <c r="AN1008" s="23"/>
      <c r="AO1008" s="23"/>
      <c r="AP1008" s="23"/>
      <c r="AQ1008" s="23"/>
      <c r="AR1008" s="23"/>
      <c r="AS1008" s="23"/>
      <c r="AT1008" s="23"/>
      <c r="AU1008" s="23"/>
      <c r="AV1008" s="23"/>
      <c r="AW1008" s="23"/>
      <c r="AX1008" s="23"/>
      <c r="AY1008" s="23"/>
      <c r="AZ1008" s="23"/>
      <c r="BA1008" s="23"/>
      <c r="BB1008" s="23"/>
    </row>
    <row r="1009" spans="5:54" x14ac:dyDescent="0.35"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  <c r="AM1009" s="23"/>
      <c r="AN1009" s="23"/>
      <c r="AO1009" s="23"/>
      <c r="AP1009" s="23"/>
      <c r="AQ1009" s="23"/>
      <c r="AR1009" s="23"/>
      <c r="AS1009" s="23"/>
      <c r="AT1009" s="23"/>
      <c r="AU1009" s="23"/>
      <c r="AV1009" s="23"/>
      <c r="AW1009" s="23"/>
      <c r="AX1009" s="23"/>
      <c r="AY1009" s="23"/>
      <c r="AZ1009" s="23"/>
      <c r="BA1009" s="23"/>
      <c r="BB1009" s="23"/>
    </row>
    <row r="1010" spans="5:54" x14ac:dyDescent="0.35"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  <c r="AM1010" s="23"/>
      <c r="AN1010" s="23"/>
      <c r="AO1010" s="23"/>
      <c r="AP1010" s="23"/>
      <c r="AQ1010" s="23"/>
      <c r="AR1010" s="23"/>
      <c r="AS1010" s="23"/>
      <c r="AT1010" s="23"/>
      <c r="AU1010" s="23"/>
      <c r="AV1010" s="23"/>
      <c r="AW1010" s="23"/>
      <c r="AX1010" s="23"/>
      <c r="AY1010" s="23"/>
      <c r="AZ1010" s="23"/>
      <c r="BA1010" s="23"/>
      <c r="BB1010" s="23"/>
    </row>
    <row r="1011" spans="5:54" x14ac:dyDescent="0.35"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  <c r="AM1011" s="23"/>
      <c r="AN1011" s="23"/>
      <c r="AO1011" s="23"/>
      <c r="AP1011" s="23"/>
      <c r="AQ1011" s="23"/>
      <c r="AR1011" s="23"/>
      <c r="AS1011" s="23"/>
      <c r="AT1011" s="23"/>
      <c r="AU1011" s="23"/>
      <c r="AV1011" s="23"/>
      <c r="AW1011" s="23"/>
      <c r="AX1011" s="23"/>
      <c r="AY1011" s="23"/>
      <c r="AZ1011" s="23"/>
      <c r="BA1011" s="23"/>
      <c r="BB1011" s="23"/>
    </row>
    <row r="1012" spans="5:54" x14ac:dyDescent="0.35"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  <c r="AM1012" s="23"/>
      <c r="AN1012" s="23"/>
      <c r="AO1012" s="23"/>
      <c r="AP1012" s="23"/>
      <c r="AQ1012" s="23"/>
      <c r="AR1012" s="23"/>
      <c r="AS1012" s="23"/>
      <c r="AT1012" s="23"/>
      <c r="AU1012" s="23"/>
      <c r="AV1012" s="23"/>
      <c r="AW1012" s="23"/>
      <c r="AX1012" s="23"/>
      <c r="AY1012" s="23"/>
      <c r="AZ1012" s="23"/>
      <c r="BA1012" s="23"/>
      <c r="BB1012" s="23"/>
    </row>
    <row r="1013" spans="5:54" x14ac:dyDescent="0.35"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  <c r="AM1013" s="23"/>
      <c r="AN1013" s="23"/>
      <c r="AO1013" s="23"/>
      <c r="AP1013" s="23"/>
      <c r="AQ1013" s="23"/>
      <c r="AR1013" s="23"/>
      <c r="AS1013" s="23"/>
      <c r="AT1013" s="23"/>
      <c r="AU1013" s="23"/>
      <c r="AV1013" s="23"/>
      <c r="AW1013" s="23"/>
      <c r="AX1013" s="23"/>
      <c r="AY1013" s="23"/>
      <c r="AZ1013" s="23"/>
      <c r="BA1013" s="23"/>
      <c r="BB1013" s="23"/>
    </row>
    <row r="1014" spans="5:54" x14ac:dyDescent="0.35"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  <c r="AM1014" s="23"/>
      <c r="AN1014" s="23"/>
      <c r="AO1014" s="23"/>
      <c r="AP1014" s="23"/>
      <c r="AQ1014" s="23"/>
      <c r="AR1014" s="23"/>
      <c r="AS1014" s="23"/>
      <c r="AT1014" s="23"/>
      <c r="AU1014" s="23"/>
      <c r="AV1014" s="23"/>
      <c r="AW1014" s="23"/>
      <c r="AX1014" s="23"/>
      <c r="AY1014" s="23"/>
      <c r="AZ1014" s="23"/>
      <c r="BA1014" s="23"/>
      <c r="BB1014" s="23"/>
    </row>
    <row r="1015" spans="5:54" x14ac:dyDescent="0.35"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  <c r="AM1015" s="23"/>
      <c r="AN1015" s="23"/>
      <c r="AO1015" s="23"/>
      <c r="AP1015" s="23"/>
      <c r="AQ1015" s="23"/>
      <c r="AR1015" s="23"/>
      <c r="AS1015" s="23"/>
      <c r="AT1015" s="23"/>
      <c r="AU1015" s="23"/>
      <c r="AV1015" s="23"/>
      <c r="AW1015" s="23"/>
      <c r="AX1015" s="23"/>
      <c r="AY1015" s="23"/>
      <c r="AZ1015" s="23"/>
      <c r="BA1015" s="23"/>
      <c r="BB1015" s="23"/>
    </row>
    <row r="1016" spans="5:54" x14ac:dyDescent="0.35"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  <c r="AM1016" s="23"/>
      <c r="AN1016" s="23"/>
      <c r="AO1016" s="23"/>
      <c r="AP1016" s="23"/>
      <c r="AQ1016" s="23"/>
      <c r="AR1016" s="23"/>
      <c r="AS1016" s="23"/>
      <c r="AT1016" s="23"/>
      <c r="AU1016" s="23"/>
      <c r="AV1016" s="23"/>
      <c r="AW1016" s="23"/>
      <c r="AX1016" s="23"/>
      <c r="AY1016" s="23"/>
      <c r="AZ1016" s="23"/>
      <c r="BA1016" s="23"/>
      <c r="BB1016" s="23"/>
    </row>
    <row r="1017" spans="5:54" x14ac:dyDescent="0.35"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  <c r="AM1017" s="23"/>
      <c r="AN1017" s="23"/>
      <c r="AO1017" s="23"/>
      <c r="AP1017" s="23"/>
      <c r="AQ1017" s="23"/>
      <c r="AR1017" s="23"/>
      <c r="AS1017" s="23"/>
      <c r="AT1017" s="23"/>
      <c r="AU1017" s="23"/>
      <c r="AV1017" s="23"/>
      <c r="AW1017" s="23"/>
      <c r="AX1017" s="23"/>
      <c r="AY1017" s="23"/>
      <c r="AZ1017" s="23"/>
      <c r="BA1017" s="23"/>
      <c r="BB1017" s="23"/>
    </row>
    <row r="1018" spans="5:54" x14ac:dyDescent="0.35"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  <c r="AM1018" s="23"/>
      <c r="AN1018" s="23"/>
      <c r="AO1018" s="23"/>
      <c r="AP1018" s="23"/>
      <c r="AQ1018" s="23"/>
      <c r="AR1018" s="23"/>
      <c r="AS1018" s="23"/>
      <c r="AT1018" s="23"/>
      <c r="AU1018" s="23"/>
      <c r="AV1018" s="23"/>
      <c r="AW1018" s="23"/>
      <c r="AX1018" s="23"/>
      <c r="AY1018" s="23"/>
      <c r="AZ1018" s="23"/>
      <c r="BA1018" s="23"/>
      <c r="BB1018" s="23"/>
    </row>
    <row r="1019" spans="5:54" x14ac:dyDescent="0.35"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  <c r="AM1019" s="23"/>
      <c r="AN1019" s="23"/>
      <c r="AO1019" s="23"/>
      <c r="AP1019" s="23"/>
      <c r="AQ1019" s="23"/>
      <c r="AR1019" s="23"/>
      <c r="AS1019" s="23"/>
      <c r="AT1019" s="23"/>
      <c r="AU1019" s="23"/>
      <c r="AV1019" s="23"/>
      <c r="AW1019" s="23"/>
      <c r="AX1019" s="23"/>
      <c r="AY1019" s="23"/>
      <c r="AZ1019" s="23"/>
      <c r="BA1019" s="23"/>
      <c r="BB1019" s="23"/>
    </row>
    <row r="1020" spans="5:54" x14ac:dyDescent="0.35"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  <c r="AM1020" s="23"/>
      <c r="AN1020" s="23"/>
      <c r="AO1020" s="23"/>
      <c r="AP1020" s="23"/>
      <c r="AQ1020" s="23"/>
      <c r="AR1020" s="23"/>
      <c r="AS1020" s="23"/>
      <c r="AT1020" s="23"/>
      <c r="AU1020" s="23"/>
      <c r="AV1020" s="23"/>
      <c r="AW1020" s="23"/>
      <c r="AX1020" s="23"/>
      <c r="AY1020" s="23"/>
      <c r="AZ1020" s="23"/>
      <c r="BA1020" s="23"/>
      <c r="BB1020" s="23"/>
    </row>
    <row r="1021" spans="5:54" x14ac:dyDescent="0.35"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  <c r="AM1021" s="23"/>
      <c r="AN1021" s="23"/>
      <c r="AO1021" s="23"/>
      <c r="AP1021" s="23"/>
      <c r="AQ1021" s="23"/>
      <c r="AR1021" s="23"/>
      <c r="AS1021" s="23"/>
      <c r="AT1021" s="23"/>
      <c r="AU1021" s="23"/>
      <c r="AV1021" s="23"/>
      <c r="AW1021" s="23"/>
      <c r="AX1021" s="23"/>
      <c r="AY1021" s="23"/>
      <c r="AZ1021" s="23"/>
      <c r="BA1021" s="23"/>
      <c r="BB1021" s="23"/>
    </row>
    <row r="1022" spans="5:54" x14ac:dyDescent="0.35"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  <c r="AM1022" s="23"/>
      <c r="AN1022" s="23"/>
      <c r="AO1022" s="23"/>
      <c r="AP1022" s="23"/>
      <c r="AQ1022" s="23"/>
      <c r="AR1022" s="23"/>
      <c r="AS1022" s="23"/>
      <c r="AT1022" s="23"/>
      <c r="AU1022" s="23"/>
      <c r="AV1022" s="23"/>
      <c r="AW1022" s="23"/>
      <c r="AX1022" s="23"/>
      <c r="AY1022" s="23"/>
      <c r="AZ1022" s="23"/>
      <c r="BA1022" s="23"/>
      <c r="BB1022" s="23"/>
    </row>
    <row r="1023" spans="5:54" x14ac:dyDescent="0.35"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  <c r="AM1023" s="23"/>
      <c r="AN1023" s="23"/>
      <c r="AO1023" s="23"/>
      <c r="AP1023" s="23"/>
      <c r="AQ1023" s="23"/>
      <c r="AR1023" s="23"/>
      <c r="AS1023" s="23"/>
      <c r="AT1023" s="23"/>
      <c r="AU1023" s="23"/>
      <c r="AV1023" s="23"/>
      <c r="AW1023" s="23"/>
      <c r="AX1023" s="23"/>
      <c r="AY1023" s="23"/>
      <c r="AZ1023" s="23"/>
      <c r="BA1023" s="23"/>
      <c r="BB1023" s="23"/>
    </row>
    <row r="1024" spans="5:54" x14ac:dyDescent="0.35"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  <c r="AM1024" s="23"/>
      <c r="AN1024" s="23"/>
      <c r="AO1024" s="23"/>
      <c r="AP1024" s="23"/>
      <c r="AQ1024" s="23"/>
      <c r="AR1024" s="23"/>
      <c r="AS1024" s="23"/>
      <c r="AT1024" s="23"/>
      <c r="AU1024" s="23"/>
      <c r="AV1024" s="23"/>
      <c r="AW1024" s="23"/>
      <c r="AX1024" s="23"/>
      <c r="AY1024" s="23"/>
      <c r="AZ1024" s="23"/>
      <c r="BA1024" s="23"/>
      <c r="BB1024" s="23"/>
    </row>
    <row r="1025" spans="5:54" x14ac:dyDescent="0.35"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  <c r="AM1025" s="23"/>
      <c r="AN1025" s="23"/>
      <c r="AO1025" s="23"/>
      <c r="AP1025" s="23"/>
      <c r="AQ1025" s="23"/>
      <c r="AR1025" s="23"/>
      <c r="AS1025" s="23"/>
      <c r="AT1025" s="23"/>
      <c r="AU1025" s="23"/>
      <c r="AV1025" s="23"/>
      <c r="AW1025" s="23"/>
      <c r="AX1025" s="23"/>
      <c r="AY1025" s="23"/>
      <c r="AZ1025" s="23"/>
      <c r="BA1025" s="23"/>
      <c r="BB1025" s="23"/>
    </row>
    <row r="1026" spans="5:54" x14ac:dyDescent="0.35"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  <c r="AM1026" s="23"/>
      <c r="AN1026" s="23"/>
      <c r="AO1026" s="23"/>
      <c r="AP1026" s="23"/>
      <c r="AQ1026" s="23"/>
      <c r="AR1026" s="23"/>
      <c r="AS1026" s="23"/>
      <c r="AT1026" s="23"/>
      <c r="AU1026" s="23"/>
      <c r="AV1026" s="23"/>
      <c r="AW1026" s="23"/>
      <c r="AX1026" s="23"/>
      <c r="AY1026" s="23"/>
      <c r="AZ1026" s="23"/>
      <c r="BA1026" s="23"/>
      <c r="BB1026" s="23"/>
    </row>
    <row r="1027" spans="5:54" x14ac:dyDescent="0.35"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  <c r="AM1027" s="23"/>
      <c r="AN1027" s="23"/>
      <c r="AO1027" s="23"/>
      <c r="AP1027" s="23"/>
      <c r="AQ1027" s="23"/>
      <c r="AR1027" s="23"/>
      <c r="AS1027" s="23"/>
      <c r="AT1027" s="23"/>
      <c r="AU1027" s="23"/>
      <c r="AV1027" s="23"/>
      <c r="AW1027" s="23"/>
      <c r="AX1027" s="23"/>
      <c r="AY1027" s="23"/>
      <c r="AZ1027" s="23"/>
      <c r="BA1027" s="23"/>
      <c r="BB1027" s="23"/>
    </row>
    <row r="1028" spans="5:54" x14ac:dyDescent="0.35"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  <c r="AM1028" s="23"/>
      <c r="AN1028" s="23"/>
      <c r="AO1028" s="23"/>
      <c r="AP1028" s="23"/>
      <c r="AQ1028" s="23"/>
      <c r="AR1028" s="23"/>
      <c r="AS1028" s="23"/>
      <c r="AT1028" s="23"/>
      <c r="AU1028" s="23"/>
      <c r="AV1028" s="23"/>
      <c r="AW1028" s="23"/>
      <c r="AX1028" s="23"/>
      <c r="AY1028" s="23"/>
      <c r="AZ1028" s="23"/>
      <c r="BA1028" s="23"/>
      <c r="BB1028" s="23"/>
    </row>
    <row r="1029" spans="5:54" x14ac:dyDescent="0.35"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  <c r="AM1029" s="23"/>
      <c r="AN1029" s="23"/>
      <c r="AO1029" s="23"/>
      <c r="AP1029" s="23"/>
      <c r="AQ1029" s="23"/>
      <c r="AR1029" s="23"/>
      <c r="AS1029" s="23"/>
      <c r="AT1029" s="23"/>
      <c r="AU1029" s="23"/>
      <c r="AV1029" s="23"/>
      <c r="AW1029" s="23"/>
      <c r="AX1029" s="23"/>
      <c r="AY1029" s="23"/>
      <c r="AZ1029" s="23"/>
      <c r="BA1029" s="23"/>
      <c r="BB1029" s="23"/>
    </row>
    <row r="1030" spans="5:54" x14ac:dyDescent="0.35"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  <c r="AM1030" s="23"/>
      <c r="AN1030" s="23"/>
      <c r="AO1030" s="23"/>
      <c r="AP1030" s="23"/>
      <c r="AQ1030" s="23"/>
      <c r="AR1030" s="23"/>
      <c r="AS1030" s="23"/>
      <c r="AT1030" s="23"/>
      <c r="AU1030" s="23"/>
      <c r="AV1030" s="23"/>
      <c r="AW1030" s="23"/>
      <c r="AX1030" s="23"/>
      <c r="AY1030" s="23"/>
      <c r="AZ1030" s="23"/>
      <c r="BA1030" s="23"/>
      <c r="BB1030" s="23"/>
    </row>
    <row r="1031" spans="5:54" x14ac:dyDescent="0.35"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  <c r="AM1031" s="23"/>
      <c r="AN1031" s="23"/>
      <c r="AO1031" s="23"/>
      <c r="AP1031" s="23"/>
      <c r="AQ1031" s="23"/>
      <c r="AR1031" s="23"/>
      <c r="AS1031" s="23"/>
      <c r="AT1031" s="23"/>
      <c r="AU1031" s="23"/>
      <c r="AV1031" s="23"/>
      <c r="AW1031" s="23"/>
      <c r="AX1031" s="23"/>
      <c r="AY1031" s="23"/>
      <c r="AZ1031" s="23"/>
      <c r="BA1031" s="23"/>
      <c r="BB1031" s="23"/>
    </row>
    <row r="1032" spans="5:54" x14ac:dyDescent="0.35"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  <c r="AM1032" s="23"/>
      <c r="AN1032" s="23"/>
      <c r="AO1032" s="23"/>
      <c r="AP1032" s="23"/>
      <c r="AQ1032" s="23"/>
      <c r="AR1032" s="23"/>
      <c r="AS1032" s="23"/>
      <c r="AT1032" s="23"/>
      <c r="AU1032" s="23"/>
      <c r="AV1032" s="23"/>
      <c r="AW1032" s="23"/>
      <c r="AX1032" s="23"/>
      <c r="AY1032" s="23"/>
      <c r="AZ1032" s="23"/>
      <c r="BA1032" s="23"/>
      <c r="BB1032" s="23"/>
    </row>
    <row r="1033" spans="5:54" x14ac:dyDescent="0.35"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  <c r="AM1033" s="23"/>
      <c r="AN1033" s="23"/>
      <c r="AO1033" s="23"/>
      <c r="AP1033" s="23"/>
      <c r="AQ1033" s="23"/>
      <c r="AR1033" s="23"/>
      <c r="AS1033" s="23"/>
      <c r="AT1033" s="23"/>
      <c r="AU1033" s="23"/>
      <c r="AV1033" s="23"/>
      <c r="AW1033" s="23"/>
      <c r="AX1033" s="23"/>
      <c r="AY1033" s="23"/>
      <c r="AZ1033" s="23"/>
      <c r="BA1033" s="23"/>
      <c r="BB1033" s="23"/>
    </row>
    <row r="1034" spans="5:54" x14ac:dyDescent="0.35"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  <c r="AM1034" s="23"/>
      <c r="AN1034" s="23"/>
      <c r="AO1034" s="23"/>
      <c r="AP1034" s="23"/>
      <c r="AQ1034" s="23"/>
      <c r="AR1034" s="23"/>
      <c r="AS1034" s="23"/>
      <c r="AT1034" s="23"/>
      <c r="AU1034" s="23"/>
      <c r="AV1034" s="23"/>
      <c r="AW1034" s="23"/>
      <c r="AX1034" s="23"/>
      <c r="AY1034" s="23"/>
      <c r="AZ1034" s="23"/>
      <c r="BA1034" s="23"/>
      <c r="BB1034" s="23"/>
    </row>
    <row r="1035" spans="5:54" x14ac:dyDescent="0.35"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  <c r="AM1035" s="23"/>
      <c r="AN1035" s="23"/>
      <c r="AO1035" s="23"/>
      <c r="AP1035" s="23"/>
      <c r="AQ1035" s="23"/>
      <c r="AR1035" s="23"/>
      <c r="AS1035" s="23"/>
      <c r="AT1035" s="23"/>
      <c r="AU1035" s="23"/>
      <c r="AV1035" s="23"/>
      <c r="AW1035" s="23"/>
      <c r="AX1035" s="23"/>
      <c r="AY1035" s="23"/>
      <c r="AZ1035" s="23"/>
      <c r="BA1035" s="23"/>
      <c r="BB1035" s="23"/>
    </row>
    <row r="1036" spans="5:54" x14ac:dyDescent="0.35"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  <c r="AM1036" s="23"/>
      <c r="AN1036" s="23"/>
      <c r="AO1036" s="23"/>
      <c r="AP1036" s="23"/>
      <c r="AQ1036" s="23"/>
      <c r="AR1036" s="23"/>
      <c r="AS1036" s="23"/>
      <c r="AT1036" s="23"/>
      <c r="AU1036" s="23"/>
      <c r="AV1036" s="23"/>
      <c r="AW1036" s="23"/>
      <c r="AX1036" s="23"/>
      <c r="AY1036" s="23"/>
      <c r="AZ1036" s="23"/>
      <c r="BA1036" s="23"/>
      <c r="BB1036" s="23"/>
    </row>
    <row r="1037" spans="5:54" x14ac:dyDescent="0.35"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  <c r="AM1037" s="23"/>
      <c r="AN1037" s="23"/>
      <c r="AO1037" s="23"/>
      <c r="AP1037" s="23"/>
      <c r="AQ1037" s="23"/>
      <c r="AR1037" s="23"/>
      <c r="AS1037" s="23"/>
      <c r="AT1037" s="23"/>
      <c r="AU1037" s="23"/>
      <c r="AV1037" s="23"/>
      <c r="AW1037" s="23"/>
      <c r="AX1037" s="23"/>
      <c r="AY1037" s="23"/>
      <c r="AZ1037" s="23"/>
      <c r="BA1037" s="23"/>
      <c r="BB1037" s="23"/>
    </row>
    <row r="1038" spans="5:54" x14ac:dyDescent="0.35"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  <c r="AM1038" s="23"/>
      <c r="AN1038" s="23"/>
      <c r="AO1038" s="23"/>
      <c r="AP1038" s="23"/>
      <c r="AQ1038" s="23"/>
      <c r="AR1038" s="23"/>
      <c r="AS1038" s="23"/>
      <c r="AT1038" s="23"/>
      <c r="AU1038" s="23"/>
      <c r="AV1038" s="23"/>
      <c r="AW1038" s="23"/>
      <c r="AX1038" s="23"/>
      <c r="AY1038" s="23"/>
      <c r="AZ1038" s="23"/>
      <c r="BA1038" s="23"/>
      <c r="BB1038" s="23"/>
    </row>
    <row r="1039" spans="5:54" x14ac:dyDescent="0.35"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  <c r="AM1039" s="23"/>
      <c r="AN1039" s="23"/>
      <c r="AO1039" s="23"/>
      <c r="AP1039" s="23"/>
      <c r="AQ1039" s="23"/>
      <c r="AR1039" s="23"/>
      <c r="AS1039" s="23"/>
      <c r="AT1039" s="23"/>
      <c r="AU1039" s="23"/>
      <c r="AV1039" s="23"/>
      <c r="AW1039" s="23"/>
      <c r="AX1039" s="23"/>
      <c r="AY1039" s="23"/>
      <c r="AZ1039" s="23"/>
      <c r="BA1039" s="23"/>
      <c r="BB1039" s="23"/>
    </row>
    <row r="1040" spans="5:54" x14ac:dyDescent="0.35"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  <c r="AM1040" s="23"/>
      <c r="AN1040" s="23"/>
      <c r="AO1040" s="23"/>
      <c r="AP1040" s="23"/>
      <c r="AQ1040" s="23"/>
      <c r="AR1040" s="23"/>
      <c r="AS1040" s="23"/>
      <c r="AT1040" s="23"/>
      <c r="AU1040" s="23"/>
      <c r="AV1040" s="23"/>
      <c r="AW1040" s="23"/>
      <c r="AX1040" s="23"/>
      <c r="AY1040" s="23"/>
      <c r="AZ1040" s="23"/>
      <c r="BA1040" s="23"/>
      <c r="BB1040" s="23"/>
    </row>
    <row r="1041" spans="5:54" x14ac:dyDescent="0.35"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  <c r="AM1041" s="23"/>
      <c r="AN1041" s="23"/>
      <c r="AO1041" s="23"/>
      <c r="AP1041" s="23"/>
      <c r="AQ1041" s="23"/>
      <c r="AR1041" s="23"/>
      <c r="AS1041" s="23"/>
      <c r="AT1041" s="23"/>
      <c r="AU1041" s="23"/>
      <c r="AV1041" s="23"/>
      <c r="AW1041" s="23"/>
      <c r="AX1041" s="23"/>
      <c r="AY1041" s="23"/>
      <c r="AZ1041" s="23"/>
      <c r="BA1041" s="23"/>
      <c r="BB1041" s="23"/>
    </row>
    <row r="1042" spans="5:54" x14ac:dyDescent="0.35"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  <c r="AM1042" s="23"/>
      <c r="AN1042" s="23"/>
      <c r="AO1042" s="23"/>
      <c r="AP1042" s="23"/>
      <c r="AQ1042" s="23"/>
      <c r="AR1042" s="23"/>
      <c r="AS1042" s="23"/>
      <c r="AT1042" s="23"/>
      <c r="AU1042" s="23"/>
      <c r="AV1042" s="23"/>
      <c r="AW1042" s="23"/>
      <c r="AX1042" s="23"/>
      <c r="AY1042" s="23"/>
      <c r="AZ1042" s="23"/>
      <c r="BA1042" s="23"/>
      <c r="BB1042" s="23"/>
    </row>
    <row r="1043" spans="5:54" x14ac:dyDescent="0.35"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  <c r="AM1043" s="23"/>
      <c r="AN1043" s="23"/>
      <c r="AO1043" s="23"/>
      <c r="AP1043" s="23"/>
      <c r="AQ1043" s="23"/>
      <c r="AR1043" s="23"/>
      <c r="AS1043" s="23"/>
      <c r="AT1043" s="23"/>
      <c r="AU1043" s="23"/>
      <c r="AV1043" s="23"/>
      <c r="AW1043" s="23"/>
      <c r="AX1043" s="23"/>
      <c r="AY1043" s="23"/>
      <c r="AZ1043" s="23"/>
      <c r="BA1043" s="23"/>
      <c r="BB1043" s="23"/>
    </row>
    <row r="1044" spans="5:54" x14ac:dyDescent="0.35"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  <c r="AN1044" s="23"/>
      <c r="AO1044" s="23"/>
      <c r="AP1044" s="23"/>
      <c r="AQ1044" s="23"/>
      <c r="AR1044" s="23"/>
      <c r="AS1044" s="23"/>
      <c r="AT1044" s="23"/>
      <c r="AU1044" s="23"/>
      <c r="AV1044" s="23"/>
      <c r="AW1044" s="23"/>
      <c r="AX1044" s="23"/>
      <c r="AY1044" s="23"/>
      <c r="AZ1044" s="23"/>
      <c r="BA1044" s="23"/>
      <c r="BB1044" s="23"/>
    </row>
    <row r="1045" spans="5:54" x14ac:dyDescent="0.35"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  <c r="AM1045" s="23"/>
      <c r="AN1045" s="23"/>
      <c r="AO1045" s="23"/>
      <c r="AP1045" s="23"/>
      <c r="AQ1045" s="23"/>
      <c r="AR1045" s="23"/>
      <c r="AS1045" s="23"/>
      <c r="AT1045" s="23"/>
      <c r="AU1045" s="23"/>
      <c r="AV1045" s="23"/>
      <c r="AW1045" s="23"/>
      <c r="AX1045" s="23"/>
      <c r="AY1045" s="23"/>
      <c r="AZ1045" s="23"/>
      <c r="BA1045" s="23"/>
      <c r="BB1045" s="23"/>
    </row>
    <row r="1046" spans="5:54" x14ac:dyDescent="0.35"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  <c r="AM1046" s="23"/>
      <c r="AN1046" s="23"/>
      <c r="AO1046" s="23"/>
      <c r="AP1046" s="23"/>
      <c r="AQ1046" s="23"/>
      <c r="AR1046" s="23"/>
      <c r="AS1046" s="23"/>
      <c r="AT1046" s="23"/>
      <c r="AU1046" s="23"/>
      <c r="AV1046" s="23"/>
      <c r="AW1046" s="23"/>
      <c r="AX1046" s="23"/>
      <c r="AY1046" s="23"/>
      <c r="AZ1046" s="23"/>
      <c r="BA1046" s="23"/>
      <c r="BB1046" s="23"/>
    </row>
    <row r="1047" spans="5:54" x14ac:dyDescent="0.35"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  <c r="AM1047" s="23"/>
      <c r="AN1047" s="23"/>
      <c r="AO1047" s="23"/>
      <c r="AP1047" s="23"/>
      <c r="AQ1047" s="23"/>
      <c r="AR1047" s="23"/>
      <c r="AS1047" s="23"/>
      <c r="AT1047" s="23"/>
      <c r="AU1047" s="23"/>
      <c r="AV1047" s="23"/>
      <c r="AW1047" s="23"/>
      <c r="AX1047" s="23"/>
      <c r="AY1047" s="23"/>
      <c r="AZ1047" s="23"/>
      <c r="BA1047" s="23"/>
      <c r="BB1047" s="23"/>
    </row>
    <row r="1048" spans="5:54" x14ac:dyDescent="0.35"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  <c r="AM1048" s="23"/>
      <c r="AN1048" s="23"/>
      <c r="AO1048" s="23"/>
      <c r="AP1048" s="23"/>
      <c r="AQ1048" s="23"/>
      <c r="AR1048" s="23"/>
      <c r="AS1048" s="23"/>
      <c r="AT1048" s="23"/>
      <c r="AU1048" s="23"/>
      <c r="AV1048" s="23"/>
      <c r="AW1048" s="23"/>
      <c r="AX1048" s="23"/>
      <c r="AY1048" s="23"/>
      <c r="AZ1048" s="23"/>
      <c r="BA1048" s="23"/>
      <c r="BB1048" s="23"/>
    </row>
    <row r="1049" spans="5:54" x14ac:dyDescent="0.35"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  <c r="AM1049" s="23"/>
      <c r="AN1049" s="23"/>
      <c r="AO1049" s="23"/>
      <c r="AP1049" s="23"/>
      <c r="AQ1049" s="23"/>
      <c r="AR1049" s="23"/>
      <c r="AS1049" s="23"/>
      <c r="AT1049" s="23"/>
      <c r="AU1049" s="23"/>
      <c r="AV1049" s="23"/>
      <c r="AW1049" s="23"/>
      <c r="AX1049" s="23"/>
      <c r="AY1049" s="23"/>
      <c r="AZ1049" s="23"/>
      <c r="BA1049" s="23"/>
      <c r="BB1049" s="23"/>
    </row>
    <row r="1050" spans="5:54" x14ac:dyDescent="0.35"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  <c r="AM1050" s="23"/>
      <c r="AN1050" s="23"/>
      <c r="AO1050" s="23"/>
      <c r="AP1050" s="23"/>
      <c r="AQ1050" s="23"/>
      <c r="AR1050" s="23"/>
      <c r="AS1050" s="23"/>
      <c r="AT1050" s="23"/>
      <c r="AU1050" s="23"/>
      <c r="AV1050" s="23"/>
      <c r="AW1050" s="23"/>
      <c r="AX1050" s="23"/>
      <c r="AY1050" s="23"/>
      <c r="AZ1050" s="23"/>
      <c r="BA1050" s="23"/>
      <c r="BB1050" s="23"/>
    </row>
    <row r="1051" spans="5:54" x14ac:dyDescent="0.35"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  <c r="AM1051" s="23"/>
      <c r="AN1051" s="23"/>
      <c r="AO1051" s="23"/>
      <c r="AP1051" s="23"/>
      <c r="AQ1051" s="23"/>
      <c r="AR1051" s="23"/>
      <c r="AS1051" s="23"/>
      <c r="AT1051" s="23"/>
      <c r="AU1051" s="23"/>
      <c r="AV1051" s="23"/>
      <c r="AW1051" s="23"/>
      <c r="AX1051" s="23"/>
      <c r="AY1051" s="23"/>
      <c r="AZ1051" s="23"/>
      <c r="BA1051" s="23"/>
      <c r="BB1051" s="23"/>
    </row>
    <row r="1052" spans="5:54" x14ac:dyDescent="0.35"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  <c r="AM1052" s="23"/>
      <c r="AN1052" s="23"/>
      <c r="AO1052" s="23"/>
      <c r="AP1052" s="23"/>
      <c r="AQ1052" s="23"/>
      <c r="AR1052" s="23"/>
      <c r="AS1052" s="23"/>
      <c r="AT1052" s="23"/>
      <c r="AU1052" s="23"/>
      <c r="AV1052" s="23"/>
      <c r="AW1052" s="23"/>
      <c r="AX1052" s="23"/>
      <c r="AY1052" s="23"/>
      <c r="AZ1052" s="23"/>
      <c r="BA1052" s="23"/>
      <c r="BB1052" s="23"/>
    </row>
    <row r="1053" spans="5:54" x14ac:dyDescent="0.35"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  <c r="AM1053" s="23"/>
      <c r="AN1053" s="23"/>
      <c r="AO1053" s="23"/>
      <c r="AP1053" s="23"/>
      <c r="AQ1053" s="23"/>
      <c r="AR1053" s="23"/>
      <c r="AS1053" s="23"/>
      <c r="AT1053" s="23"/>
      <c r="AU1053" s="23"/>
      <c r="AV1053" s="23"/>
      <c r="AW1053" s="23"/>
      <c r="AX1053" s="23"/>
      <c r="AY1053" s="23"/>
      <c r="AZ1053" s="23"/>
      <c r="BA1053" s="23"/>
      <c r="BB1053" s="23"/>
    </row>
    <row r="1054" spans="5:54" x14ac:dyDescent="0.35"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  <c r="AM1054" s="23"/>
      <c r="AN1054" s="23"/>
      <c r="AO1054" s="23"/>
      <c r="AP1054" s="23"/>
      <c r="AQ1054" s="23"/>
      <c r="AR1054" s="23"/>
      <c r="AS1054" s="23"/>
      <c r="AT1054" s="23"/>
      <c r="AU1054" s="23"/>
      <c r="AV1054" s="23"/>
      <c r="AW1054" s="23"/>
      <c r="AX1054" s="23"/>
      <c r="AY1054" s="23"/>
      <c r="AZ1054" s="23"/>
      <c r="BA1054" s="23"/>
      <c r="BB1054" s="23"/>
    </row>
    <row r="1055" spans="5:54" x14ac:dyDescent="0.35"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  <c r="AC1055" s="23"/>
      <c r="AD1055" s="23"/>
      <c r="AE1055" s="23"/>
      <c r="AF1055" s="23"/>
      <c r="AG1055" s="23"/>
      <c r="AH1055" s="23"/>
      <c r="AI1055" s="23"/>
      <c r="AJ1055" s="23"/>
      <c r="AK1055" s="23"/>
      <c r="AL1055" s="23"/>
      <c r="AM1055" s="23"/>
      <c r="AN1055" s="23"/>
      <c r="AO1055" s="23"/>
      <c r="AP1055" s="23"/>
      <c r="AQ1055" s="23"/>
      <c r="AR1055" s="23"/>
      <c r="AS1055" s="23"/>
      <c r="AT1055" s="23"/>
      <c r="AU1055" s="23"/>
      <c r="AV1055" s="23"/>
      <c r="AW1055" s="23"/>
      <c r="AX1055" s="23"/>
      <c r="AY1055" s="23"/>
      <c r="AZ1055" s="23"/>
      <c r="BA1055" s="23"/>
      <c r="BB1055" s="23"/>
    </row>
    <row r="1056" spans="5:54" x14ac:dyDescent="0.35"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  <c r="AC1056" s="23"/>
      <c r="AD1056" s="23"/>
      <c r="AE1056" s="23"/>
      <c r="AF1056" s="23"/>
      <c r="AG1056" s="23"/>
      <c r="AH1056" s="23"/>
      <c r="AI1056" s="23"/>
      <c r="AJ1056" s="23"/>
      <c r="AK1056" s="23"/>
      <c r="AL1056" s="23"/>
      <c r="AM1056" s="23"/>
      <c r="AN1056" s="23"/>
      <c r="AO1056" s="23"/>
      <c r="AP1056" s="23"/>
      <c r="AQ1056" s="23"/>
      <c r="AR1056" s="23"/>
      <c r="AS1056" s="23"/>
      <c r="AT1056" s="23"/>
      <c r="AU1056" s="23"/>
      <c r="AV1056" s="23"/>
      <c r="AW1056" s="23"/>
      <c r="AX1056" s="23"/>
      <c r="AY1056" s="23"/>
      <c r="AZ1056" s="23"/>
      <c r="BA1056" s="23"/>
      <c r="BB1056" s="23"/>
    </row>
    <row r="1057" spans="5:54" x14ac:dyDescent="0.35"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  <c r="AC1057" s="23"/>
      <c r="AD1057" s="23"/>
      <c r="AE1057" s="23"/>
      <c r="AF1057" s="23"/>
      <c r="AG1057" s="23"/>
      <c r="AH1057" s="23"/>
      <c r="AI1057" s="23"/>
      <c r="AJ1057" s="23"/>
      <c r="AK1057" s="23"/>
      <c r="AL1057" s="23"/>
      <c r="AM1057" s="23"/>
      <c r="AN1057" s="23"/>
      <c r="AO1057" s="23"/>
      <c r="AP1057" s="23"/>
      <c r="AQ1057" s="23"/>
      <c r="AR1057" s="23"/>
      <c r="AS1057" s="23"/>
      <c r="AT1057" s="23"/>
      <c r="AU1057" s="23"/>
      <c r="AV1057" s="23"/>
      <c r="AW1057" s="23"/>
      <c r="AX1057" s="23"/>
      <c r="AY1057" s="23"/>
      <c r="AZ1057" s="23"/>
      <c r="BA1057" s="23"/>
      <c r="BB1057" s="23"/>
    </row>
    <row r="1058" spans="5:54" x14ac:dyDescent="0.35"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  <c r="AC1058" s="23"/>
      <c r="AD1058" s="23"/>
      <c r="AE1058" s="23"/>
      <c r="AF1058" s="23"/>
      <c r="AG1058" s="23"/>
      <c r="AH1058" s="23"/>
      <c r="AI1058" s="23"/>
      <c r="AJ1058" s="23"/>
      <c r="AK1058" s="23"/>
      <c r="AL1058" s="23"/>
      <c r="AM1058" s="23"/>
      <c r="AN1058" s="23"/>
      <c r="AO1058" s="23"/>
      <c r="AP1058" s="23"/>
      <c r="AQ1058" s="23"/>
      <c r="AR1058" s="23"/>
      <c r="AS1058" s="23"/>
      <c r="AT1058" s="23"/>
      <c r="AU1058" s="23"/>
      <c r="AV1058" s="23"/>
      <c r="AW1058" s="23"/>
      <c r="AX1058" s="23"/>
      <c r="AY1058" s="23"/>
      <c r="AZ1058" s="23"/>
      <c r="BA1058" s="23"/>
      <c r="BB1058" s="23"/>
    </row>
    <row r="1059" spans="5:54" x14ac:dyDescent="0.35"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  <c r="AC1059" s="23"/>
      <c r="AD1059" s="23"/>
      <c r="AE1059" s="23"/>
      <c r="AF1059" s="23"/>
      <c r="AG1059" s="23"/>
      <c r="AH1059" s="23"/>
      <c r="AI1059" s="23"/>
      <c r="AJ1059" s="23"/>
      <c r="AK1059" s="23"/>
      <c r="AL1059" s="23"/>
      <c r="AM1059" s="23"/>
      <c r="AN1059" s="23"/>
      <c r="AO1059" s="23"/>
      <c r="AP1059" s="23"/>
      <c r="AQ1059" s="23"/>
      <c r="AR1059" s="23"/>
      <c r="AS1059" s="23"/>
      <c r="AT1059" s="23"/>
      <c r="AU1059" s="23"/>
      <c r="AV1059" s="23"/>
      <c r="AW1059" s="23"/>
      <c r="AX1059" s="23"/>
      <c r="AY1059" s="23"/>
      <c r="AZ1059" s="23"/>
      <c r="BA1059" s="23"/>
      <c r="BB1059" s="23"/>
    </row>
    <row r="1060" spans="5:54" x14ac:dyDescent="0.35"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  <c r="AC1060" s="23"/>
      <c r="AD1060" s="23"/>
      <c r="AE1060" s="23"/>
      <c r="AF1060" s="23"/>
      <c r="AG1060" s="23"/>
      <c r="AH1060" s="23"/>
      <c r="AI1060" s="23"/>
      <c r="AJ1060" s="23"/>
      <c r="AK1060" s="23"/>
      <c r="AL1060" s="23"/>
      <c r="AM1060" s="23"/>
      <c r="AN1060" s="23"/>
      <c r="AO1060" s="23"/>
      <c r="AP1060" s="23"/>
      <c r="AQ1060" s="23"/>
      <c r="AR1060" s="23"/>
      <c r="AS1060" s="23"/>
      <c r="AT1060" s="23"/>
      <c r="AU1060" s="23"/>
      <c r="AV1060" s="23"/>
      <c r="AW1060" s="23"/>
      <c r="AX1060" s="23"/>
      <c r="AY1060" s="23"/>
      <c r="AZ1060" s="23"/>
      <c r="BA1060" s="23"/>
      <c r="BB1060" s="23"/>
    </row>
    <row r="1061" spans="5:54" x14ac:dyDescent="0.35"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  <c r="AC1061" s="23"/>
      <c r="AD1061" s="23"/>
      <c r="AE1061" s="23"/>
      <c r="AF1061" s="23"/>
      <c r="AG1061" s="23"/>
      <c r="AH1061" s="23"/>
      <c r="AI1061" s="23"/>
      <c r="AJ1061" s="23"/>
      <c r="AK1061" s="23"/>
      <c r="AL1061" s="23"/>
      <c r="AM1061" s="23"/>
      <c r="AN1061" s="23"/>
      <c r="AO1061" s="23"/>
      <c r="AP1061" s="23"/>
      <c r="AQ1061" s="23"/>
      <c r="AR1061" s="23"/>
      <c r="AS1061" s="23"/>
      <c r="AT1061" s="23"/>
      <c r="AU1061" s="23"/>
      <c r="AV1061" s="23"/>
      <c r="AW1061" s="23"/>
      <c r="AX1061" s="23"/>
      <c r="AY1061" s="23"/>
      <c r="AZ1061" s="23"/>
      <c r="BA1061" s="23"/>
      <c r="BB1061" s="23"/>
    </row>
    <row r="1062" spans="5:54" x14ac:dyDescent="0.35"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  <c r="AC1062" s="23"/>
      <c r="AD1062" s="23"/>
      <c r="AE1062" s="23"/>
      <c r="AF1062" s="23"/>
      <c r="AG1062" s="23"/>
      <c r="AH1062" s="23"/>
      <c r="AI1062" s="23"/>
      <c r="AJ1062" s="23"/>
      <c r="AK1062" s="23"/>
      <c r="AL1062" s="23"/>
      <c r="AM1062" s="23"/>
      <c r="AN1062" s="23"/>
      <c r="AO1062" s="23"/>
      <c r="AP1062" s="23"/>
      <c r="AQ1062" s="23"/>
      <c r="AR1062" s="23"/>
      <c r="AS1062" s="23"/>
      <c r="AT1062" s="23"/>
      <c r="AU1062" s="23"/>
      <c r="AV1062" s="23"/>
      <c r="AW1062" s="23"/>
      <c r="AX1062" s="23"/>
      <c r="AY1062" s="23"/>
      <c r="AZ1062" s="23"/>
      <c r="BA1062" s="23"/>
      <c r="BB1062" s="23"/>
    </row>
    <row r="1063" spans="5:54" x14ac:dyDescent="0.35"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  <c r="AC1063" s="23"/>
      <c r="AD1063" s="23"/>
      <c r="AE1063" s="23"/>
      <c r="AF1063" s="23"/>
      <c r="AG1063" s="23"/>
      <c r="AH1063" s="23"/>
      <c r="AI1063" s="23"/>
      <c r="AJ1063" s="23"/>
      <c r="AK1063" s="23"/>
      <c r="AL1063" s="23"/>
      <c r="AM1063" s="23"/>
      <c r="AN1063" s="23"/>
      <c r="AO1063" s="23"/>
      <c r="AP1063" s="23"/>
      <c r="AQ1063" s="23"/>
      <c r="AR1063" s="23"/>
      <c r="AS1063" s="23"/>
      <c r="AT1063" s="23"/>
      <c r="AU1063" s="23"/>
      <c r="AV1063" s="23"/>
      <c r="AW1063" s="23"/>
      <c r="AX1063" s="23"/>
      <c r="AY1063" s="23"/>
      <c r="AZ1063" s="23"/>
      <c r="BA1063" s="23"/>
      <c r="BB1063" s="23"/>
    </row>
    <row r="1064" spans="5:54" x14ac:dyDescent="0.35"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  <c r="AC1064" s="23"/>
      <c r="AD1064" s="23"/>
      <c r="AE1064" s="23"/>
      <c r="AF1064" s="23"/>
      <c r="AG1064" s="23"/>
      <c r="AH1064" s="23"/>
      <c r="AI1064" s="23"/>
      <c r="AJ1064" s="23"/>
      <c r="AK1064" s="23"/>
      <c r="AL1064" s="23"/>
      <c r="AM1064" s="23"/>
      <c r="AN1064" s="23"/>
      <c r="AO1064" s="23"/>
      <c r="AP1064" s="23"/>
      <c r="AQ1064" s="23"/>
      <c r="AR1064" s="23"/>
      <c r="AS1064" s="23"/>
      <c r="AT1064" s="23"/>
      <c r="AU1064" s="23"/>
      <c r="AV1064" s="23"/>
      <c r="AW1064" s="23"/>
      <c r="AX1064" s="23"/>
      <c r="AY1064" s="23"/>
      <c r="AZ1064" s="23"/>
      <c r="BA1064" s="23"/>
      <c r="BB1064" s="23"/>
    </row>
    <row r="1065" spans="5:54" x14ac:dyDescent="0.35"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  <c r="AC1065" s="23"/>
      <c r="AD1065" s="23"/>
      <c r="AE1065" s="23"/>
      <c r="AF1065" s="23"/>
      <c r="AG1065" s="23"/>
      <c r="AH1065" s="23"/>
      <c r="AI1065" s="23"/>
      <c r="AJ1065" s="23"/>
      <c r="AK1065" s="23"/>
      <c r="AL1065" s="23"/>
      <c r="AM1065" s="23"/>
      <c r="AN1065" s="23"/>
      <c r="AO1065" s="23"/>
      <c r="AP1065" s="23"/>
      <c r="AQ1065" s="23"/>
      <c r="AR1065" s="23"/>
      <c r="AS1065" s="23"/>
      <c r="AT1065" s="23"/>
      <c r="AU1065" s="23"/>
      <c r="AV1065" s="23"/>
      <c r="AW1065" s="23"/>
      <c r="AX1065" s="23"/>
      <c r="AY1065" s="23"/>
      <c r="AZ1065" s="23"/>
      <c r="BA1065" s="23"/>
      <c r="BB1065" s="23"/>
    </row>
    <row r="1066" spans="5:54" x14ac:dyDescent="0.35"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  <c r="AC1066" s="23"/>
      <c r="AD1066" s="23"/>
      <c r="AE1066" s="23"/>
      <c r="AF1066" s="23"/>
      <c r="AG1066" s="23"/>
      <c r="AH1066" s="23"/>
      <c r="AI1066" s="23"/>
      <c r="AJ1066" s="23"/>
      <c r="AK1066" s="23"/>
      <c r="AL1066" s="23"/>
      <c r="AM1066" s="23"/>
      <c r="AN1066" s="23"/>
      <c r="AO1066" s="23"/>
      <c r="AP1066" s="23"/>
      <c r="AQ1066" s="23"/>
      <c r="AR1066" s="23"/>
      <c r="AS1066" s="23"/>
      <c r="AT1066" s="23"/>
      <c r="AU1066" s="23"/>
      <c r="AV1066" s="23"/>
      <c r="AW1066" s="23"/>
      <c r="AX1066" s="23"/>
      <c r="AY1066" s="23"/>
      <c r="AZ1066" s="23"/>
      <c r="BA1066" s="23"/>
      <c r="BB1066" s="23"/>
    </row>
    <row r="1067" spans="5:54" x14ac:dyDescent="0.35"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  <c r="AC1067" s="23"/>
      <c r="AD1067" s="23"/>
      <c r="AE1067" s="23"/>
      <c r="AF1067" s="23"/>
      <c r="AG1067" s="23"/>
      <c r="AH1067" s="23"/>
      <c r="AI1067" s="23"/>
      <c r="AJ1067" s="23"/>
      <c r="AK1067" s="23"/>
      <c r="AL1067" s="23"/>
      <c r="AM1067" s="23"/>
      <c r="AN1067" s="23"/>
      <c r="AO1067" s="23"/>
      <c r="AP1067" s="23"/>
      <c r="AQ1067" s="23"/>
      <c r="AR1067" s="23"/>
      <c r="AS1067" s="23"/>
      <c r="AT1067" s="23"/>
      <c r="AU1067" s="23"/>
      <c r="AV1067" s="23"/>
      <c r="AW1067" s="23"/>
      <c r="AX1067" s="23"/>
      <c r="AY1067" s="23"/>
      <c r="AZ1067" s="23"/>
      <c r="BA1067" s="23"/>
      <c r="BB1067" s="23"/>
    </row>
    <row r="1068" spans="5:54" x14ac:dyDescent="0.35"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  <c r="AC1068" s="23"/>
      <c r="AD1068" s="23"/>
      <c r="AE1068" s="23"/>
      <c r="AF1068" s="23"/>
      <c r="AG1068" s="23"/>
      <c r="AH1068" s="23"/>
      <c r="AI1068" s="23"/>
      <c r="AJ1068" s="23"/>
      <c r="AK1068" s="23"/>
      <c r="AL1068" s="23"/>
      <c r="AM1068" s="23"/>
      <c r="AN1068" s="23"/>
      <c r="AO1068" s="23"/>
      <c r="AP1068" s="23"/>
      <c r="AQ1068" s="23"/>
      <c r="AR1068" s="23"/>
      <c r="AS1068" s="23"/>
      <c r="AT1068" s="23"/>
      <c r="AU1068" s="23"/>
      <c r="AV1068" s="23"/>
      <c r="AW1068" s="23"/>
      <c r="AX1068" s="23"/>
      <c r="AY1068" s="23"/>
      <c r="AZ1068" s="23"/>
      <c r="BA1068" s="23"/>
      <c r="BB1068" s="23"/>
    </row>
    <row r="1069" spans="5:54" x14ac:dyDescent="0.35"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  <c r="AC1069" s="23"/>
      <c r="AD1069" s="23"/>
      <c r="AE1069" s="23"/>
      <c r="AF1069" s="23"/>
      <c r="AG1069" s="23"/>
      <c r="AH1069" s="23"/>
      <c r="AI1069" s="23"/>
      <c r="AJ1069" s="23"/>
      <c r="AK1069" s="23"/>
      <c r="AL1069" s="23"/>
      <c r="AM1069" s="23"/>
      <c r="AN1069" s="23"/>
      <c r="AO1069" s="23"/>
      <c r="AP1069" s="23"/>
      <c r="AQ1069" s="23"/>
      <c r="AR1069" s="23"/>
      <c r="AS1069" s="23"/>
      <c r="AT1069" s="23"/>
      <c r="AU1069" s="23"/>
      <c r="AV1069" s="23"/>
      <c r="AW1069" s="23"/>
      <c r="AX1069" s="23"/>
      <c r="AY1069" s="23"/>
      <c r="AZ1069" s="23"/>
      <c r="BA1069" s="23"/>
      <c r="BB1069" s="23"/>
    </row>
    <row r="1070" spans="5:54" x14ac:dyDescent="0.35"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  <c r="AC1070" s="23"/>
      <c r="AD1070" s="23"/>
      <c r="AE1070" s="23"/>
      <c r="AF1070" s="23"/>
      <c r="AG1070" s="23"/>
      <c r="AH1070" s="23"/>
      <c r="AI1070" s="23"/>
      <c r="AJ1070" s="23"/>
      <c r="AK1070" s="23"/>
      <c r="AL1070" s="23"/>
      <c r="AM1070" s="23"/>
      <c r="AN1070" s="23"/>
      <c r="AO1070" s="23"/>
      <c r="AP1070" s="23"/>
      <c r="AQ1070" s="23"/>
      <c r="AR1070" s="23"/>
      <c r="AS1070" s="23"/>
      <c r="AT1070" s="23"/>
      <c r="AU1070" s="23"/>
      <c r="AV1070" s="23"/>
      <c r="AW1070" s="23"/>
      <c r="AX1070" s="23"/>
      <c r="AY1070" s="23"/>
      <c r="AZ1070" s="23"/>
      <c r="BA1070" s="23"/>
      <c r="BB1070" s="23"/>
    </row>
    <row r="1071" spans="5:54" x14ac:dyDescent="0.35"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  <c r="AC1071" s="23"/>
      <c r="AD1071" s="23"/>
      <c r="AE1071" s="23"/>
      <c r="AF1071" s="23"/>
      <c r="AG1071" s="23"/>
      <c r="AH1071" s="23"/>
      <c r="AI1071" s="23"/>
      <c r="AJ1071" s="23"/>
      <c r="AK1071" s="23"/>
      <c r="AL1071" s="23"/>
      <c r="AM1071" s="23"/>
      <c r="AN1071" s="23"/>
      <c r="AO1071" s="23"/>
      <c r="AP1071" s="23"/>
      <c r="AQ1071" s="23"/>
      <c r="AR1071" s="23"/>
      <c r="AS1071" s="23"/>
      <c r="AT1071" s="23"/>
      <c r="AU1071" s="23"/>
      <c r="AV1071" s="23"/>
      <c r="AW1071" s="23"/>
      <c r="AX1071" s="23"/>
      <c r="AY1071" s="23"/>
      <c r="AZ1071" s="23"/>
      <c r="BA1071" s="23"/>
      <c r="BB1071" s="23"/>
    </row>
    <row r="1072" spans="5:54" x14ac:dyDescent="0.35"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  <c r="AC1072" s="23"/>
      <c r="AD1072" s="23"/>
      <c r="AE1072" s="23"/>
      <c r="AF1072" s="23"/>
      <c r="AG1072" s="23"/>
      <c r="AH1072" s="23"/>
      <c r="AI1072" s="23"/>
      <c r="AJ1072" s="23"/>
      <c r="AK1072" s="23"/>
      <c r="AL1072" s="23"/>
      <c r="AM1072" s="23"/>
      <c r="AN1072" s="23"/>
      <c r="AO1072" s="23"/>
      <c r="AP1072" s="23"/>
      <c r="AQ1072" s="23"/>
      <c r="AR1072" s="23"/>
      <c r="AS1072" s="23"/>
      <c r="AT1072" s="23"/>
      <c r="AU1072" s="23"/>
      <c r="AV1072" s="23"/>
      <c r="AW1072" s="23"/>
      <c r="AX1072" s="23"/>
      <c r="AY1072" s="23"/>
      <c r="AZ1072" s="23"/>
      <c r="BA1072" s="23"/>
      <c r="BB1072" s="23"/>
    </row>
    <row r="1073" spans="5:54" x14ac:dyDescent="0.35"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  <c r="AC1073" s="23"/>
      <c r="AD1073" s="23"/>
      <c r="AE1073" s="23"/>
      <c r="AF1073" s="23"/>
      <c r="AG1073" s="23"/>
      <c r="AH1073" s="23"/>
      <c r="AI1073" s="23"/>
      <c r="AJ1073" s="23"/>
      <c r="AK1073" s="23"/>
      <c r="AL1073" s="23"/>
      <c r="AM1073" s="23"/>
      <c r="AN1073" s="23"/>
      <c r="AO1073" s="23"/>
      <c r="AP1073" s="23"/>
      <c r="AQ1073" s="23"/>
      <c r="AR1073" s="23"/>
      <c r="AS1073" s="23"/>
      <c r="AT1073" s="23"/>
      <c r="AU1073" s="23"/>
      <c r="AV1073" s="23"/>
      <c r="AW1073" s="23"/>
      <c r="AX1073" s="23"/>
      <c r="AY1073" s="23"/>
      <c r="AZ1073" s="23"/>
      <c r="BA1073" s="23"/>
      <c r="BB1073" s="23"/>
    </row>
    <row r="1074" spans="5:54" x14ac:dyDescent="0.35"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  <c r="AC1074" s="23"/>
      <c r="AD1074" s="23"/>
      <c r="AE1074" s="23"/>
      <c r="AF1074" s="23"/>
      <c r="AG1074" s="23"/>
      <c r="AH1074" s="23"/>
      <c r="AI1074" s="23"/>
      <c r="AJ1074" s="23"/>
      <c r="AK1074" s="23"/>
      <c r="AL1074" s="23"/>
      <c r="AM1074" s="23"/>
      <c r="AN1074" s="23"/>
      <c r="AO1074" s="23"/>
      <c r="AP1074" s="23"/>
      <c r="AQ1074" s="23"/>
      <c r="AR1074" s="23"/>
      <c r="AS1074" s="23"/>
      <c r="AT1074" s="23"/>
      <c r="AU1074" s="23"/>
      <c r="AV1074" s="23"/>
      <c r="AW1074" s="23"/>
      <c r="AX1074" s="23"/>
      <c r="AY1074" s="23"/>
      <c r="AZ1074" s="23"/>
      <c r="BA1074" s="23"/>
      <c r="BB1074" s="23"/>
    </row>
    <row r="1075" spans="5:54" x14ac:dyDescent="0.35"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  <c r="AC1075" s="23"/>
      <c r="AD1075" s="23"/>
      <c r="AE1075" s="23"/>
      <c r="AF1075" s="23"/>
      <c r="AG1075" s="23"/>
      <c r="AH1075" s="23"/>
      <c r="AI1075" s="23"/>
      <c r="AJ1075" s="23"/>
      <c r="AK1075" s="23"/>
      <c r="AL1075" s="23"/>
      <c r="AM1075" s="23"/>
      <c r="AN1075" s="23"/>
      <c r="AO1075" s="23"/>
      <c r="AP1075" s="23"/>
      <c r="AQ1075" s="23"/>
      <c r="AR1075" s="23"/>
      <c r="AS1075" s="23"/>
      <c r="AT1075" s="23"/>
      <c r="AU1075" s="23"/>
      <c r="AV1075" s="23"/>
      <c r="AW1075" s="23"/>
      <c r="AX1075" s="23"/>
      <c r="AY1075" s="23"/>
      <c r="AZ1075" s="23"/>
      <c r="BA1075" s="23"/>
      <c r="BB1075" s="23"/>
    </row>
    <row r="1076" spans="5:54" x14ac:dyDescent="0.35"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  <c r="AC1076" s="23"/>
      <c r="AD1076" s="23"/>
      <c r="AE1076" s="23"/>
      <c r="AF1076" s="23"/>
      <c r="AG1076" s="23"/>
      <c r="AH1076" s="23"/>
      <c r="AI1076" s="23"/>
      <c r="AJ1076" s="23"/>
      <c r="AK1076" s="23"/>
      <c r="AL1076" s="23"/>
      <c r="AM1076" s="23"/>
      <c r="AN1076" s="23"/>
      <c r="AO1076" s="23"/>
      <c r="AP1076" s="23"/>
      <c r="AQ1076" s="23"/>
      <c r="AR1076" s="23"/>
      <c r="AS1076" s="23"/>
      <c r="AT1076" s="23"/>
      <c r="AU1076" s="23"/>
      <c r="AV1076" s="23"/>
      <c r="AW1076" s="23"/>
      <c r="AX1076" s="23"/>
      <c r="AY1076" s="23"/>
      <c r="AZ1076" s="23"/>
      <c r="BA1076" s="23"/>
      <c r="BB1076" s="23"/>
    </row>
    <row r="1077" spans="5:54" x14ac:dyDescent="0.35"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  <c r="AC1077" s="23"/>
      <c r="AD1077" s="23"/>
      <c r="AE1077" s="23"/>
      <c r="AF1077" s="23"/>
      <c r="AG1077" s="23"/>
      <c r="AH1077" s="23"/>
      <c r="AI1077" s="23"/>
      <c r="AJ1077" s="23"/>
      <c r="AK1077" s="23"/>
      <c r="AL1077" s="23"/>
      <c r="AM1077" s="23"/>
      <c r="AN1077" s="23"/>
      <c r="AO1077" s="23"/>
      <c r="AP1077" s="23"/>
      <c r="AQ1077" s="23"/>
      <c r="AR1077" s="23"/>
      <c r="AS1077" s="23"/>
      <c r="AT1077" s="23"/>
      <c r="AU1077" s="23"/>
      <c r="AV1077" s="23"/>
      <c r="AW1077" s="23"/>
      <c r="AX1077" s="23"/>
      <c r="AY1077" s="23"/>
      <c r="AZ1077" s="23"/>
      <c r="BA1077" s="23"/>
      <c r="BB1077" s="23"/>
    </row>
    <row r="1078" spans="5:54" x14ac:dyDescent="0.35"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  <c r="AC1078" s="23"/>
      <c r="AD1078" s="23"/>
      <c r="AE1078" s="23"/>
      <c r="AF1078" s="23"/>
      <c r="AG1078" s="23"/>
      <c r="AH1078" s="23"/>
      <c r="AI1078" s="23"/>
      <c r="AJ1078" s="23"/>
      <c r="AK1078" s="23"/>
      <c r="AL1078" s="23"/>
      <c r="AM1078" s="23"/>
      <c r="AN1078" s="23"/>
      <c r="AO1078" s="23"/>
      <c r="AP1078" s="23"/>
      <c r="AQ1078" s="23"/>
      <c r="AR1078" s="23"/>
      <c r="AS1078" s="23"/>
      <c r="AT1078" s="23"/>
      <c r="AU1078" s="23"/>
      <c r="AV1078" s="23"/>
      <c r="AW1078" s="23"/>
      <c r="AX1078" s="23"/>
      <c r="AY1078" s="23"/>
      <c r="AZ1078" s="23"/>
      <c r="BA1078" s="23"/>
      <c r="BB1078" s="23"/>
    </row>
    <row r="1079" spans="5:54" x14ac:dyDescent="0.35"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  <c r="AC1079" s="23"/>
      <c r="AD1079" s="23"/>
      <c r="AE1079" s="23"/>
      <c r="AF1079" s="23"/>
      <c r="AG1079" s="23"/>
      <c r="AH1079" s="23"/>
      <c r="AI1079" s="23"/>
      <c r="AJ1079" s="23"/>
      <c r="AK1079" s="23"/>
      <c r="AL1079" s="23"/>
      <c r="AM1079" s="23"/>
      <c r="AN1079" s="23"/>
      <c r="AO1079" s="23"/>
      <c r="AP1079" s="23"/>
      <c r="AQ1079" s="23"/>
      <c r="AR1079" s="23"/>
      <c r="AS1079" s="23"/>
      <c r="AT1079" s="23"/>
      <c r="AU1079" s="23"/>
      <c r="AV1079" s="23"/>
      <c r="AW1079" s="23"/>
      <c r="AX1079" s="23"/>
      <c r="AY1079" s="23"/>
      <c r="AZ1079" s="23"/>
      <c r="BA1079" s="23"/>
      <c r="BB1079" s="23"/>
    </row>
    <row r="1080" spans="5:54" x14ac:dyDescent="0.35"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  <c r="AN1080" s="23"/>
      <c r="AO1080" s="23"/>
      <c r="AP1080" s="23"/>
      <c r="AQ1080" s="23"/>
      <c r="AR1080" s="23"/>
      <c r="AS1080" s="23"/>
      <c r="AT1080" s="23"/>
      <c r="AU1080" s="23"/>
      <c r="AV1080" s="23"/>
      <c r="AW1080" s="23"/>
      <c r="AX1080" s="23"/>
      <c r="AY1080" s="23"/>
      <c r="AZ1080" s="23"/>
      <c r="BA1080" s="23"/>
      <c r="BB1080" s="23"/>
    </row>
    <row r="1081" spans="5:54" x14ac:dyDescent="0.35"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  <c r="AC1081" s="23"/>
      <c r="AD1081" s="23"/>
      <c r="AE1081" s="23"/>
      <c r="AF1081" s="23"/>
      <c r="AG1081" s="23"/>
      <c r="AH1081" s="23"/>
      <c r="AI1081" s="23"/>
      <c r="AJ1081" s="23"/>
      <c r="AK1081" s="23"/>
      <c r="AL1081" s="23"/>
      <c r="AM1081" s="23"/>
      <c r="AN1081" s="23"/>
      <c r="AO1081" s="23"/>
      <c r="AP1081" s="23"/>
      <c r="AQ1081" s="23"/>
      <c r="AR1081" s="23"/>
      <c r="AS1081" s="23"/>
      <c r="AT1081" s="23"/>
      <c r="AU1081" s="23"/>
      <c r="AV1081" s="23"/>
      <c r="AW1081" s="23"/>
      <c r="AX1081" s="23"/>
      <c r="AY1081" s="23"/>
      <c r="AZ1081" s="23"/>
      <c r="BA1081" s="23"/>
      <c r="BB1081" s="23"/>
    </row>
    <row r="1082" spans="5:54" x14ac:dyDescent="0.35"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  <c r="AC1082" s="23"/>
      <c r="AD1082" s="23"/>
      <c r="AE1082" s="23"/>
      <c r="AF1082" s="23"/>
      <c r="AG1082" s="23"/>
      <c r="AH1082" s="23"/>
      <c r="AI1082" s="23"/>
      <c r="AJ1082" s="23"/>
      <c r="AK1082" s="23"/>
      <c r="AL1082" s="23"/>
      <c r="AM1082" s="23"/>
      <c r="AN1082" s="23"/>
      <c r="AO1082" s="23"/>
      <c r="AP1082" s="23"/>
      <c r="AQ1082" s="23"/>
      <c r="AR1082" s="23"/>
      <c r="AS1082" s="23"/>
      <c r="AT1082" s="23"/>
      <c r="AU1082" s="23"/>
      <c r="AV1082" s="23"/>
      <c r="AW1082" s="23"/>
      <c r="AX1082" s="23"/>
      <c r="AY1082" s="23"/>
      <c r="AZ1082" s="23"/>
      <c r="BA1082" s="23"/>
      <c r="BB1082" s="23"/>
    </row>
    <row r="1083" spans="5:54" x14ac:dyDescent="0.35"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  <c r="AC1083" s="23"/>
      <c r="AD1083" s="23"/>
      <c r="AE1083" s="23"/>
      <c r="AF1083" s="23"/>
      <c r="AG1083" s="23"/>
      <c r="AH1083" s="23"/>
      <c r="AI1083" s="23"/>
      <c r="AJ1083" s="23"/>
      <c r="AK1083" s="23"/>
      <c r="AL1083" s="23"/>
      <c r="AM1083" s="23"/>
      <c r="AN1083" s="23"/>
      <c r="AO1083" s="23"/>
      <c r="AP1083" s="23"/>
      <c r="AQ1083" s="23"/>
      <c r="AR1083" s="23"/>
      <c r="AS1083" s="23"/>
      <c r="AT1083" s="23"/>
      <c r="AU1083" s="23"/>
      <c r="AV1083" s="23"/>
      <c r="AW1083" s="23"/>
      <c r="AX1083" s="23"/>
      <c r="AY1083" s="23"/>
      <c r="AZ1083" s="23"/>
      <c r="BA1083" s="23"/>
      <c r="BB1083" s="23"/>
    </row>
    <row r="1084" spans="5:54" x14ac:dyDescent="0.35"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  <c r="AC1084" s="23"/>
      <c r="AD1084" s="23"/>
      <c r="AE1084" s="23"/>
      <c r="AF1084" s="23"/>
      <c r="AG1084" s="23"/>
      <c r="AH1084" s="23"/>
      <c r="AI1084" s="23"/>
      <c r="AJ1084" s="23"/>
      <c r="AK1084" s="23"/>
      <c r="AL1084" s="23"/>
      <c r="AM1084" s="23"/>
      <c r="AN1084" s="23"/>
      <c r="AO1084" s="23"/>
      <c r="AP1084" s="23"/>
      <c r="AQ1084" s="23"/>
      <c r="AR1084" s="23"/>
      <c r="AS1084" s="23"/>
      <c r="AT1084" s="23"/>
      <c r="AU1084" s="23"/>
      <c r="AV1084" s="23"/>
      <c r="AW1084" s="23"/>
      <c r="AX1084" s="23"/>
      <c r="AY1084" s="23"/>
      <c r="AZ1084" s="23"/>
      <c r="BA1084" s="23"/>
      <c r="BB1084" s="23"/>
    </row>
    <row r="1085" spans="5:54" x14ac:dyDescent="0.35"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  <c r="AC1085" s="23"/>
      <c r="AD1085" s="23"/>
      <c r="AE1085" s="23"/>
      <c r="AF1085" s="23"/>
      <c r="AG1085" s="23"/>
      <c r="AH1085" s="23"/>
      <c r="AI1085" s="23"/>
      <c r="AJ1085" s="23"/>
      <c r="AK1085" s="23"/>
      <c r="AL1085" s="23"/>
      <c r="AM1085" s="23"/>
      <c r="AN1085" s="23"/>
      <c r="AO1085" s="23"/>
      <c r="AP1085" s="23"/>
      <c r="AQ1085" s="23"/>
      <c r="AR1085" s="23"/>
      <c r="AS1085" s="23"/>
      <c r="AT1085" s="23"/>
      <c r="AU1085" s="23"/>
      <c r="AV1085" s="23"/>
      <c r="AW1085" s="23"/>
      <c r="AX1085" s="23"/>
      <c r="AY1085" s="23"/>
      <c r="AZ1085" s="23"/>
      <c r="BA1085" s="23"/>
      <c r="BB1085" s="23"/>
    </row>
    <row r="1086" spans="5:54" x14ac:dyDescent="0.35"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  <c r="AC1086" s="23"/>
      <c r="AD1086" s="23"/>
      <c r="AE1086" s="23"/>
      <c r="AF1086" s="23"/>
      <c r="AG1086" s="23"/>
      <c r="AH1086" s="23"/>
      <c r="AI1086" s="23"/>
      <c r="AJ1086" s="23"/>
      <c r="AK1086" s="23"/>
      <c r="AL1086" s="23"/>
      <c r="AM1086" s="23"/>
      <c r="AN1086" s="23"/>
      <c r="AO1086" s="23"/>
      <c r="AP1086" s="23"/>
      <c r="AQ1086" s="23"/>
      <c r="AR1086" s="23"/>
      <c r="AS1086" s="23"/>
      <c r="AT1086" s="23"/>
      <c r="AU1086" s="23"/>
      <c r="AV1086" s="23"/>
      <c r="AW1086" s="23"/>
      <c r="AX1086" s="23"/>
      <c r="AY1086" s="23"/>
      <c r="AZ1086" s="23"/>
      <c r="BA1086" s="23"/>
      <c r="BB1086" s="23"/>
    </row>
    <row r="1087" spans="5:54" x14ac:dyDescent="0.35"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  <c r="AC1087" s="23"/>
      <c r="AD1087" s="23"/>
      <c r="AE1087" s="23"/>
      <c r="AF1087" s="23"/>
      <c r="AG1087" s="23"/>
      <c r="AH1087" s="23"/>
      <c r="AI1087" s="23"/>
      <c r="AJ1087" s="23"/>
      <c r="AK1087" s="23"/>
      <c r="AL1087" s="23"/>
      <c r="AM1087" s="23"/>
      <c r="AN1087" s="23"/>
      <c r="AO1087" s="23"/>
      <c r="AP1087" s="23"/>
      <c r="AQ1087" s="23"/>
      <c r="AR1087" s="23"/>
      <c r="AS1087" s="23"/>
      <c r="AT1087" s="23"/>
      <c r="AU1087" s="23"/>
      <c r="AV1087" s="23"/>
      <c r="AW1087" s="23"/>
      <c r="AX1087" s="23"/>
      <c r="AY1087" s="23"/>
      <c r="AZ1087" s="23"/>
      <c r="BA1087" s="23"/>
      <c r="BB1087" s="23"/>
    </row>
    <row r="1088" spans="5:54" x14ac:dyDescent="0.35"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  <c r="AC1088" s="23"/>
      <c r="AD1088" s="23"/>
      <c r="AE1088" s="23"/>
      <c r="AF1088" s="23"/>
      <c r="AG1088" s="23"/>
      <c r="AH1088" s="23"/>
      <c r="AI1088" s="23"/>
      <c r="AJ1088" s="23"/>
      <c r="AK1088" s="23"/>
      <c r="AL1088" s="23"/>
      <c r="AM1088" s="23"/>
      <c r="AN1088" s="23"/>
      <c r="AO1088" s="23"/>
      <c r="AP1088" s="23"/>
      <c r="AQ1088" s="23"/>
      <c r="AR1088" s="23"/>
      <c r="AS1088" s="23"/>
      <c r="AT1088" s="23"/>
      <c r="AU1088" s="23"/>
      <c r="AV1088" s="23"/>
      <c r="AW1088" s="23"/>
      <c r="AX1088" s="23"/>
      <c r="AY1088" s="23"/>
      <c r="AZ1088" s="23"/>
      <c r="BA1088" s="23"/>
      <c r="BB1088" s="23"/>
    </row>
    <row r="1089" spans="5:54" x14ac:dyDescent="0.35"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  <c r="AC1089" s="23"/>
      <c r="AD1089" s="23"/>
      <c r="AE1089" s="23"/>
      <c r="AF1089" s="23"/>
      <c r="AG1089" s="23"/>
      <c r="AH1089" s="23"/>
      <c r="AI1089" s="23"/>
      <c r="AJ1089" s="23"/>
      <c r="AK1089" s="23"/>
      <c r="AL1089" s="23"/>
      <c r="AM1089" s="23"/>
      <c r="AN1089" s="23"/>
      <c r="AO1089" s="23"/>
      <c r="AP1089" s="23"/>
      <c r="AQ1089" s="23"/>
      <c r="AR1089" s="23"/>
      <c r="AS1089" s="23"/>
      <c r="AT1089" s="23"/>
      <c r="AU1089" s="23"/>
      <c r="AV1089" s="23"/>
      <c r="AW1089" s="23"/>
      <c r="AX1089" s="23"/>
      <c r="AY1089" s="23"/>
      <c r="AZ1089" s="23"/>
      <c r="BA1089" s="23"/>
      <c r="BB1089" s="23"/>
    </row>
    <row r="1090" spans="5:54" x14ac:dyDescent="0.35"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  <c r="AC1090" s="23"/>
      <c r="AD1090" s="23"/>
      <c r="AE1090" s="23"/>
      <c r="AF1090" s="23"/>
      <c r="AG1090" s="23"/>
      <c r="AH1090" s="23"/>
      <c r="AI1090" s="23"/>
      <c r="AJ1090" s="23"/>
      <c r="AK1090" s="23"/>
      <c r="AL1090" s="23"/>
      <c r="AM1090" s="23"/>
      <c r="AN1090" s="23"/>
      <c r="AO1090" s="23"/>
      <c r="AP1090" s="23"/>
      <c r="AQ1090" s="23"/>
      <c r="AR1090" s="23"/>
      <c r="AS1090" s="23"/>
      <c r="AT1090" s="23"/>
      <c r="AU1090" s="23"/>
      <c r="AV1090" s="23"/>
      <c r="AW1090" s="23"/>
      <c r="AX1090" s="23"/>
      <c r="AY1090" s="23"/>
      <c r="AZ1090" s="23"/>
      <c r="BA1090" s="23"/>
      <c r="BB1090" s="23"/>
    </row>
    <row r="1091" spans="5:54" x14ac:dyDescent="0.35"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  <c r="AC1091" s="23"/>
      <c r="AD1091" s="23"/>
      <c r="AE1091" s="23"/>
      <c r="AF1091" s="23"/>
      <c r="AG1091" s="23"/>
      <c r="AH1091" s="23"/>
      <c r="AI1091" s="23"/>
      <c r="AJ1091" s="23"/>
      <c r="AK1091" s="23"/>
      <c r="AL1091" s="23"/>
      <c r="AM1091" s="23"/>
      <c r="AN1091" s="23"/>
      <c r="AO1091" s="23"/>
      <c r="AP1091" s="23"/>
      <c r="AQ1091" s="23"/>
      <c r="AR1091" s="23"/>
      <c r="AS1091" s="23"/>
      <c r="AT1091" s="23"/>
      <c r="AU1091" s="23"/>
      <c r="AV1091" s="23"/>
      <c r="AW1091" s="23"/>
      <c r="AX1091" s="23"/>
      <c r="AY1091" s="23"/>
      <c r="AZ1091" s="23"/>
      <c r="BA1091" s="23"/>
      <c r="BB1091" s="23"/>
    </row>
    <row r="1092" spans="5:54" x14ac:dyDescent="0.35"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23"/>
      <c r="AI1092" s="23"/>
      <c r="AJ1092" s="23"/>
      <c r="AK1092" s="23"/>
      <c r="AL1092" s="23"/>
      <c r="AM1092" s="23"/>
      <c r="AN1092" s="23"/>
      <c r="AO1092" s="23"/>
      <c r="AP1092" s="23"/>
      <c r="AQ1092" s="23"/>
      <c r="AR1092" s="23"/>
      <c r="AS1092" s="23"/>
      <c r="AT1092" s="23"/>
      <c r="AU1092" s="23"/>
      <c r="AV1092" s="23"/>
      <c r="AW1092" s="23"/>
      <c r="AX1092" s="23"/>
      <c r="AY1092" s="23"/>
      <c r="AZ1092" s="23"/>
      <c r="BA1092" s="23"/>
      <c r="BB1092" s="23"/>
    </row>
    <row r="1093" spans="5:54" x14ac:dyDescent="0.35"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  <c r="AC1093" s="23"/>
      <c r="AD1093" s="23"/>
      <c r="AE1093" s="23"/>
      <c r="AF1093" s="23"/>
      <c r="AG1093" s="23"/>
      <c r="AH1093" s="23"/>
      <c r="AI1093" s="23"/>
      <c r="AJ1093" s="23"/>
      <c r="AK1093" s="23"/>
      <c r="AL1093" s="23"/>
      <c r="AM1093" s="23"/>
      <c r="AN1093" s="23"/>
      <c r="AO1093" s="23"/>
      <c r="AP1093" s="23"/>
      <c r="AQ1093" s="23"/>
      <c r="AR1093" s="23"/>
      <c r="AS1093" s="23"/>
      <c r="AT1093" s="23"/>
      <c r="AU1093" s="23"/>
      <c r="AV1093" s="23"/>
      <c r="AW1093" s="23"/>
      <c r="AX1093" s="23"/>
      <c r="AY1093" s="23"/>
      <c r="AZ1093" s="23"/>
      <c r="BA1093" s="23"/>
      <c r="BB1093" s="23"/>
    </row>
    <row r="1094" spans="5:54" x14ac:dyDescent="0.35"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/>
      <c r="AK1094" s="23"/>
      <c r="AL1094" s="23"/>
      <c r="AM1094" s="23"/>
      <c r="AN1094" s="23"/>
      <c r="AO1094" s="23"/>
      <c r="AP1094" s="23"/>
      <c r="AQ1094" s="23"/>
      <c r="AR1094" s="23"/>
      <c r="AS1094" s="23"/>
      <c r="AT1094" s="23"/>
      <c r="AU1094" s="23"/>
      <c r="AV1094" s="23"/>
      <c r="AW1094" s="23"/>
      <c r="AX1094" s="23"/>
      <c r="AY1094" s="23"/>
      <c r="AZ1094" s="23"/>
      <c r="BA1094" s="23"/>
      <c r="BB1094" s="23"/>
    </row>
    <row r="1095" spans="5:54" x14ac:dyDescent="0.35"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  <c r="AC1095" s="23"/>
      <c r="AD1095" s="23"/>
      <c r="AE1095" s="23"/>
      <c r="AF1095" s="23"/>
      <c r="AG1095" s="23"/>
      <c r="AH1095" s="23"/>
      <c r="AI1095" s="23"/>
      <c r="AJ1095" s="23"/>
      <c r="AK1095" s="23"/>
      <c r="AL1095" s="23"/>
      <c r="AM1095" s="23"/>
      <c r="AN1095" s="23"/>
      <c r="AO1095" s="23"/>
      <c r="AP1095" s="23"/>
      <c r="AQ1095" s="23"/>
      <c r="AR1095" s="23"/>
      <c r="AS1095" s="23"/>
      <c r="AT1095" s="23"/>
      <c r="AU1095" s="23"/>
      <c r="AV1095" s="23"/>
      <c r="AW1095" s="23"/>
      <c r="AX1095" s="23"/>
      <c r="AY1095" s="23"/>
      <c r="AZ1095" s="23"/>
      <c r="BA1095" s="23"/>
      <c r="BB1095" s="23"/>
    </row>
    <row r="1096" spans="5:54" x14ac:dyDescent="0.35"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23"/>
      <c r="AG1096" s="23"/>
      <c r="AH1096" s="23"/>
      <c r="AI1096" s="23"/>
      <c r="AJ1096" s="23"/>
      <c r="AK1096" s="23"/>
      <c r="AL1096" s="23"/>
      <c r="AM1096" s="23"/>
      <c r="AN1096" s="23"/>
      <c r="AO1096" s="23"/>
      <c r="AP1096" s="23"/>
      <c r="AQ1096" s="23"/>
      <c r="AR1096" s="23"/>
      <c r="AS1096" s="23"/>
      <c r="AT1096" s="23"/>
      <c r="AU1096" s="23"/>
      <c r="AV1096" s="23"/>
      <c r="AW1096" s="23"/>
      <c r="AX1096" s="23"/>
      <c r="AY1096" s="23"/>
      <c r="AZ1096" s="23"/>
      <c r="BA1096" s="23"/>
      <c r="BB1096" s="23"/>
    </row>
    <row r="1097" spans="5:54" x14ac:dyDescent="0.35"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/>
      <c r="AK1097" s="23"/>
      <c r="AL1097" s="23"/>
      <c r="AM1097" s="23"/>
      <c r="AN1097" s="23"/>
      <c r="AO1097" s="23"/>
      <c r="AP1097" s="23"/>
      <c r="AQ1097" s="23"/>
      <c r="AR1097" s="23"/>
      <c r="AS1097" s="23"/>
      <c r="AT1097" s="23"/>
      <c r="AU1097" s="23"/>
      <c r="AV1097" s="23"/>
      <c r="AW1097" s="23"/>
      <c r="AX1097" s="23"/>
      <c r="AY1097" s="23"/>
      <c r="AZ1097" s="23"/>
      <c r="BA1097" s="23"/>
      <c r="BB1097" s="23"/>
    </row>
    <row r="1098" spans="5:54" x14ac:dyDescent="0.35"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/>
      <c r="AK1098" s="23"/>
      <c r="AL1098" s="23"/>
      <c r="AM1098" s="23"/>
      <c r="AN1098" s="23"/>
      <c r="AO1098" s="23"/>
      <c r="AP1098" s="23"/>
      <c r="AQ1098" s="23"/>
      <c r="AR1098" s="23"/>
      <c r="AS1098" s="23"/>
      <c r="AT1098" s="23"/>
      <c r="AU1098" s="23"/>
      <c r="AV1098" s="23"/>
      <c r="AW1098" s="23"/>
      <c r="AX1098" s="23"/>
      <c r="AY1098" s="23"/>
      <c r="AZ1098" s="23"/>
      <c r="BA1098" s="23"/>
      <c r="BB1098" s="23"/>
    </row>
    <row r="1099" spans="5:54" x14ac:dyDescent="0.35"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  <c r="AC1099" s="23"/>
      <c r="AD1099" s="23"/>
      <c r="AE1099" s="23"/>
      <c r="AF1099" s="23"/>
      <c r="AG1099" s="23"/>
      <c r="AH1099" s="23"/>
      <c r="AI1099" s="23"/>
      <c r="AJ1099" s="23"/>
      <c r="AK1099" s="23"/>
      <c r="AL1099" s="23"/>
      <c r="AM1099" s="23"/>
      <c r="AN1099" s="23"/>
      <c r="AO1099" s="23"/>
      <c r="AP1099" s="23"/>
      <c r="AQ1099" s="23"/>
      <c r="AR1099" s="23"/>
      <c r="AS1099" s="23"/>
      <c r="AT1099" s="23"/>
      <c r="AU1099" s="23"/>
      <c r="AV1099" s="23"/>
      <c r="AW1099" s="23"/>
      <c r="AX1099" s="23"/>
      <c r="AY1099" s="23"/>
      <c r="AZ1099" s="23"/>
      <c r="BA1099" s="23"/>
      <c r="BB1099" s="23"/>
    </row>
    <row r="1100" spans="5:54" x14ac:dyDescent="0.35"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/>
      <c r="AK1100" s="23"/>
      <c r="AL1100" s="23"/>
      <c r="AM1100" s="23"/>
      <c r="AN1100" s="23"/>
      <c r="AO1100" s="23"/>
      <c r="AP1100" s="23"/>
      <c r="AQ1100" s="23"/>
      <c r="AR1100" s="23"/>
      <c r="AS1100" s="23"/>
      <c r="AT1100" s="23"/>
      <c r="AU1100" s="23"/>
      <c r="AV1100" s="23"/>
      <c r="AW1100" s="23"/>
      <c r="AX1100" s="23"/>
      <c r="AY1100" s="23"/>
      <c r="AZ1100" s="23"/>
      <c r="BA1100" s="23"/>
      <c r="BB1100" s="23"/>
    </row>
    <row r="1101" spans="5:54" x14ac:dyDescent="0.35"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  <c r="AC1101" s="23"/>
      <c r="AD1101" s="23"/>
      <c r="AE1101" s="23"/>
      <c r="AF1101" s="23"/>
      <c r="AG1101" s="23"/>
      <c r="AH1101" s="23"/>
      <c r="AI1101" s="23"/>
      <c r="AJ1101" s="23"/>
      <c r="AK1101" s="23"/>
      <c r="AL1101" s="23"/>
      <c r="AM1101" s="23"/>
      <c r="AN1101" s="23"/>
      <c r="AO1101" s="23"/>
      <c r="AP1101" s="23"/>
      <c r="AQ1101" s="23"/>
      <c r="AR1101" s="23"/>
      <c r="AS1101" s="23"/>
      <c r="AT1101" s="23"/>
      <c r="AU1101" s="23"/>
      <c r="AV1101" s="23"/>
      <c r="AW1101" s="23"/>
      <c r="AX1101" s="23"/>
      <c r="AY1101" s="23"/>
      <c r="AZ1101" s="23"/>
      <c r="BA1101" s="23"/>
      <c r="BB1101" s="23"/>
    </row>
    <row r="1102" spans="5:54" x14ac:dyDescent="0.35"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  <c r="AC1102" s="23"/>
      <c r="AD1102" s="23"/>
      <c r="AE1102" s="23"/>
      <c r="AF1102" s="23"/>
      <c r="AG1102" s="23"/>
      <c r="AH1102" s="23"/>
      <c r="AI1102" s="23"/>
      <c r="AJ1102" s="23"/>
      <c r="AK1102" s="23"/>
      <c r="AL1102" s="23"/>
      <c r="AM1102" s="23"/>
      <c r="AN1102" s="23"/>
      <c r="AO1102" s="23"/>
      <c r="AP1102" s="23"/>
      <c r="AQ1102" s="23"/>
      <c r="AR1102" s="23"/>
      <c r="AS1102" s="23"/>
      <c r="AT1102" s="23"/>
      <c r="AU1102" s="23"/>
      <c r="AV1102" s="23"/>
      <c r="AW1102" s="23"/>
      <c r="AX1102" s="23"/>
      <c r="AY1102" s="23"/>
      <c r="AZ1102" s="23"/>
      <c r="BA1102" s="23"/>
      <c r="BB1102" s="23"/>
    </row>
    <row r="1103" spans="5:54" x14ac:dyDescent="0.35"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  <c r="AC1103" s="23"/>
      <c r="AD1103" s="23"/>
      <c r="AE1103" s="23"/>
      <c r="AF1103" s="23"/>
      <c r="AG1103" s="23"/>
      <c r="AH1103" s="23"/>
      <c r="AI1103" s="23"/>
      <c r="AJ1103" s="23"/>
      <c r="AK1103" s="23"/>
      <c r="AL1103" s="23"/>
      <c r="AM1103" s="23"/>
      <c r="AN1103" s="23"/>
      <c r="AO1103" s="23"/>
      <c r="AP1103" s="23"/>
      <c r="AQ1103" s="23"/>
      <c r="AR1103" s="23"/>
      <c r="AS1103" s="23"/>
      <c r="AT1103" s="23"/>
      <c r="AU1103" s="23"/>
      <c r="AV1103" s="23"/>
      <c r="AW1103" s="23"/>
      <c r="AX1103" s="23"/>
      <c r="AY1103" s="23"/>
      <c r="AZ1103" s="23"/>
      <c r="BA1103" s="23"/>
      <c r="BB1103" s="23"/>
    </row>
    <row r="1104" spans="5:54" x14ac:dyDescent="0.35"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  <c r="AC1104" s="23"/>
      <c r="AD1104" s="23"/>
      <c r="AE1104" s="23"/>
      <c r="AF1104" s="23"/>
      <c r="AG1104" s="23"/>
      <c r="AH1104" s="23"/>
      <c r="AI1104" s="23"/>
      <c r="AJ1104" s="23"/>
      <c r="AK1104" s="23"/>
      <c r="AL1104" s="23"/>
      <c r="AM1104" s="23"/>
      <c r="AN1104" s="23"/>
      <c r="AO1104" s="23"/>
      <c r="AP1104" s="23"/>
      <c r="AQ1104" s="23"/>
      <c r="AR1104" s="23"/>
      <c r="AS1104" s="23"/>
      <c r="AT1104" s="23"/>
      <c r="AU1104" s="23"/>
      <c r="AV1104" s="23"/>
      <c r="AW1104" s="23"/>
      <c r="AX1104" s="23"/>
      <c r="AY1104" s="23"/>
      <c r="AZ1104" s="23"/>
      <c r="BA1104" s="23"/>
      <c r="BB1104" s="23"/>
    </row>
    <row r="1105" spans="5:54" x14ac:dyDescent="0.35"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  <c r="AC1105" s="23"/>
      <c r="AD1105" s="23"/>
      <c r="AE1105" s="23"/>
      <c r="AF1105" s="23"/>
      <c r="AG1105" s="23"/>
      <c r="AH1105" s="23"/>
      <c r="AI1105" s="23"/>
      <c r="AJ1105" s="23"/>
      <c r="AK1105" s="23"/>
      <c r="AL1105" s="23"/>
      <c r="AM1105" s="23"/>
      <c r="AN1105" s="23"/>
      <c r="AO1105" s="23"/>
      <c r="AP1105" s="23"/>
      <c r="AQ1105" s="23"/>
      <c r="AR1105" s="23"/>
      <c r="AS1105" s="23"/>
      <c r="AT1105" s="23"/>
      <c r="AU1105" s="23"/>
      <c r="AV1105" s="23"/>
      <c r="AW1105" s="23"/>
      <c r="AX1105" s="23"/>
      <c r="AY1105" s="23"/>
      <c r="AZ1105" s="23"/>
      <c r="BA1105" s="23"/>
      <c r="BB1105" s="23"/>
    </row>
    <row r="1106" spans="5:54" x14ac:dyDescent="0.35"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  <c r="AC1106" s="23"/>
      <c r="AD1106" s="23"/>
      <c r="AE1106" s="23"/>
      <c r="AF1106" s="23"/>
      <c r="AG1106" s="23"/>
      <c r="AH1106" s="23"/>
      <c r="AI1106" s="23"/>
      <c r="AJ1106" s="23"/>
      <c r="AK1106" s="23"/>
      <c r="AL1106" s="23"/>
      <c r="AM1106" s="23"/>
      <c r="AN1106" s="23"/>
      <c r="AO1106" s="23"/>
      <c r="AP1106" s="23"/>
      <c r="AQ1106" s="23"/>
      <c r="AR1106" s="23"/>
      <c r="AS1106" s="23"/>
      <c r="AT1106" s="23"/>
      <c r="AU1106" s="23"/>
      <c r="AV1106" s="23"/>
      <c r="AW1106" s="23"/>
      <c r="AX1106" s="23"/>
      <c r="AY1106" s="23"/>
      <c r="AZ1106" s="23"/>
      <c r="BA1106" s="23"/>
      <c r="BB1106" s="23"/>
    </row>
    <row r="1107" spans="5:54" x14ac:dyDescent="0.35"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  <c r="AC1107" s="23"/>
      <c r="AD1107" s="23"/>
      <c r="AE1107" s="23"/>
      <c r="AF1107" s="23"/>
      <c r="AG1107" s="23"/>
      <c r="AH1107" s="23"/>
      <c r="AI1107" s="23"/>
      <c r="AJ1107" s="23"/>
      <c r="AK1107" s="23"/>
      <c r="AL1107" s="23"/>
      <c r="AM1107" s="23"/>
      <c r="AN1107" s="23"/>
      <c r="AO1107" s="23"/>
      <c r="AP1107" s="23"/>
      <c r="AQ1107" s="23"/>
      <c r="AR1107" s="23"/>
      <c r="AS1107" s="23"/>
      <c r="AT1107" s="23"/>
      <c r="AU1107" s="23"/>
      <c r="AV1107" s="23"/>
      <c r="AW1107" s="23"/>
      <c r="AX1107" s="23"/>
      <c r="AY1107" s="23"/>
      <c r="AZ1107" s="23"/>
      <c r="BA1107" s="23"/>
      <c r="BB1107" s="23"/>
    </row>
    <row r="1108" spans="5:54" x14ac:dyDescent="0.35"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  <c r="AC1108" s="23"/>
      <c r="AD1108" s="23"/>
      <c r="AE1108" s="23"/>
      <c r="AF1108" s="23"/>
      <c r="AG1108" s="23"/>
      <c r="AH1108" s="23"/>
      <c r="AI1108" s="23"/>
      <c r="AJ1108" s="23"/>
      <c r="AK1108" s="23"/>
      <c r="AL1108" s="23"/>
      <c r="AM1108" s="23"/>
      <c r="AN1108" s="23"/>
      <c r="AO1108" s="23"/>
      <c r="AP1108" s="23"/>
      <c r="AQ1108" s="23"/>
      <c r="AR1108" s="23"/>
      <c r="AS1108" s="23"/>
      <c r="AT1108" s="23"/>
      <c r="AU1108" s="23"/>
      <c r="AV1108" s="23"/>
      <c r="AW1108" s="23"/>
      <c r="AX1108" s="23"/>
      <c r="AY1108" s="23"/>
      <c r="AZ1108" s="23"/>
      <c r="BA1108" s="23"/>
      <c r="BB1108" s="23"/>
    </row>
    <row r="1109" spans="5:54" x14ac:dyDescent="0.35"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  <c r="AC1109" s="23"/>
      <c r="AD1109" s="23"/>
      <c r="AE1109" s="23"/>
      <c r="AF1109" s="23"/>
      <c r="AG1109" s="23"/>
      <c r="AH1109" s="23"/>
      <c r="AI1109" s="23"/>
      <c r="AJ1109" s="23"/>
      <c r="AK1109" s="23"/>
      <c r="AL1109" s="23"/>
      <c r="AM1109" s="23"/>
      <c r="AN1109" s="23"/>
      <c r="AO1109" s="23"/>
      <c r="AP1109" s="23"/>
      <c r="AQ1109" s="23"/>
      <c r="AR1109" s="23"/>
      <c r="AS1109" s="23"/>
      <c r="AT1109" s="23"/>
      <c r="AU1109" s="23"/>
      <c r="AV1109" s="23"/>
      <c r="AW1109" s="23"/>
      <c r="AX1109" s="23"/>
      <c r="AY1109" s="23"/>
      <c r="AZ1109" s="23"/>
      <c r="BA1109" s="23"/>
      <c r="BB1109" s="23"/>
    </row>
    <row r="1110" spans="5:54" x14ac:dyDescent="0.35"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  <c r="AC1110" s="23"/>
      <c r="AD1110" s="23"/>
      <c r="AE1110" s="23"/>
      <c r="AF1110" s="23"/>
      <c r="AG1110" s="23"/>
      <c r="AH1110" s="23"/>
      <c r="AI1110" s="23"/>
      <c r="AJ1110" s="23"/>
      <c r="AK1110" s="23"/>
      <c r="AL1110" s="23"/>
      <c r="AM1110" s="23"/>
      <c r="AN1110" s="23"/>
      <c r="AO1110" s="23"/>
      <c r="AP1110" s="23"/>
      <c r="AQ1110" s="23"/>
      <c r="AR1110" s="23"/>
      <c r="AS1110" s="23"/>
      <c r="AT1110" s="23"/>
      <c r="AU1110" s="23"/>
      <c r="AV1110" s="23"/>
      <c r="AW1110" s="23"/>
      <c r="AX1110" s="23"/>
      <c r="AY1110" s="23"/>
      <c r="AZ1110" s="23"/>
      <c r="BA1110" s="23"/>
      <c r="BB1110" s="23"/>
    </row>
    <row r="1111" spans="5:54" x14ac:dyDescent="0.35"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  <c r="AC1111" s="23"/>
      <c r="AD1111" s="23"/>
      <c r="AE1111" s="23"/>
      <c r="AF1111" s="23"/>
      <c r="AG1111" s="23"/>
      <c r="AH1111" s="23"/>
      <c r="AI1111" s="23"/>
      <c r="AJ1111" s="23"/>
      <c r="AK1111" s="23"/>
      <c r="AL1111" s="23"/>
      <c r="AM1111" s="23"/>
      <c r="AN1111" s="23"/>
      <c r="AO1111" s="23"/>
      <c r="AP1111" s="23"/>
      <c r="AQ1111" s="23"/>
      <c r="AR1111" s="23"/>
      <c r="AS1111" s="23"/>
      <c r="AT1111" s="23"/>
      <c r="AU1111" s="23"/>
      <c r="AV1111" s="23"/>
      <c r="AW1111" s="23"/>
      <c r="AX1111" s="23"/>
      <c r="AY1111" s="23"/>
      <c r="AZ1111" s="23"/>
      <c r="BA1111" s="23"/>
      <c r="BB1111" s="23"/>
    </row>
    <row r="1112" spans="5:54" x14ac:dyDescent="0.35"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  <c r="AC1112" s="23"/>
      <c r="AD1112" s="23"/>
      <c r="AE1112" s="23"/>
      <c r="AF1112" s="23"/>
      <c r="AG1112" s="23"/>
      <c r="AH1112" s="23"/>
      <c r="AI1112" s="23"/>
      <c r="AJ1112" s="23"/>
      <c r="AK1112" s="23"/>
      <c r="AL1112" s="23"/>
      <c r="AM1112" s="23"/>
      <c r="AN1112" s="23"/>
      <c r="AO1112" s="23"/>
      <c r="AP1112" s="23"/>
      <c r="AQ1112" s="23"/>
      <c r="AR1112" s="23"/>
      <c r="AS1112" s="23"/>
      <c r="AT1112" s="23"/>
      <c r="AU1112" s="23"/>
      <c r="AV1112" s="23"/>
      <c r="AW1112" s="23"/>
      <c r="AX1112" s="23"/>
      <c r="AY1112" s="23"/>
      <c r="AZ1112" s="23"/>
      <c r="BA1112" s="23"/>
      <c r="BB1112" s="23"/>
    </row>
    <row r="1113" spans="5:54" x14ac:dyDescent="0.35"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  <c r="AC1113" s="23"/>
      <c r="AD1113" s="23"/>
      <c r="AE1113" s="23"/>
      <c r="AF1113" s="23"/>
      <c r="AG1113" s="23"/>
      <c r="AH1113" s="23"/>
      <c r="AI1113" s="23"/>
      <c r="AJ1113" s="23"/>
      <c r="AK1113" s="23"/>
      <c r="AL1113" s="23"/>
      <c r="AM1113" s="23"/>
      <c r="AN1113" s="23"/>
      <c r="AO1113" s="23"/>
      <c r="AP1113" s="23"/>
      <c r="AQ1113" s="23"/>
      <c r="AR1113" s="23"/>
      <c r="AS1113" s="23"/>
      <c r="AT1113" s="23"/>
      <c r="AU1113" s="23"/>
      <c r="AV1113" s="23"/>
      <c r="AW1113" s="23"/>
      <c r="AX1113" s="23"/>
      <c r="AY1113" s="23"/>
      <c r="AZ1113" s="23"/>
      <c r="BA1113" s="23"/>
      <c r="BB1113" s="23"/>
    </row>
    <row r="1114" spans="5:54" x14ac:dyDescent="0.35"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  <c r="AC1114" s="23"/>
      <c r="AD1114" s="23"/>
      <c r="AE1114" s="23"/>
      <c r="AF1114" s="23"/>
      <c r="AG1114" s="23"/>
      <c r="AH1114" s="23"/>
      <c r="AI1114" s="23"/>
      <c r="AJ1114" s="23"/>
      <c r="AK1114" s="23"/>
      <c r="AL1114" s="23"/>
      <c r="AM1114" s="23"/>
      <c r="AN1114" s="23"/>
      <c r="AO1114" s="23"/>
      <c r="AP1114" s="23"/>
      <c r="AQ1114" s="23"/>
      <c r="AR1114" s="23"/>
      <c r="AS1114" s="23"/>
      <c r="AT1114" s="23"/>
      <c r="AU1114" s="23"/>
      <c r="AV1114" s="23"/>
      <c r="AW1114" s="23"/>
      <c r="AX1114" s="23"/>
      <c r="AY1114" s="23"/>
      <c r="AZ1114" s="23"/>
      <c r="BA1114" s="23"/>
      <c r="BB1114" s="23"/>
    </row>
    <row r="1115" spans="5:54" x14ac:dyDescent="0.35"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  <c r="AC1115" s="23"/>
      <c r="AD1115" s="23"/>
      <c r="AE1115" s="23"/>
      <c r="AF1115" s="23"/>
      <c r="AG1115" s="23"/>
      <c r="AH1115" s="23"/>
      <c r="AI1115" s="23"/>
      <c r="AJ1115" s="23"/>
      <c r="AK1115" s="23"/>
      <c r="AL1115" s="23"/>
      <c r="AM1115" s="23"/>
      <c r="AN1115" s="23"/>
      <c r="AO1115" s="23"/>
      <c r="AP1115" s="23"/>
      <c r="AQ1115" s="23"/>
      <c r="AR1115" s="23"/>
      <c r="AS1115" s="23"/>
      <c r="AT1115" s="23"/>
      <c r="AU1115" s="23"/>
      <c r="AV1115" s="23"/>
      <c r="AW1115" s="23"/>
      <c r="AX1115" s="23"/>
      <c r="AY1115" s="23"/>
      <c r="AZ1115" s="23"/>
      <c r="BA1115" s="23"/>
      <c r="BB1115" s="23"/>
    </row>
    <row r="1116" spans="5:54" x14ac:dyDescent="0.35"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  <c r="AN1116" s="23"/>
      <c r="AO1116" s="23"/>
      <c r="AP1116" s="23"/>
      <c r="AQ1116" s="23"/>
      <c r="AR1116" s="23"/>
      <c r="AS1116" s="23"/>
      <c r="AT1116" s="23"/>
      <c r="AU1116" s="23"/>
      <c r="AV1116" s="23"/>
      <c r="AW1116" s="23"/>
      <c r="AX1116" s="23"/>
      <c r="AY1116" s="23"/>
      <c r="AZ1116" s="23"/>
      <c r="BA1116" s="23"/>
      <c r="BB1116" s="23"/>
    </row>
    <row r="1117" spans="5:54" x14ac:dyDescent="0.35"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  <c r="AC1117" s="23"/>
      <c r="AD1117" s="23"/>
      <c r="AE1117" s="23"/>
      <c r="AF1117" s="23"/>
      <c r="AG1117" s="23"/>
      <c r="AH1117" s="23"/>
      <c r="AI1117" s="23"/>
      <c r="AJ1117" s="23"/>
      <c r="AK1117" s="23"/>
      <c r="AL1117" s="23"/>
      <c r="AM1117" s="23"/>
      <c r="AN1117" s="23"/>
      <c r="AO1117" s="23"/>
      <c r="AP1117" s="23"/>
      <c r="AQ1117" s="23"/>
      <c r="AR1117" s="23"/>
      <c r="AS1117" s="23"/>
      <c r="AT1117" s="23"/>
      <c r="AU1117" s="23"/>
      <c r="AV1117" s="23"/>
      <c r="AW1117" s="23"/>
      <c r="AX1117" s="23"/>
      <c r="AY1117" s="23"/>
      <c r="AZ1117" s="23"/>
      <c r="BA1117" s="23"/>
      <c r="BB1117" s="23"/>
    </row>
    <row r="1118" spans="5:54" x14ac:dyDescent="0.35"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  <c r="AC1118" s="23"/>
      <c r="AD1118" s="23"/>
      <c r="AE1118" s="23"/>
      <c r="AF1118" s="23"/>
      <c r="AG1118" s="23"/>
      <c r="AH1118" s="23"/>
      <c r="AI1118" s="23"/>
      <c r="AJ1118" s="23"/>
      <c r="AK1118" s="23"/>
      <c r="AL1118" s="23"/>
      <c r="AM1118" s="23"/>
      <c r="AN1118" s="23"/>
      <c r="AO1118" s="23"/>
      <c r="AP1118" s="23"/>
      <c r="AQ1118" s="23"/>
      <c r="AR1118" s="23"/>
      <c r="AS1118" s="23"/>
      <c r="AT1118" s="23"/>
      <c r="AU1118" s="23"/>
      <c r="AV1118" s="23"/>
      <c r="AW1118" s="23"/>
      <c r="AX1118" s="23"/>
      <c r="AY1118" s="23"/>
      <c r="AZ1118" s="23"/>
      <c r="BA1118" s="23"/>
      <c r="BB1118" s="23"/>
    </row>
    <row r="1119" spans="5:54" x14ac:dyDescent="0.35"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  <c r="AC1119" s="23"/>
      <c r="AD1119" s="23"/>
      <c r="AE1119" s="23"/>
      <c r="AF1119" s="23"/>
      <c r="AG1119" s="23"/>
      <c r="AH1119" s="23"/>
      <c r="AI1119" s="23"/>
      <c r="AJ1119" s="23"/>
      <c r="AK1119" s="23"/>
      <c r="AL1119" s="23"/>
      <c r="AM1119" s="23"/>
      <c r="AN1119" s="23"/>
      <c r="AO1119" s="23"/>
      <c r="AP1119" s="23"/>
      <c r="AQ1119" s="23"/>
      <c r="AR1119" s="23"/>
      <c r="AS1119" s="23"/>
      <c r="AT1119" s="23"/>
      <c r="AU1119" s="23"/>
      <c r="AV1119" s="23"/>
      <c r="AW1119" s="23"/>
      <c r="AX1119" s="23"/>
      <c r="AY1119" s="23"/>
      <c r="AZ1119" s="23"/>
      <c r="BA1119" s="23"/>
      <c r="BB1119" s="23"/>
    </row>
    <row r="1120" spans="5:54" x14ac:dyDescent="0.35"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  <c r="AC1120" s="23"/>
      <c r="AD1120" s="23"/>
      <c r="AE1120" s="23"/>
      <c r="AF1120" s="23"/>
      <c r="AG1120" s="23"/>
      <c r="AH1120" s="23"/>
      <c r="AI1120" s="23"/>
      <c r="AJ1120" s="23"/>
      <c r="AK1120" s="23"/>
      <c r="AL1120" s="23"/>
      <c r="AM1120" s="23"/>
      <c r="AN1120" s="23"/>
      <c r="AO1120" s="23"/>
      <c r="AP1120" s="23"/>
      <c r="AQ1120" s="23"/>
      <c r="AR1120" s="23"/>
      <c r="AS1120" s="23"/>
      <c r="AT1120" s="23"/>
      <c r="AU1120" s="23"/>
      <c r="AV1120" s="23"/>
      <c r="AW1120" s="23"/>
      <c r="AX1120" s="23"/>
      <c r="AY1120" s="23"/>
      <c r="AZ1120" s="23"/>
      <c r="BA1120" s="23"/>
      <c r="BB1120" s="23"/>
    </row>
    <row r="1121" spans="5:54" x14ac:dyDescent="0.35"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  <c r="AC1121" s="23"/>
      <c r="AD1121" s="23"/>
      <c r="AE1121" s="23"/>
      <c r="AF1121" s="23"/>
      <c r="AG1121" s="23"/>
      <c r="AH1121" s="23"/>
      <c r="AI1121" s="23"/>
      <c r="AJ1121" s="23"/>
      <c r="AK1121" s="23"/>
      <c r="AL1121" s="23"/>
      <c r="AM1121" s="23"/>
      <c r="AN1121" s="23"/>
      <c r="AO1121" s="23"/>
      <c r="AP1121" s="23"/>
      <c r="AQ1121" s="23"/>
      <c r="AR1121" s="23"/>
      <c r="AS1121" s="23"/>
      <c r="AT1121" s="23"/>
      <c r="AU1121" s="23"/>
      <c r="AV1121" s="23"/>
      <c r="AW1121" s="23"/>
      <c r="AX1121" s="23"/>
      <c r="AY1121" s="23"/>
      <c r="AZ1121" s="23"/>
      <c r="BA1121" s="23"/>
      <c r="BB1121" s="23"/>
    </row>
    <row r="1122" spans="5:54" x14ac:dyDescent="0.35"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  <c r="AC1122" s="23"/>
      <c r="AD1122" s="23"/>
      <c r="AE1122" s="23"/>
      <c r="AF1122" s="23"/>
      <c r="AG1122" s="23"/>
      <c r="AH1122" s="23"/>
      <c r="AI1122" s="23"/>
      <c r="AJ1122" s="23"/>
      <c r="AK1122" s="23"/>
      <c r="AL1122" s="23"/>
      <c r="AM1122" s="23"/>
      <c r="AN1122" s="23"/>
      <c r="AO1122" s="23"/>
      <c r="AP1122" s="23"/>
      <c r="AQ1122" s="23"/>
      <c r="AR1122" s="23"/>
      <c r="AS1122" s="23"/>
      <c r="AT1122" s="23"/>
      <c r="AU1122" s="23"/>
      <c r="AV1122" s="23"/>
      <c r="AW1122" s="23"/>
      <c r="AX1122" s="23"/>
      <c r="AY1122" s="23"/>
      <c r="AZ1122" s="23"/>
      <c r="BA1122" s="23"/>
      <c r="BB1122" s="23"/>
    </row>
    <row r="1123" spans="5:54" x14ac:dyDescent="0.35"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  <c r="AC1123" s="23"/>
      <c r="AD1123" s="23"/>
      <c r="AE1123" s="23"/>
      <c r="AF1123" s="23"/>
      <c r="AG1123" s="23"/>
      <c r="AH1123" s="23"/>
      <c r="AI1123" s="23"/>
      <c r="AJ1123" s="23"/>
      <c r="AK1123" s="23"/>
      <c r="AL1123" s="23"/>
      <c r="AM1123" s="23"/>
      <c r="AN1123" s="23"/>
      <c r="AO1123" s="23"/>
      <c r="AP1123" s="23"/>
      <c r="AQ1123" s="23"/>
      <c r="AR1123" s="23"/>
      <c r="AS1123" s="23"/>
      <c r="AT1123" s="23"/>
      <c r="AU1123" s="23"/>
      <c r="AV1123" s="23"/>
      <c r="AW1123" s="23"/>
      <c r="AX1123" s="23"/>
      <c r="AY1123" s="23"/>
      <c r="AZ1123" s="23"/>
      <c r="BA1123" s="23"/>
      <c r="BB1123" s="23"/>
    </row>
    <row r="1124" spans="5:54" x14ac:dyDescent="0.35"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  <c r="AC1124" s="23"/>
      <c r="AD1124" s="23"/>
      <c r="AE1124" s="23"/>
      <c r="AF1124" s="23"/>
      <c r="AG1124" s="23"/>
      <c r="AH1124" s="23"/>
      <c r="AI1124" s="23"/>
      <c r="AJ1124" s="23"/>
      <c r="AK1124" s="23"/>
      <c r="AL1124" s="23"/>
      <c r="AM1124" s="23"/>
      <c r="AN1124" s="23"/>
      <c r="AO1124" s="23"/>
      <c r="AP1124" s="23"/>
      <c r="AQ1124" s="23"/>
      <c r="AR1124" s="23"/>
      <c r="AS1124" s="23"/>
      <c r="AT1124" s="23"/>
      <c r="AU1124" s="23"/>
      <c r="AV1124" s="23"/>
      <c r="AW1124" s="23"/>
      <c r="AX1124" s="23"/>
      <c r="AY1124" s="23"/>
      <c r="AZ1124" s="23"/>
      <c r="BA1124" s="23"/>
      <c r="BB1124" s="23"/>
    </row>
    <row r="1125" spans="5:54" x14ac:dyDescent="0.35"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/>
      <c r="AK1125" s="23"/>
      <c r="AL1125" s="23"/>
      <c r="AM1125" s="23"/>
      <c r="AN1125" s="23"/>
      <c r="AO1125" s="23"/>
      <c r="AP1125" s="23"/>
      <c r="AQ1125" s="23"/>
      <c r="AR1125" s="23"/>
      <c r="AS1125" s="23"/>
      <c r="AT1125" s="23"/>
      <c r="AU1125" s="23"/>
      <c r="AV1125" s="23"/>
      <c r="AW1125" s="23"/>
      <c r="AX1125" s="23"/>
      <c r="AY1125" s="23"/>
      <c r="AZ1125" s="23"/>
      <c r="BA1125" s="23"/>
      <c r="BB1125" s="23"/>
    </row>
    <row r="1126" spans="5:54" x14ac:dyDescent="0.35"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  <c r="AC1126" s="23"/>
      <c r="AD1126" s="23"/>
      <c r="AE1126" s="23"/>
      <c r="AF1126" s="23"/>
      <c r="AG1126" s="23"/>
      <c r="AH1126" s="23"/>
      <c r="AI1126" s="23"/>
      <c r="AJ1126" s="23"/>
      <c r="AK1126" s="23"/>
      <c r="AL1126" s="23"/>
      <c r="AM1126" s="23"/>
      <c r="AN1126" s="23"/>
      <c r="AO1126" s="23"/>
      <c r="AP1126" s="23"/>
      <c r="AQ1126" s="23"/>
      <c r="AR1126" s="23"/>
      <c r="AS1126" s="23"/>
      <c r="AT1126" s="23"/>
      <c r="AU1126" s="23"/>
      <c r="AV1126" s="23"/>
      <c r="AW1126" s="23"/>
      <c r="AX1126" s="23"/>
      <c r="AY1126" s="23"/>
      <c r="AZ1126" s="23"/>
      <c r="BA1126" s="23"/>
      <c r="BB1126" s="23"/>
    </row>
    <row r="1127" spans="5:54" x14ac:dyDescent="0.35"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  <c r="AC1127" s="23"/>
      <c r="AD1127" s="23"/>
      <c r="AE1127" s="23"/>
      <c r="AF1127" s="23"/>
      <c r="AG1127" s="23"/>
      <c r="AH1127" s="23"/>
      <c r="AI1127" s="23"/>
      <c r="AJ1127" s="23"/>
      <c r="AK1127" s="23"/>
      <c r="AL1127" s="23"/>
      <c r="AM1127" s="23"/>
      <c r="AN1127" s="23"/>
      <c r="AO1127" s="23"/>
      <c r="AP1127" s="23"/>
      <c r="AQ1127" s="23"/>
      <c r="AR1127" s="23"/>
      <c r="AS1127" s="23"/>
      <c r="AT1127" s="23"/>
      <c r="AU1127" s="23"/>
      <c r="AV1127" s="23"/>
      <c r="AW1127" s="23"/>
      <c r="AX1127" s="23"/>
      <c r="AY1127" s="23"/>
      <c r="AZ1127" s="23"/>
      <c r="BA1127" s="23"/>
      <c r="BB1127" s="23"/>
    </row>
    <row r="1128" spans="5:54" x14ac:dyDescent="0.35"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  <c r="AC1128" s="23"/>
      <c r="AD1128" s="23"/>
      <c r="AE1128" s="23"/>
      <c r="AF1128" s="23"/>
      <c r="AG1128" s="23"/>
      <c r="AH1128" s="23"/>
      <c r="AI1128" s="23"/>
      <c r="AJ1128" s="23"/>
      <c r="AK1128" s="23"/>
      <c r="AL1128" s="23"/>
      <c r="AM1128" s="23"/>
      <c r="AN1128" s="23"/>
      <c r="AO1128" s="23"/>
      <c r="AP1128" s="23"/>
      <c r="AQ1128" s="23"/>
      <c r="AR1128" s="23"/>
      <c r="AS1128" s="23"/>
      <c r="AT1128" s="23"/>
      <c r="AU1128" s="23"/>
      <c r="AV1128" s="23"/>
      <c r="AW1128" s="23"/>
      <c r="AX1128" s="23"/>
      <c r="AY1128" s="23"/>
      <c r="AZ1128" s="23"/>
      <c r="BA1128" s="23"/>
      <c r="BB1128" s="23"/>
    </row>
    <row r="1129" spans="5:54" x14ac:dyDescent="0.35"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  <c r="AC1129" s="23"/>
      <c r="AD1129" s="23"/>
      <c r="AE1129" s="23"/>
      <c r="AF1129" s="23"/>
      <c r="AG1129" s="23"/>
      <c r="AH1129" s="23"/>
      <c r="AI1129" s="23"/>
      <c r="AJ1129" s="23"/>
      <c r="AK1129" s="23"/>
      <c r="AL1129" s="23"/>
      <c r="AM1129" s="23"/>
      <c r="AN1129" s="23"/>
      <c r="AO1129" s="23"/>
      <c r="AP1129" s="23"/>
      <c r="AQ1129" s="23"/>
      <c r="AR1129" s="23"/>
      <c r="AS1129" s="23"/>
      <c r="AT1129" s="23"/>
      <c r="AU1129" s="23"/>
      <c r="AV1129" s="23"/>
      <c r="AW1129" s="23"/>
      <c r="AX1129" s="23"/>
      <c r="AY1129" s="23"/>
      <c r="AZ1129" s="23"/>
      <c r="BA1129" s="23"/>
      <c r="BB1129" s="23"/>
    </row>
    <row r="1130" spans="5:54" x14ac:dyDescent="0.35"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  <c r="AC1130" s="23"/>
      <c r="AD1130" s="23"/>
      <c r="AE1130" s="23"/>
      <c r="AF1130" s="23"/>
      <c r="AG1130" s="23"/>
      <c r="AH1130" s="23"/>
      <c r="AI1130" s="23"/>
      <c r="AJ1130" s="23"/>
      <c r="AK1130" s="23"/>
      <c r="AL1130" s="23"/>
      <c r="AM1130" s="23"/>
      <c r="AN1130" s="23"/>
      <c r="AO1130" s="23"/>
      <c r="AP1130" s="23"/>
      <c r="AQ1130" s="23"/>
      <c r="AR1130" s="23"/>
      <c r="AS1130" s="23"/>
      <c r="AT1130" s="23"/>
      <c r="AU1130" s="23"/>
      <c r="AV1130" s="23"/>
      <c r="AW1130" s="23"/>
      <c r="AX1130" s="23"/>
      <c r="AY1130" s="23"/>
      <c r="AZ1130" s="23"/>
      <c r="BA1130" s="23"/>
      <c r="BB1130" s="23"/>
    </row>
    <row r="1131" spans="5:54" x14ac:dyDescent="0.35"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  <c r="AC1131" s="23"/>
      <c r="AD1131" s="23"/>
      <c r="AE1131" s="23"/>
      <c r="AF1131" s="23"/>
      <c r="AG1131" s="23"/>
      <c r="AH1131" s="23"/>
      <c r="AI1131" s="23"/>
      <c r="AJ1131" s="23"/>
      <c r="AK1131" s="23"/>
      <c r="AL1131" s="23"/>
      <c r="AM1131" s="23"/>
      <c r="AN1131" s="23"/>
      <c r="AO1131" s="23"/>
      <c r="AP1131" s="23"/>
      <c r="AQ1131" s="23"/>
      <c r="AR1131" s="23"/>
      <c r="AS1131" s="23"/>
      <c r="AT1131" s="23"/>
      <c r="AU1131" s="23"/>
      <c r="AV1131" s="23"/>
      <c r="AW1131" s="23"/>
      <c r="AX1131" s="23"/>
      <c r="AY1131" s="23"/>
      <c r="AZ1131" s="23"/>
      <c r="BA1131" s="23"/>
      <c r="BB1131" s="23"/>
    </row>
    <row r="1132" spans="5:54" x14ac:dyDescent="0.35"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  <c r="AC1132" s="23"/>
      <c r="AD1132" s="23"/>
      <c r="AE1132" s="23"/>
      <c r="AF1132" s="23"/>
      <c r="AG1132" s="23"/>
      <c r="AH1132" s="23"/>
      <c r="AI1132" s="23"/>
      <c r="AJ1132" s="23"/>
      <c r="AK1132" s="23"/>
      <c r="AL1132" s="23"/>
      <c r="AM1132" s="23"/>
      <c r="AN1132" s="23"/>
      <c r="AO1132" s="23"/>
      <c r="AP1132" s="23"/>
      <c r="AQ1132" s="23"/>
      <c r="AR1132" s="23"/>
      <c r="AS1132" s="23"/>
      <c r="AT1132" s="23"/>
      <c r="AU1132" s="23"/>
      <c r="AV1132" s="23"/>
      <c r="AW1132" s="23"/>
      <c r="AX1132" s="23"/>
      <c r="AY1132" s="23"/>
      <c r="AZ1132" s="23"/>
      <c r="BA1132" s="23"/>
      <c r="BB1132" s="23"/>
    </row>
    <row r="1133" spans="5:54" x14ac:dyDescent="0.35"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  <c r="AC1133" s="23"/>
      <c r="AD1133" s="23"/>
      <c r="AE1133" s="23"/>
      <c r="AF1133" s="23"/>
      <c r="AG1133" s="23"/>
      <c r="AH1133" s="23"/>
      <c r="AI1133" s="23"/>
      <c r="AJ1133" s="23"/>
      <c r="AK1133" s="23"/>
      <c r="AL1133" s="23"/>
      <c r="AM1133" s="23"/>
      <c r="AN1133" s="23"/>
      <c r="AO1133" s="23"/>
      <c r="AP1133" s="23"/>
      <c r="AQ1133" s="23"/>
      <c r="AR1133" s="23"/>
      <c r="AS1133" s="23"/>
      <c r="AT1133" s="23"/>
      <c r="AU1133" s="23"/>
      <c r="AV1133" s="23"/>
      <c r="AW1133" s="23"/>
      <c r="AX1133" s="23"/>
      <c r="AY1133" s="23"/>
      <c r="AZ1133" s="23"/>
      <c r="BA1133" s="23"/>
      <c r="BB1133" s="23"/>
    </row>
    <row r="1134" spans="5:54" x14ac:dyDescent="0.35"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  <c r="AC1134" s="23"/>
      <c r="AD1134" s="23"/>
      <c r="AE1134" s="23"/>
      <c r="AF1134" s="23"/>
      <c r="AG1134" s="23"/>
      <c r="AH1134" s="23"/>
      <c r="AI1134" s="23"/>
      <c r="AJ1134" s="23"/>
      <c r="AK1134" s="23"/>
      <c r="AL1134" s="23"/>
      <c r="AM1134" s="23"/>
      <c r="AN1134" s="23"/>
      <c r="AO1134" s="23"/>
      <c r="AP1134" s="23"/>
      <c r="AQ1134" s="23"/>
      <c r="AR1134" s="23"/>
      <c r="AS1134" s="23"/>
      <c r="AT1134" s="23"/>
      <c r="AU1134" s="23"/>
      <c r="AV1134" s="23"/>
      <c r="AW1134" s="23"/>
      <c r="AX1134" s="23"/>
      <c r="AY1134" s="23"/>
      <c r="AZ1134" s="23"/>
      <c r="BA1134" s="23"/>
      <c r="BB1134" s="23"/>
    </row>
    <row r="1135" spans="5:54" x14ac:dyDescent="0.35"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  <c r="AC1135" s="23"/>
      <c r="AD1135" s="23"/>
      <c r="AE1135" s="23"/>
      <c r="AF1135" s="23"/>
      <c r="AG1135" s="23"/>
      <c r="AH1135" s="23"/>
      <c r="AI1135" s="23"/>
      <c r="AJ1135" s="23"/>
      <c r="AK1135" s="23"/>
      <c r="AL1135" s="23"/>
      <c r="AM1135" s="23"/>
      <c r="AN1135" s="23"/>
      <c r="AO1135" s="23"/>
      <c r="AP1135" s="23"/>
      <c r="AQ1135" s="23"/>
      <c r="AR1135" s="23"/>
      <c r="AS1135" s="23"/>
      <c r="AT1135" s="23"/>
      <c r="AU1135" s="23"/>
      <c r="AV1135" s="23"/>
      <c r="AW1135" s="23"/>
      <c r="AX1135" s="23"/>
      <c r="AY1135" s="23"/>
      <c r="AZ1135" s="23"/>
      <c r="BA1135" s="23"/>
      <c r="BB1135" s="23"/>
    </row>
    <row r="1136" spans="5:54" x14ac:dyDescent="0.35"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  <c r="AC1136" s="23"/>
      <c r="AD1136" s="23"/>
      <c r="AE1136" s="23"/>
      <c r="AF1136" s="23"/>
      <c r="AG1136" s="23"/>
      <c r="AH1136" s="23"/>
      <c r="AI1136" s="23"/>
      <c r="AJ1136" s="23"/>
      <c r="AK1136" s="23"/>
      <c r="AL1136" s="23"/>
      <c r="AM1136" s="23"/>
      <c r="AN1136" s="23"/>
      <c r="AO1136" s="23"/>
      <c r="AP1136" s="23"/>
      <c r="AQ1136" s="23"/>
      <c r="AR1136" s="23"/>
      <c r="AS1136" s="23"/>
      <c r="AT1136" s="23"/>
      <c r="AU1136" s="23"/>
      <c r="AV1136" s="23"/>
      <c r="AW1136" s="23"/>
      <c r="AX1136" s="23"/>
      <c r="AY1136" s="23"/>
      <c r="AZ1136" s="23"/>
      <c r="BA1136" s="23"/>
      <c r="BB1136" s="23"/>
    </row>
    <row r="1137" spans="5:54" x14ac:dyDescent="0.35"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  <c r="AC1137" s="23"/>
      <c r="AD1137" s="23"/>
      <c r="AE1137" s="23"/>
      <c r="AF1137" s="23"/>
      <c r="AG1137" s="23"/>
      <c r="AH1137" s="23"/>
      <c r="AI1137" s="23"/>
      <c r="AJ1137" s="23"/>
      <c r="AK1137" s="23"/>
      <c r="AL1137" s="23"/>
      <c r="AM1137" s="23"/>
      <c r="AN1137" s="23"/>
      <c r="AO1137" s="23"/>
      <c r="AP1137" s="23"/>
      <c r="AQ1137" s="23"/>
      <c r="AR1137" s="23"/>
      <c r="AS1137" s="23"/>
      <c r="AT1137" s="23"/>
      <c r="AU1137" s="23"/>
      <c r="AV1137" s="23"/>
      <c r="AW1137" s="23"/>
      <c r="AX1137" s="23"/>
      <c r="AY1137" s="23"/>
      <c r="AZ1137" s="23"/>
      <c r="BA1137" s="23"/>
      <c r="BB1137" s="23"/>
    </row>
    <row r="1138" spans="5:54" x14ac:dyDescent="0.35"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  <c r="AC1138" s="23"/>
      <c r="AD1138" s="23"/>
      <c r="AE1138" s="23"/>
      <c r="AF1138" s="23"/>
      <c r="AG1138" s="23"/>
      <c r="AH1138" s="23"/>
      <c r="AI1138" s="23"/>
      <c r="AJ1138" s="23"/>
      <c r="AK1138" s="23"/>
      <c r="AL1138" s="23"/>
      <c r="AM1138" s="23"/>
      <c r="AN1138" s="23"/>
      <c r="AO1138" s="23"/>
      <c r="AP1138" s="23"/>
      <c r="AQ1138" s="23"/>
      <c r="AR1138" s="23"/>
      <c r="AS1138" s="23"/>
      <c r="AT1138" s="23"/>
      <c r="AU1138" s="23"/>
      <c r="AV1138" s="23"/>
      <c r="AW1138" s="23"/>
      <c r="AX1138" s="23"/>
      <c r="AY1138" s="23"/>
      <c r="AZ1138" s="23"/>
      <c r="BA1138" s="23"/>
      <c r="BB1138" s="23"/>
    </row>
    <row r="1139" spans="5:54" x14ac:dyDescent="0.35"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  <c r="AC1139" s="23"/>
      <c r="AD1139" s="23"/>
      <c r="AE1139" s="23"/>
      <c r="AF1139" s="23"/>
      <c r="AG1139" s="23"/>
      <c r="AH1139" s="23"/>
      <c r="AI1139" s="23"/>
      <c r="AJ1139" s="23"/>
      <c r="AK1139" s="23"/>
      <c r="AL1139" s="23"/>
      <c r="AM1139" s="23"/>
      <c r="AN1139" s="23"/>
      <c r="AO1139" s="23"/>
      <c r="AP1139" s="23"/>
      <c r="AQ1139" s="23"/>
      <c r="AR1139" s="23"/>
      <c r="AS1139" s="23"/>
      <c r="AT1139" s="23"/>
      <c r="AU1139" s="23"/>
      <c r="AV1139" s="23"/>
      <c r="AW1139" s="23"/>
      <c r="AX1139" s="23"/>
      <c r="AY1139" s="23"/>
      <c r="AZ1139" s="23"/>
      <c r="BA1139" s="23"/>
      <c r="BB1139" s="23"/>
    </row>
    <row r="1140" spans="5:54" x14ac:dyDescent="0.35"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  <c r="AC1140" s="23"/>
      <c r="AD1140" s="23"/>
      <c r="AE1140" s="23"/>
      <c r="AF1140" s="23"/>
      <c r="AG1140" s="23"/>
      <c r="AH1140" s="23"/>
      <c r="AI1140" s="23"/>
      <c r="AJ1140" s="23"/>
      <c r="AK1140" s="23"/>
      <c r="AL1140" s="23"/>
      <c r="AM1140" s="23"/>
      <c r="AN1140" s="23"/>
      <c r="AO1140" s="23"/>
      <c r="AP1140" s="23"/>
      <c r="AQ1140" s="23"/>
      <c r="AR1140" s="23"/>
      <c r="AS1140" s="23"/>
      <c r="AT1140" s="23"/>
      <c r="AU1140" s="23"/>
      <c r="AV1140" s="23"/>
      <c r="AW1140" s="23"/>
      <c r="AX1140" s="23"/>
      <c r="AY1140" s="23"/>
      <c r="AZ1140" s="23"/>
      <c r="BA1140" s="23"/>
      <c r="BB1140" s="23"/>
    </row>
    <row r="1141" spans="5:54" x14ac:dyDescent="0.35"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  <c r="AC1141" s="23"/>
      <c r="AD1141" s="23"/>
      <c r="AE1141" s="23"/>
      <c r="AF1141" s="23"/>
      <c r="AG1141" s="23"/>
      <c r="AH1141" s="23"/>
      <c r="AI1141" s="23"/>
      <c r="AJ1141" s="23"/>
      <c r="AK1141" s="23"/>
      <c r="AL1141" s="23"/>
      <c r="AM1141" s="23"/>
      <c r="AN1141" s="23"/>
      <c r="AO1141" s="23"/>
      <c r="AP1141" s="23"/>
      <c r="AQ1141" s="23"/>
      <c r="AR1141" s="23"/>
      <c r="AS1141" s="23"/>
      <c r="AT1141" s="23"/>
      <c r="AU1141" s="23"/>
      <c r="AV1141" s="23"/>
      <c r="AW1141" s="23"/>
      <c r="AX1141" s="23"/>
      <c r="AY1141" s="23"/>
      <c r="AZ1141" s="23"/>
      <c r="BA1141" s="23"/>
      <c r="BB1141" s="23"/>
    </row>
    <row r="1142" spans="5:54" x14ac:dyDescent="0.35"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  <c r="AC1142" s="23"/>
      <c r="AD1142" s="23"/>
      <c r="AE1142" s="23"/>
      <c r="AF1142" s="23"/>
      <c r="AG1142" s="23"/>
      <c r="AH1142" s="23"/>
      <c r="AI1142" s="23"/>
      <c r="AJ1142" s="23"/>
      <c r="AK1142" s="23"/>
      <c r="AL1142" s="23"/>
      <c r="AM1142" s="23"/>
      <c r="AN1142" s="23"/>
      <c r="AO1142" s="23"/>
      <c r="AP1142" s="23"/>
      <c r="AQ1142" s="23"/>
      <c r="AR1142" s="23"/>
      <c r="AS1142" s="23"/>
      <c r="AT1142" s="23"/>
      <c r="AU1142" s="23"/>
      <c r="AV1142" s="23"/>
      <c r="AW1142" s="23"/>
      <c r="AX1142" s="23"/>
      <c r="AY1142" s="23"/>
      <c r="AZ1142" s="23"/>
      <c r="BA1142" s="23"/>
      <c r="BB1142" s="23"/>
    </row>
    <row r="1143" spans="5:54" x14ac:dyDescent="0.35"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  <c r="AC1143" s="23"/>
      <c r="AD1143" s="23"/>
      <c r="AE1143" s="23"/>
      <c r="AF1143" s="23"/>
      <c r="AG1143" s="23"/>
      <c r="AH1143" s="23"/>
      <c r="AI1143" s="23"/>
      <c r="AJ1143" s="23"/>
      <c r="AK1143" s="23"/>
      <c r="AL1143" s="23"/>
      <c r="AM1143" s="23"/>
      <c r="AN1143" s="23"/>
      <c r="AO1143" s="23"/>
      <c r="AP1143" s="23"/>
      <c r="AQ1143" s="23"/>
      <c r="AR1143" s="23"/>
      <c r="AS1143" s="23"/>
      <c r="AT1143" s="23"/>
      <c r="AU1143" s="23"/>
      <c r="AV1143" s="23"/>
      <c r="AW1143" s="23"/>
      <c r="AX1143" s="23"/>
      <c r="AY1143" s="23"/>
      <c r="AZ1143" s="23"/>
      <c r="BA1143" s="23"/>
      <c r="BB1143" s="23"/>
    </row>
    <row r="1144" spans="5:54" x14ac:dyDescent="0.35"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  <c r="AC1144" s="23"/>
      <c r="AD1144" s="23"/>
      <c r="AE1144" s="23"/>
      <c r="AF1144" s="23"/>
      <c r="AG1144" s="23"/>
      <c r="AH1144" s="23"/>
      <c r="AI1144" s="23"/>
      <c r="AJ1144" s="23"/>
      <c r="AK1144" s="23"/>
      <c r="AL1144" s="23"/>
      <c r="AM1144" s="23"/>
      <c r="AN1144" s="23"/>
      <c r="AO1144" s="23"/>
      <c r="AP1144" s="23"/>
      <c r="AQ1144" s="23"/>
      <c r="AR1144" s="23"/>
      <c r="AS1144" s="23"/>
      <c r="AT1144" s="23"/>
      <c r="AU1144" s="23"/>
      <c r="AV1144" s="23"/>
      <c r="AW1144" s="23"/>
      <c r="AX1144" s="23"/>
      <c r="AY1144" s="23"/>
      <c r="AZ1144" s="23"/>
      <c r="BA1144" s="23"/>
      <c r="BB1144" s="23"/>
    </row>
    <row r="1145" spans="5:54" x14ac:dyDescent="0.35"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  <c r="AC1145" s="23"/>
      <c r="AD1145" s="23"/>
      <c r="AE1145" s="23"/>
      <c r="AF1145" s="23"/>
      <c r="AG1145" s="23"/>
      <c r="AH1145" s="23"/>
      <c r="AI1145" s="23"/>
      <c r="AJ1145" s="23"/>
      <c r="AK1145" s="23"/>
      <c r="AL1145" s="23"/>
      <c r="AM1145" s="23"/>
      <c r="AN1145" s="23"/>
      <c r="AO1145" s="23"/>
      <c r="AP1145" s="23"/>
      <c r="AQ1145" s="23"/>
      <c r="AR1145" s="23"/>
      <c r="AS1145" s="23"/>
      <c r="AT1145" s="23"/>
      <c r="AU1145" s="23"/>
      <c r="AV1145" s="23"/>
      <c r="AW1145" s="23"/>
      <c r="AX1145" s="23"/>
      <c r="AY1145" s="23"/>
      <c r="AZ1145" s="23"/>
      <c r="BA1145" s="23"/>
      <c r="BB1145" s="23"/>
    </row>
    <row r="1146" spans="5:54" x14ac:dyDescent="0.35"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  <c r="AC1146" s="23"/>
      <c r="AD1146" s="23"/>
      <c r="AE1146" s="23"/>
      <c r="AF1146" s="23"/>
      <c r="AG1146" s="23"/>
      <c r="AH1146" s="23"/>
      <c r="AI1146" s="23"/>
      <c r="AJ1146" s="23"/>
      <c r="AK1146" s="23"/>
      <c r="AL1146" s="23"/>
      <c r="AM1146" s="23"/>
      <c r="AN1146" s="23"/>
      <c r="AO1146" s="23"/>
      <c r="AP1146" s="23"/>
      <c r="AQ1146" s="23"/>
      <c r="AR1146" s="23"/>
      <c r="AS1146" s="23"/>
      <c r="AT1146" s="23"/>
      <c r="AU1146" s="23"/>
      <c r="AV1146" s="23"/>
      <c r="AW1146" s="23"/>
      <c r="AX1146" s="23"/>
      <c r="AY1146" s="23"/>
      <c r="AZ1146" s="23"/>
      <c r="BA1146" s="23"/>
      <c r="BB1146" s="23"/>
    </row>
    <row r="1147" spans="5:54" x14ac:dyDescent="0.35"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  <c r="AC1147" s="23"/>
      <c r="AD1147" s="23"/>
      <c r="AE1147" s="23"/>
      <c r="AF1147" s="23"/>
      <c r="AG1147" s="23"/>
      <c r="AH1147" s="23"/>
      <c r="AI1147" s="23"/>
      <c r="AJ1147" s="23"/>
      <c r="AK1147" s="23"/>
      <c r="AL1147" s="23"/>
      <c r="AM1147" s="23"/>
      <c r="AN1147" s="23"/>
      <c r="AO1147" s="23"/>
      <c r="AP1147" s="23"/>
      <c r="AQ1147" s="23"/>
      <c r="AR1147" s="23"/>
      <c r="AS1147" s="23"/>
      <c r="AT1147" s="23"/>
      <c r="AU1147" s="23"/>
      <c r="AV1147" s="23"/>
      <c r="AW1147" s="23"/>
      <c r="AX1147" s="23"/>
      <c r="AY1147" s="23"/>
      <c r="AZ1147" s="23"/>
      <c r="BA1147" s="23"/>
      <c r="BB1147" s="23"/>
    </row>
    <row r="1148" spans="5:54" x14ac:dyDescent="0.35"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  <c r="AC1148" s="23"/>
      <c r="AD1148" s="23"/>
      <c r="AE1148" s="23"/>
      <c r="AF1148" s="23"/>
      <c r="AG1148" s="23"/>
      <c r="AH1148" s="23"/>
      <c r="AI1148" s="23"/>
      <c r="AJ1148" s="23"/>
      <c r="AK1148" s="23"/>
      <c r="AL1148" s="23"/>
      <c r="AM1148" s="23"/>
      <c r="AN1148" s="23"/>
      <c r="AO1148" s="23"/>
      <c r="AP1148" s="23"/>
      <c r="AQ1148" s="23"/>
      <c r="AR1148" s="23"/>
      <c r="AS1148" s="23"/>
      <c r="AT1148" s="23"/>
      <c r="AU1148" s="23"/>
      <c r="AV1148" s="23"/>
      <c r="AW1148" s="23"/>
      <c r="AX1148" s="23"/>
      <c r="AY1148" s="23"/>
      <c r="AZ1148" s="23"/>
      <c r="BA1148" s="23"/>
      <c r="BB1148" s="23"/>
    </row>
    <row r="1149" spans="5:54" x14ac:dyDescent="0.35"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  <c r="AC1149" s="23"/>
      <c r="AD1149" s="23"/>
      <c r="AE1149" s="23"/>
      <c r="AF1149" s="23"/>
      <c r="AG1149" s="23"/>
      <c r="AH1149" s="23"/>
      <c r="AI1149" s="23"/>
      <c r="AJ1149" s="23"/>
      <c r="AK1149" s="23"/>
      <c r="AL1149" s="23"/>
      <c r="AM1149" s="23"/>
      <c r="AN1149" s="23"/>
      <c r="AO1149" s="23"/>
      <c r="AP1149" s="23"/>
      <c r="AQ1149" s="23"/>
      <c r="AR1149" s="23"/>
      <c r="AS1149" s="23"/>
      <c r="AT1149" s="23"/>
      <c r="AU1149" s="23"/>
      <c r="AV1149" s="23"/>
      <c r="AW1149" s="23"/>
      <c r="AX1149" s="23"/>
      <c r="AY1149" s="23"/>
      <c r="AZ1149" s="23"/>
      <c r="BA1149" s="23"/>
      <c r="BB1149" s="23"/>
    </row>
    <row r="1150" spans="5:54" x14ac:dyDescent="0.35"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  <c r="AC1150" s="23"/>
      <c r="AD1150" s="23"/>
      <c r="AE1150" s="23"/>
      <c r="AF1150" s="23"/>
      <c r="AG1150" s="23"/>
      <c r="AH1150" s="23"/>
      <c r="AI1150" s="23"/>
      <c r="AJ1150" s="23"/>
      <c r="AK1150" s="23"/>
      <c r="AL1150" s="23"/>
      <c r="AM1150" s="23"/>
      <c r="AN1150" s="23"/>
      <c r="AO1150" s="23"/>
      <c r="AP1150" s="23"/>
      <c r="AQ1150" s="23"/>
      <c r="AR1150" s="23"/>
      <c r="AS1150" s="23"/>
      <c r="AT1150" s="23"/>
      <c r="AU1150" s="23"/>
      <c r="AV1150" s="23"/>
      <c r="AW1150" s="23"/>
      <c r="AX1150" s="23"/>
      <c r="AY1150" s="23"/>
      <c r="AZ1150" s="23"/>
      <c r="BA1150" s="23"/>
      <c r="BB1150" s="23"/>
    </row>
    <row r="1151" spans="5:54" x14ac:dyDescent="0.35"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  <c r="AC1151" s="23"/>
      <c r="AD1151" s="23"/>
      <c r="AE1151" s="23"/>
      <c r="AF1151" s="23"/>
      <c r="AG1151" s="23"/>
      <c r="AH1151" s="23"/>
      <c r="AI1151" s="23"/>
      <c r="AJ1151" s="23"/>
      <c r="AK1151" s="23"/>
      <c r="AL1151" s="23"/>
      <c r="AM1151" s="23"/>
      <c r="AN1151" s="23"/>
      <c r="AO1151" s="23"/>
      <c r="AP1151" s="23"/>
      <c r="AQ1151" s="23"/>
      <c r="AR1151" s="23"/>
      <c r="AS1151" s="23"/>
      <c r="AT1151" s="23"/>
      <c r="AU1151" s="23"/>
      <c r="AV1151" s="23"/>
      <c r="AW1151" s="23"/>
      <c r="AX1151" s="23"/>
      <c r="AY1151" s="23"/>
      <c r="AZ1151" s="23"/>
      <c r="BA1151" s="23"/>
      <c r="BB1151" s="23"/>
    </row>
    <row r="1152" spans="5:54" x14ac:dyDescent="0.35"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  <c r="AN1152" s="23"/>
      <c r="AO1152" s="23"/>
      <c r="AP1152" s="23"/>
      <c r="AQ1152" s="23"/>
      <c r="AR1152" s="23"/>
      <c r="AS1152" s="23"/>
      <c r="AT1152" s="23"/>
      <c r="AU1152" s="23"/>
      <c r="AV1152" s="23"/>
      <c r="AW1152" s="23"/>
      <c r="AX1152" s="23"/>
      <c r="AY1152" s="23"/>
      <c r="AZ1152" s="23"/>
      <c r="BA1152" s="23"/>
      <c r="BB1152" s="23"/>
    </row>
    <row r="1153" spans="5:54" x14ac:dyDescent="0.35"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  <c r="AC1153" s="23"/>
      <c r="AD1153" s="23"/>
      <c r="AE1153" s="23"/>
      <c r="AF1153" s="23"/>
      <c r="AG1153" s="23"/>
      <c r="AH1153" s="23"/>
      <c r="AI1153" s="23"/>
      <c r="AJ1153" s="23"/>
      <c r="AK1153" s="23"/>
      <c r="AL1153" s="23"/>
      <c r="AM1153" s="23"/>
      <c r="AN1153" s="23"/>
      <c r="AO1153" s="23"/>
      <c r="AP1153" s="23"/>
      <c r="AQ1153" s="23"/>
      <c r="AR1153" s="23"/>
      <c r="AS1153" s="23"/>
      <c r="AT1153" s="23"/>
      <c r="AU1153" s="23"/>
      <c r="AV1153" s="23"/>
      <c r="AW1153" s="23"/>
      <c r="AX1153" s="23"/>
      <c r="AY1153" s="23"/>
      <c r="AZ1153" s="23"/>
      <c r="BA1153" s="23"/>
      <c r="BB1153" s="23"/>
    </row>
    <row r="1154" spans="5:54" x14ac:dyDescent="0.35"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  <c r="AC1154" s="23"/>
      <c r="AD1154" s="23"/>
      <c r="AE1154" s="23"/>
      <c r="AF1154" s="23"/>
      <c r="AG1154" s="23"/>
      <c r="AH1154" s="23"/>
      <c r="AI1154" s="23"/>
      <c r="AJ1154" s="23"/>
      <c r="AK1154" s="23"/>
      <c r="AL1154" s="23"/>
      <c r="AM1154" s="23"/>
      <c r="AN1154" s="23"/>
      <c r="AO1154" s="23"/>
      <c r="AP1154" s="23"/>
      <c r="AQ1154" s="23"/>
      <c r="AR1154" s="23"/>
      <c r="AS1154" s="23"/>
      <c r="AT1154" s="23"/>
      <c r="AU1154" s="23"/>
      <c r="AV1154" s="23"/>
      <c r="AW1154" s="23"/>
      <c r="AX1154" s="23"/>
      <c r="AY1154" s="23"/>
      <c r="AZ1154" s="23"/>
      <c r="BA1154" s="23"/>
      <c r="BB1154" s="23"/>
    </row>
    <row r="1155" spans="5:54" x14ac:dyDescent="0.35"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  <c r="AC1155" s="23"/>
      <c r="AD1155" s="23"/>
      <c r="AE1155" s="23"/>
      <c r="AF1155" s="23"/>
      <c r="AG1155" s="23"/>
      <c r="AH1155" s="23"/>
      <c r="AI1155" s="23"/>
      <c r="AJ1155" s="23"/>
      <c r="AK1155" s="23"/>
      <c r="AL1155" s="23"/>
      <c r="AM1155" s="23"/>
      <c r="AN1155" s="23"/>
      <c r="AO1155" s="23"/>
      <c r="AP1155" s="23"/>
      <c r="AQ1155" s="23"/>
      <c r="AR1155" s="23"/>
      <c r="AS1155" s="23"/>
      <c r="AT1155" s="23"/>
      <c r="AU1155" s="23"/>
      <c r="AV1155" s="23"/>
      <c r="AW1155" s="23"/>
      <c r="AX1155" s="23"/>
      <c r="AY1155" s="23"/>
      <c r="AZ1155" s="23"/>
      <c r="BA1155" s="23"/>
      <c r="BB1155" s="23"/>
    </row>
    <row r="1156" spans="5:54" x14ac:dyDescent="0.35"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  <c r="AC1156" s="23"/>
      <c r="AD1156" s="23"/>
      <c r="AE1156" s="23"/>
      <c r="AF1156" s="23"/>
      <c r="AG1156" s="23"/>
      <c r="AH1156" s="23"/>
      <c r="AI1156" s="23"/>
      <c r="AJ1156" s="23"/>
      <c r="AK1156" s="23"/>
      <c r="AL1156" s="23"/>
      <c r="AM1156" s="23"/>
      <c r="AN1156" s="23"/>
      <c r="AO1156" s="23"/>
      <c r="AP1156" s="23"/>
      <c r="AQ1156" s="23"/>
      <c r="AR1156" s="23"/>
      <c r="AS1156" s="23"/>
      <c r="AT1156" s="23"/>
      <c r="AU1156" s="23"/>
      <c r="AV1156" s="23"/>
      <c r="AW1156" s="23"/>
      <c r="AX1156" s="23"/>
      <c r="AY1156" s="23"/>
      <c r="AZ1156" s="23"/>
      <c r="BA1156" s="23"/>
      <c r="BB1156" s="23"/>
    </row>
    <row r="1157" spans="5:54" x14ac:dyDescent="0.35"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  <c r="AC1157" s="23"/>
      <c r="AD1157" s="23"/>
      <c r="AE1157" s="23"/>
      <c r="AF1157" s="23"/>
      <c r="AG1157" s="23"/>
      <c r="AH1157" s="23"/>
      <c r="AI1157" s="23"/>
      <c r="AJ1157" s="23"/>
      <c r="AK1157" s="23"/>
      <c r="AL1157" s="23"/>
      <c r="AM1157" s="23"/>
      <c r="AN1157" s="23"/>
      <c r="AO1157" s="23"/>
      <c r="AP1157" s="23"/>
      <c r="AQ1157" s="23"/>
      <c r="AR1157" s="23"/>
      <c r="AS1157" s="23"/>
      <c r="AT1157" s="23"/>
      <c r="AU1157" s="23"/>
      <c r="AV1157" s="23"/>
      <c r="AW1157" s="23"/>
      <c r="AX1157" s="23"/>
      <c r="AY1157" s="23"/>
      <c r="AZ1157" s="23"/>
      <c r="BA1157" s="23"/>
      <c r="BB1157" s="23"/>
    </row>
    <row r="1158" spans="5:54" x14ac:dyDescent="0.35"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  <c r="AC1158" s="23"/>
      <c r="AD1158" s="23"/>
      <c r="AE1158" s="23"/>
      <c r="AF1158" s="23"/>
      <c r="AG1158" s="23"/>
      <c r="AH1158" s="23"/>
      <c r="AI1158" s="23"/>
      <c r="AJ1158" s="23"/>
      <c r="AK1158" s="23"/>
      <c r="AL1158" s="23"/>
      <c r="AM1158" s="23"/>
      <c r="AN1158" s="23"/>
      <c r="AO1158" s="23"/>
      <c r="AP1158" s="23"/>
      <c r="AQ1158" s="23"/>
      <c r="AR1158" s="23"/>
      <c r="AS1158" s="23"/>
      <c r="AT1158" s="23"/>
      <c r="AU1158" s="23"/>
      <c r="AV1158" s="23"/>
      <c r="AW1158" s="23"/>
      <c r="AX1158" s="23"/>
      <c r="AY1158" s="23"/>
      <c r="AZ1158" s="23"/>
      <c r="BA1158" s="23"/>
      <c r="BB1158" s="23"/>
    </row>
    <row r="1159" spans="5:54" x14ac:dyDescent="0.35"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  <c r="AC1159" s="23"/>
      <c r="AD1159" s="23"/>
      <c r="AE1159" s="23"/>
      <c r="AF1159" s="23"/>
      <c r="AG1159" s="23"/>
      <c r="AH1159" s="23"/>
      <c r="AI1159" s="23"/>
      <c r="AJ1159" s="23"/>
      <c r="AK1159" s="23"/>
      <c r="AL1159" s="23"/>
      <c r="AM1159" s="23"/>
      <c r="AN1159" s="23"/>
      <c r="AO1159" s="23"/>
      <c r="AP1159" s="23"/>
      <c r="AQ1159" s="23"/>
      <c r="AR1159" s="23"/>
      <c r="AS1159" s="23"/>
      <c r="AT1159" s="23"/>
      <c r="AU1159" s="23"/>
      <c r="AV1159" s="23"/>
      <c r="AW1159" s="23"/>
      <c r="AX1159" s="23"/>
      <c r="AY1159" s="23"/>
      <c r="AZ1159" s="23"/>
      <c r="BA1159" s="23"/>
      <c r="BB1159" s="23"/>
    </row>
    <row r="1160" spans="5:54" x14ac:dyDescent="0.35"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  <c r="AC1160" s="23"/>
      <c r="AD1160" s="23"/>
      <c r="AE1160" s="23"/>
      <c r="AF1160" s="23"/>
      <c r="AG1160" s="23"/>
      <c r="AH1160" s="23"/>
      <c r="AI1160" s="23"/>
      <c r="AJ1160" s="23"/>
      <c r="AK1160" s="23"/>
      <c r="AL1160" s="23"/>
      <c r="AM1160" s="23"/>
      <c r="AN1160" s="23"/>
      <c r="AO1160" s="23"/>
      <c r="AP1160" s="23"/>
      <c r="AQ1160" s="23"/>
      <c r="AR1160" s="23"/>
      <c r="AS1160" s="23"/>
      <c r="AT1160" s="23"/>
      <c r="AU1160" s="23"/>
      <c r="AV1160" s="23"/>
      <c r="AW1160" s="23"/>
      <c r="AX1160" s="23"/>
      <c r="AY1160" s="23"/>
      <c r="AZ1160" s="23"/>
      <c r="BA1160" s="23"/>
      <c r="BB1160" s="23"/>
    </row>
    <row r="1161" spans="5:54" x14ac:dyDescent="0.35"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  <c r="AC1161" s="23"/>
      <c r="AD1161" s="23"/>
      <c r="AE1161" s="23"/>
      <c r="AF1161" s="23"/>
      <c r="AG1161" s="23"/>
      <c r="AH1161" s="23"/>
      <c r="AI1161" s="23"/>
      <c r="AJ1161" s="23"/>
      <c r="AK1161" s="23"/>
      <c r="AL1161" s="23"/>
      <c r="AM1161" s="23"/>
      <c r="AN1161" s="23"/>
      <c r="AO1161" s="23"/>
      <c r="AP1161" s="23"/>
      <c r="AQ1161" s="23"/>
      <c r="AR1161" s="23"/>
      <c r="AS1161" s="23"/>
      <c r="AT1161" s="23"/>
      <c r="AU1161" s="23"/>
      <c r="AV1161" s="23"/>
      <c r="AW1161" s="23"/>
      <c r="AX1161" s="23"/>
      <c r="AY1161" s="23"/>
      <c r="AZ1161" s="23"/>
      <c r="BA1161" s="23"/>
      <c r="BB1161" s="23"/>
    </row>
    <row r="1162" spans="5:54" x14ac:dyDescent="0.35"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23"/>
      <c r="AI1162" s="23"/>
      <c r="AJ1162" s="23"/>
      <c r="AK1162" s="23"/>
      <c r="AL1162" s="23"/>
      <c r="AM1162" s="23"/>
      <c r="AN1162" s="23"/>
      <c r="AO1162" s="23"/>
      <c r="AP1162" s="23"/>
      <c r="AQ1162" s="23"/>
      <c r="AR1162" s="23"/>
      <c r="AS1162" s="23"/>
      <c r="AT1162" s="23"/>
      <c r="AU1162" s="23"/>
      <c r="AV1162" s="23"/>
      <c r="AW1162" s="23"/>
      <c r="AX1162" s="23"/>
      <c r="AY1162" s="23"/>
      <c r="AZ1162" s="23"/>
      <c r="BA1162" s="23"/>
      <c r="BB1162" s="23"/>
    </row>
    <row r="1163" spans="5:54" x14ac:dyDescent="0.35"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  <c r="AC1163" s="23"/>
      <c r="AD1163" s="23"/>
      <c r="AE1163" s="23"/>
      <c r="AF1163" s="23"/>
      <c r="AG1163" s="23"/>
      <c r="AH1163" s="23"/>
      <c r="AI1163" s="23"/>
      <c r="AJ1163" s="23"/>
      <c r="AK1163" s="23"/>
      <c r="AL1163" s="23"/>
      <c r="AM1163" s="23"/>
      <c r="AN1163" s="23"/>
      <c r="AO1163" s="23"/>
      <c r="AP1163" s="23"/>
      <c r="AQ1163" s="23"/>
      <c r="AR1163" s="23"/>
      <c r="AS1163" s="23"/>
      <c r="AT1163" s="23"/>
      <c r="AU1163" s="23"/>
      <c r="AV1163" s="23"/>
      <c r="AW1163" s="23"/>
      <c r="AX1163" s="23"/>
      <c r="AY1163" s="23"/>
      <c r="AZ1163" s="23"/>
      <c r="BA1163" s="23"/>
      <c r="BB1163" s="23"/>
    </row>
    <row r="1164" spans="5:54" x14ac:dyDescent="0.35"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/>
      <c r="AK1164" s="23"/>
      <c r="AL1164" s="23"/>
      <c r="AM1164" s="23"/>
      <c r="AN1164" s="23"/>
      <c r="AO1164" s="23"/>
      <c r="AP1164" s="23"/>
      <c r="AQ1164" s="23"/>
      <c r="AR1164" s="23"/>
      <c r="AS1164" s="23"/>
      <c r="AT1164" s="23"/>
      <c r="AU1164" s="23"/>
      <c r="AV1164" s="23"/>
      <c r="AW1164" s="23"/>
      <c r="AX1164" s="23"/>
      <c r="AY1164" s="23"/>
      <c r="AZ1164" s="23"/>
      <c r="BA1164" s="23"/>
      <c r="BB1164" s="23"/>
    </row>
    <row r="1165" spans="5:54" x14ac:dyDescent="0.35"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  <c r="AC1165" s="23"/>
      <c r="AD1165" s="23"/>
      <c r="AE1165" s="23"/>
      <c r="AF1165" s="23"/>
      <c r="AG1165" s="23"/>
      <c r="AH1165" s="23"/>
      <c r="AI1165" s="23"/>
      <c r="AJ1165" s="23"/>
      <c r="AK1165" s="23"/>
      <c r="AL1165" s="23"/>
      <c r="AM1165" s="23"/>
      <c r="AN1165" s="23"/>
      <c r="AO1165" s="23"/>
      <c r="AP1165" s="23"/>
      <c r="AQ1165" s="23"/>
      <c r="AR1165" s="23"/>
      <c r="AS1165" s="23"/>
      <c r="AT1165" s="23"/>
      <c r="AU1165" s="23"/>
      <c r="AV1165" s="23"/>
      <c r="AW1165" s="23"/>
      <c r="AX1165" s="23"/>
      <c r="AY1165" s="23"/>
      <c r="AZ1165" s="23"/>
      <c r="BA1165" s="23"/>
      <c r="BB1165" s="23"/>
    </row>
    <row r="1166" spans="5:54" x14ac:dyDescent="0.35"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23"/>
      <c r="AG1166" s="23"/>
      <c r="AH1166" s="23"/>
      <c r="AI1166" s="23"/>
      <c r="AJ1166" s="23"/>
      <c r="AK1166" s="23"/>
      <c r="AL1166" s="23"/>
      <c r="AM1166" s="23"/>
      <c r="AN1166" s="23"/>
      <c r="AO1166" s="23"/>
      <c r="AP1166" s="23"/>
      <c r="AQ1166" s="23"/>
      <c r="AR1166" s="23"/>
      <c r="AS1166" s="23"/>
      <c r="AT1166" s="23"/>
      <c r="AU1166" s="23"/>
      <c r="AV1166" s="23"/>
      <c r="AW1166" s="23"/>
      <c r="AX1166" s="23"/>
      <c r="AY1166" s="23"/>
      <c r="AZ1166" s="23"/>
      <c r="BA1166" s="23"/>
      <c r="BB1166" s="23"/>
    </row>
    <row r="1167" spans="5:54" x14ac:dyDescent="0.35"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/>
      <c r="AK1167" s="23"/>
      <c r="AL1167" s="23"/>
      <c r="AM1167" s="23"/>
      <c r="AN1167" s="23"/>
      <c r="AO1167" s="23"/>
      <c r="AP1167" s="23"/>
      <c r="AQ1167" s="23"/>
      <c r="AR1167" s="23"/>
      <c r="AS1167" s="23"/>
      <c r="AT1167" s="23"/>
      <c r="AU1167" s="23"/>
      <c r="AV1167" s="23"/>
      <c r="AW1167" s="23"/>
      <c r="AX1167" s="23"/>
      <c r="AY1167" s="23"/>
      <c r="AZ1167" s="23"/>
      <c r="BA1167" s="23"/>
      <c r="BB1167" s="23"/>
    </row>
    <row r="1168" spans="5:54" x14ac:dyDescent="0.35"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/>
      <c r="AK1168" s="23"/>
      <c r="AL1168" s="23"/>
      <c r="AM1168" s="23"/>
      <c r="AN1168" s="23"/>
      <c r="AO1168" s="23"/>
      <c r="AP1168" s="23"/>
      <c r="AQ1168" s="23"/>
      <c r="AR1168" s="23"/>
      <c r="AS1168" s="23"/>
      <c r="AT1168" s="23"/>
      <c r="AU1168" s="23"/>
      <c r="AV1168" s="23"/>
      <c r="AW1168" s="23"/>
      <c r="AX1168" s="23"/>
      <c r="AY1168" s="23"/>
      <c r="AZ1168" s="23"/>
      <c r="BA1168" s="23"/>
      <c r="BB1168" s="23"/>
    </row>
    <row r="1169" spans="5:54" x14ac:dyDescent="0.35"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  <c r="AC1169" s="23"/>
      <c r="AD1169" s="23"/>
      <c r="AE1169" s="23"/>
      <c r="AF1169" s="23"/>
      <c r="AG1169" s="23"/>
      <c r="AH1169" s="23"/>
      <c r="AI1169" s="23"/>
      <c r="AJ1169" s="23"/>
      <c r="AK1169" s="23"/>
      <c r="AL1169" s="23"/>
      <c r="AM1169" s="23"/>
      <c r="AN1169" s="23"/>
      <c r="AO1169" s="23"/>
      <c r="AP1169" s="23"/>
      <c r="AQ1169" s="23"/>
      <c r="AR1169" s="23"/>
      <c r="AS1169" s="23"/>
      <c r="AT1169" s="23"/>
      <c r="AU1169" s="23"/>
      <c r="AV1169" s="23"/>
      <c r="AW1169" s="23"/>
      <c r="AX1169" s="23"/>
      <c r="AY1169" s="23"/>
      <c r="AZ1169" s="23"/>
      <c r="BA1169" s="23"/>
      <c r="BB1169" s="23"/>
    </row>
    <row r="1170" spans="5:54" x14ac:dyDescent="0.35"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/>
      <c r="AK1170" s="23"/>
      <c r="AL1170" s="23"/>
      <c r="AM1170" s="23"/>
      <c r="AN1170" s="23"/>
      <c r="AO1170" s="23"/>
      <c r="AP1170" s="23"/>
      <c r="AQ1170" s="23"/>
      <c r="AR1170" s="23"/>
      <c r="AS1170" s="23"/>
      <c r="AT1170" s="23"/>
      <c r="AU1170" s="23"/>
      <c r="AV1170" s="23"/>
      <c r="AW1170" s="23"/>
      <c r="AX1170" s="23"/>
      <c r="AY1170" s="23"/>
      <c r="AZ1170" s="23"/>
      <c r="BA1170" s="23"/>
      <c r="BB1170" s="23"/>
    </row>
    <row r="1171" spans="5:54" x14ac:dyDescent="0.35"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  <c r="AC1171" s="23"/>
      <c r="AD1171" s="23"/>
      <c r="AE1171" s="23"/>
      <c r="AF1171" s="23"/>
      <c r="AG1171" s="23"/>
      <c r="AH1171" s="23"/>
      <c r="AI1171" s="23"/>
      <c r="AJ1171" s="23"/>
      <c r="AK1171" s="23"/>
      <c r="AL1171" s="23"/>
      <c r="AM1171" s="23"/>
      <c r="AN1171" s="23"/>
      <c r="AO1171" s="23"/>
      <c r="AP1171" s="23"/>
      <c r="AQ1171" s="23"/>
      <c r="AR1171" s="23"/>
      <c r="AS1171" s="23"/>
      <c r="AT1171" s="23"/>
      <c r="AU1171" s="23"/>
      <c r="AV1171" s="23"/>
      <c r="AW1171" s="23"/>
      <c r="AX1171" s="23"/>
      <c r="AY1171" s="23"/>
      <c r="AZ1171" s="23"/>
      <c r="BA1171" s="23"/>
      <c r="BB1171" s="23"/>
    </row>
    <row r="1172" spans="5:54" x14ac:dyDescent="0.35"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  <c r="AC1172" s="23"/>
      <c r="AD1172" s="23"/>
      <c r="AE1172" s="23"/>
      <c r="AF1172" s="23"/>
      <c r="AG1172" s="23"/>
      <c r="AH1172" s="23"/>
      <c r="AI1172" s="23"/>
      <c r="AJ1172" s="23"/>
      <c r="AK1172" s="23"/>
      <c r="AL1172" s="23"/>
      <c r="AM1172" s="23"/>
      <c r="AN1172" s="23"/>
      <c r="AO1172" s="23"/>
      <c r="AP1172" s="23"/>
      <c r="AQ1172" s="23"/>
      <c r="AR1172" s="23"/>
      <c r="AS1172" s="23"/>
      <c r="AT1172" s="23"/>
      <c r="AU1172" s="23"/>
      <c r="AV1172" s="23"/>
      <c r="AW1172" s="23"/>
      <c r="AX1172" s="23"/>
      <c r="AY1172" s="23"/>
      <c r="AZ1172" s="23"/>
      <c r="BA1172" s="23"/>
      <c r="BB1172" s="23"/>
    </row>
    <row r="1173" spans="5:54" x14ac:dyDescent="0.35"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  <c r="AC1173" s="23"/>
      <c r="AD1173" s="23"/>
      <c r="AE1173" s="23"/>
      <c r="AF1173" s="23"/>
      <c r="AG1173" s="23"/>
      <c r="AH1173" s="23"/>
      <c r="AI1173" s="23"/>
      <c r="AJ1173" s="23"/>
      <c r="AK1173" s="23"/>
      <c r="AL1173" s="23"/>
      <c r="AM1173" s="23"/>
      <c r="AN1173" s="23"/>
      <c r="AO1173" s="23"/>
      <c r="AP1173" s="23"/>
      <c r="AQ1173" s="23"/>
      <c r="AR1173" s="23"/>
      <c r="AS1173" s="23"/>
      <c r="AT1173" s="23"/>
      <c r="AU1173" s="23"/>
      <c r="AV1173" s="23"/>
      <c r="AW1173" s="23"/>
      <c r="AX1173" s="23"/>
      <c r="AY1173" s="23"/>
      <c r="AZ1173" s="23"/>
      <c r="BA1173" s="23"/>
      <c r="BB1173" s="23"/>
    </row>
    <row r="1174" spans="5:54" x14ac:dyDescent="0.35"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  <c r="AC1174" s="23"/>
      <c r="AD1174" s="23"/>
      <c r="AE1174" s="23"/>
      <c r="AF1174" s="23"/>
      <c r="AG1174" s="23"/>
      <c r="AH1174" s="23"/>
      <c r="AI1174" s="23"/>
      <c r="AJ1174" s="23"/>
      <c r="AK1174" s="23"/>
      <c r="AL1174" s="23"/>
      <c r="AM1174" s="23"/>
      <c r="AN1174" s="23"/>
      <c r="AO1174" s="23"/>
      <c r="AP1174" s="23"/>
      <c r="AQ1174" s="23"/>
      <c r="AR1174" s="23"/>
      <c r="AS1174" s="23"/>
      <c r="AT1174" s="23"/>
      <c r="AU1174" s="23"/>
      <c r="AV1174" s="23"/>
      <c r="AW1174" s="23"/>
      <c r="AX1174" s="23"/>
      <c r="AY1174" s="23"/>
      <c r="AZ1174" s="23"/>
      <c r="BA1174" s="23"/>
      <c r="BB1174" s="23"/>
    </row>
    <row r="1175" spans="5:54" x14ac:dyDescent="0.35"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  <c r="AC1175" s="23"/>
      <c r="AD1175" s="23"/>
      <c r="AE1175" s="23"/>
      <c r="AF1175" s="23"/>
      <c r="AG1175" s="23"/>
      <c r="AH1175" s="23"/>
      <c r="AI1175" s="23"/>
      <c r="AJ1175" s="23"/>
      <c r="AK1175" s="23"/>
      <c r="AL1175" s="23"/>
      <c r="AM1175" s="23"/>
      <c r="AN1175" s="23"/>
      <c r="AO1175" s="23"/>
      <c r="AP1175" s="23"/>
      <c r="AQ1175" s="23"/>
      <c r="AR1175" s="23"/>
      <c r="AS1175" s="23"/>
      <c r="AT1175" s="23"/>
      <c r="AU1175" s="23"/>
      <c r="AV1175" s="23"/>
      <c r="AW1175" s="23"/>
      <c r="AX1175" s="23"/>
      <c r="AY1175" s="23"/>
      <c r="AZ1175" s="23"/>
      <c r="BA1175" s="23"/>
      <c r="BB1175" s="23"/>
    </row>
    <row r="1176" spans="5:54" x14ac:dyDescent="0.35"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  <c r="AC1176" s="23"/>
      <c r="AD1176" s="23"/>
      <c r="AE1176" s="23"/>
      <c r="AF1176" s="23"/>
      <c r="AG1176" s="23"/>
      <c r="AH1176" s="23"/>
      <c r="AI1176" s="23"/>
      <c r="AJ1176" s="23"/>
      <c r="AK1176" s="23"/>
      <c r="AL1176" s="23"/>
      <c r="AM1176" s="23"/>
      <c r="AN1176" s="23"/>
      <c r="AO1176" s="23"/>
      <c r="AP1176" s="23"/>
      <c r="AQ1176" s="23"/>
      <c r="AR1176" s="23"/>
      <c r="AS1176" s="23"/>
      <c r="AT1176" s="23"/>
      <c r="AU1176" s="23"/>
      <c r="AV1176" s="23"/>
      <c r="AW1176" s="23"/>
      <c r="AX1176" s="23"/>
      <c r="AY1176" s="23"/>
      <c r="AZ1176" s="23"/>
      <c r="BA1176" s="23"/>
      <c r="BB1176" s="23"/>
    </row>
    <row r="1177" spans="5:54" x14ac:dyDescent="0.35"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  <c r="AC1177" s="23"/>
      <c r="AD1177" s="23"/>
      <c r="AE1177" s="23"/>
      <c r="AF1177" s="23"/>
      <c r="AG1177" s="23"/>
      <c r="AH1177" s="23"/>
      <c r="AI1177" s="23"/>
      <c r="AJ1177" s="23"/>
      <c r="AK1177" s="23"/>
      <c r="AL1177" s="23"/>
      <c r="AM1177" s="23"/>
      <c r="AN1177" s="23"/>
      <c r="AO1177" s="23"/>
      <c r="AP1177" s="23"/>
      <c r="AQ1177" s="23"/>
      <c r="AR1177" s="23"/>
      <c r="AS1177" s="23"/>
      <c r="AT1177" s="23"/>
      <c r="AU1177" s="23"/>
      <c r="AV1177" s="23"/>
      <c r="AW1177" s="23"/>
      <c r="AX1177" s="23"/>
      <c r="AY1177" s="23"/>
      <c r="AZ1177" s="23"/>
      <c r="BA1177" s="23"/>
      <c r="BB1177" s="23"/>
    </row>
    <row r="1178" spans="5:54" x14ac:dyDescent="0.35"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  <c r="AC1178" s="23"/>
      <c r="AD1178" s="23"/>
      <c r="AE1178" s="23"/>
      <c r="AF1178" s="23"/>
      <c r="AG1178" s="23"/>
      <c r="AH1178" s="23"/>
      <c r="AI1178" s="23"/>
      <c r="AJ1178" s="23"/>
      <c r="AK1178" s="23"/>
      <c r="AL1178" s="23"/>
      <c r="AM1178" s="23"/>
      <c r="AN1178" s="23"/>
      <c r="AO1178" s="23"/>
      <c r="AP1178" s="23"/>
      <c r="AQ1178" s="23"/>
      <c r="AR1178" s="23"/>
      <c r="AS1178" s="23"/>
      <c r="AT1178" s="23"/>
      <c r="AU1178" s="23"/>
      <c r="AV1178" s="23"/>
      <c r="AW1178" s="23"/>
      <c r="AX1178" s="23"/>
      <c r="AY1178" s="23"/>
      <c r="AZ1178" s="23"/>
      <c r="BA1178" s="23"/>
      <c r="BB1178" s="23"/>
    </row>
    <row r="1179" spans="5:54" x14ac:dyDescent="0.35"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  <c r="AC1179" s="23"/>
      <c r="AD1179" s="23"/>
      <c r="AE1179" s="23"/>
      <c r="AF1179" s="23"/>
      <c r="AG1179" s="23"/>
      <c r="AH1179" s="23"/>
      <c r="AI1179" s="23"/>
      <c r="AJ1179" s="23"/>
      <c r="AK1179" s="23"/>
      <c r="AL1179" s="23"/>
      <c r="AM1179" s="23"/>
      <c r="AN1179" s="23"/>
      <c r="AO1179" s="23"/>
      <c r="AP1179" s="23"/>
      <c r="AQ1179" s="23"/>
      <c r="AR1179" s="23"/>
      <c r="AS1179" s="23"/>
      <c r="AT1179" s="23"/>
      <c r="AU1179" s="23"/>
      <c r="AV1179" s="23"/>
      <c r="AW1179" s="23"/>
      <c r="AX1179" s="23"/>
      <c r="AY1179" s="23"/>
      <c r="AZ1179" s="23"/>
      <c r="BA1179" s="23"/>
      <c r="BB1179" s="23"/>
    </row>
    <row r="1180" spans="5:54" x14ac:dyDescent="0.35"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  <c r="AC1180" s="23"/>
      <c r="AD1180" s="23"/>
      <c r="AE1180" s="23"/>
      <c r="AF1180" s="23"/>
      <c r="AG1180" s="23"/>
      <c r="AH1180" s="23"/>
      <c r="AI1180" s="23"/>
      <c r="AJ1180" s="23"/>
      <c r="AK1180" s="23"/>
      <c r="AL1180" s="23"/>
      <c r="AM1180" s="23"/>
      <c r="AN1180" s="23"/>
      <c r="AO1180" s="23"/>
      <c r="AP1180" s="23"/>
      <c r="AQ1180" s="23"/>
      <c r="AR1180" s="23"/>
      <c r="AS1180" s="23"/>
      <c r="AT1180" s="23"/>
      <c r="AU1180" s="23"/>
      <c r="AV1180" s="23"/>
      <c r="AW1180" s="23"/>
      <c r="AX1180" s="23"/>
      <c r="AY1180" s="23"/>
      <c r="AZ1180" s="23"/>
      <c r="BA1180" s="23"/>
      <c r="BB1180" s="23"/>
    </row>
    <row r="1181" spans="5:54" x14ac:dyDescent="0.35"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  <c r="BA1181" s="23"/>
      <c r="BB1181" s="23"/>
    </row>
    <row r="1182" spans="5:54" x14ac:dyDescent="0.35"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  <c r="AC1182" s="23"/>
      <c r="AD1182" s="23"/>
      <c r="AE1182" s="23"/>
      <c r="AF1182" s="23"/>
      <c r="AG1182" s="23"/>
      <c r="AH1182" s="23"/>
      <c r="AI1182" s="23"/>
      <c r="AJ1182" s="23"/>
      <c r="AK1182" s="23"/>
      <c r="AL1182" s="23"/>
      <c r="AM1182" s="23"/>
      <c r="AN1182" s="23"/>
      <c r="AO1182" s="23"/>
      <c r="AP1182" s="23"/>
      <c r="AQ1182" s="23"/>
      <c r="AR1182" s="23"/>
      <c r="AS1182" s="23"/>
      <c r="AT1182" s="23"/>
      <c r="AU1182" s="23"/>
      <c r="AV1182" s="23"/>
      <c r="AW1182" s="23"/>
      <c r="AX1182" s="23"/>
      <c r="AY1182" s="23"/>
      <c r="AZ1182" s="23"/>
      <c r="BA1182" s="23"/>
      <c r="BB1182" s="23"/>
    </row>
    <row r="1183" spans="5:54" x14ac:dyDescent="0.35"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  <c r="AC1183" s="23"/>
      <c r="AD1183" s="23"/>
      <c r="AE1183" s="23"/>
      <c r="AF1183" s="23"/>
      <c r="AG1183" s="23"/>
      <c r="AH1183" s="23"/>
      <c r="AI1183" s="23"/>
      <c r="AJ1183" s="23"/>
      <c r="AK1183" s="23"/>
      <c r="AL1183" s="23"/>
      <c r="AM1183" s="23"/>
      <c r="AN1183" s="23"/>
      <c r="AO1183" s="23"/>
      <c r="AP1183" s="23"/>
      <c r="AQ1183" s="23"/>
      <c r="AR1183" s="23"/>
      <c r="AS1183" s="23"/>
      <c r="AT1183" s="23"/>
      <c r="AU1183" s="23"/>
      <c r="AV1183" s="23"/>
      <c r="AW1183" s="23"/>
      <c r="AX1183" s="23"/>
      <c r="AY1183" s="23"/>
      <c r="AZ1183" s="23"/>
      <c r="BA1183" s="23"/>
      <c r="BB1183" s="23"/>
    </row>
    <row r="1184" spans="5:54" x14ac:dyDescent="0.35"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  <c r="AC1184" s="23"/>
      <c r="AD1184" s="23"/>
      <c r="AE1184" s="23"/>
      <c r="AF1184" s="23"/>
      <c r="AG1184" s="23"/>
      <c r="AH1184" s="23"/>
      <c r="AI1184" s="23"/>
      <c r="AJ1184" s="23"/>
      <c r="AK1184" s="23"/>
      <c r="AL1184" s="23"/>
      <c r="AM1184" s="23"/>
      <c r="AN1184" s="23"/>
      <c r="AO1184" s="23"/>
      <c r="AP1184" s="23"/>
      <c r="AQ1184" s="23"/>
      <c r="AR1184" s="23"/>
      <c r="AS1184" s="23"/>
      <c r="AT1184" s="23"/>
      <c r="AU1184" s="23"/>
      <c r="AV1184" s="23"/>
      <c r="AW1184" s="23"/>
      <c r="AX1184" s="23"/>
      <c r="AY1184" s="23"/>
      <c r="AZ1184" s="23"/>
      <c r="BA1184" s="23"/>
      <c r="BB1184" s="23"/>
    </row>
    <row r="1185" spans="5:54" x14ac:dyDescent="0.35"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  <c r="AC1185" s="23"/>
      <c r="AD1185" s="23"/>
      <c r="AE1185" s="23"/>
      <c r="AF1185" s="23"/>
      <c r="AG1185" s="23"/>
      <c r="AH1185" s="23"/>
      <c r="AI1185" s="23"/>
      <c r="AJ1185" s="23"/>
      <c r="AK1185" s="23"/>
      <c r="AL1185" s="23"/>
      <c r="AM1185" s="23"/>
      <c r="AN1185" s="23"/>
      <c r="AO1185" s="23"/>
      <c r="AP1185" s="23"/>
      <c r="AQ1185" s="23"/>
      <c r="AR1185" s="23"/>
      <c r="AS1185" s="23"/>
      <c r="AT1185" s="23"/>
      <c r="AU1185" s="23"/>
      <c r="AV1185" s="23"/>
      <c r="AW1185" s="23"/>
      <c r="AX1185" s="23"/>
      <c r="AY1185" s="23"/>
      <c r="AZ1185" s="23"/>
      <c r="BA1185" s="23"/>
      <c r="BB1185" s="23"/>
    </row>
    <row r="1186" spans="5:54" x14ac:dyDescent="0.35"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  <c r="AC1186" s="23"/>
      <c r="AD1186" s="23"/>
      <c r="AE1186" s="23"/>
      <c r="AF1186" s="23"/>
      <c r="AG1186" s="23"/>
      <c r="AH1186" s="23"/>
      <c r="AI1186" s="23"/>
      <c r="AJ1186" s="23"/>
      <c r="AK1186" s="23"/>
      <c r="AL1186" s="23"/>
      <c r="AM1186" s="23"/>
      <c r="AN1186" s="23"/>
      <c r="AO1186" s="23"/>
      <c r="AP1186" s="23"/>
      <c r="AQ1186" s="23"/>
      <c r="AR1186" s="23"/>
      <c r="AS1186" s="23"/>
      <c r="AT1186" s="23"/>
      <c r="AU1186" s="23"/>
      <c r="AV1186" s="23"/>
      <c r="AW1186" s="23"/>
      <c r="AX1186" s="23"/>
      <c r="AY1186" s="23"/>
      <c r="AZ1186" s="23"/>
      <c r="BA1186" s="23"/>
      <c r="BB1186" s="23"/>
    </row>
    <row r="1187" spans="5:54" x14ac:dyDescent="0.35"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  <c r="AC1187" s="23"/>
      <c r="AD1187" s="23"/>
      <c r="AE1187" s="23"/>
      <c r="AF1187" s="23"/>
      <c r="AG1187" s="23"/>
      <c r="AH1187" s="23"/>
      <c r="AI1187" s="23"/>
      <c r="AJ1187" s="23"/>
      <c r="AK1187" s="23"/>
      <c r="AL1187" s="23"/>
      <c r="AM1187" s="23"/>
      <c r="AN1187" s="23"/>
      <c r="AO1187" s="23"/>
      <c r="AP1187" s="23"/>
      <c r="AQ1187" s="23"/>
      <c r="AR1187" s="23"/>
      <c r="AS1187" s="23"/>
      <c r="AT1187" s="23"/>
      <c r="AU1187" s="23"/>
      <c r="AV1187" s="23"/>
      <c r="AW1187" s="23"/>
      <c r="AX1187" s="23"/>
      <c r="AY1187" s="23"/>
      <c r="AZ1187" s="23"/>
      <c r="BA1187" s="23"/>
      <c r="BB1187" s="23"/>
    </row>
    <row r="1188" spans="5:54" x14ac:dyDescent="0.35"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  <c r="AN1188" s="23"/>
      <c r="AO1188" s="23"/>
      <c r="AP1188" s="23"/>
      <c r="AQ1188" s="23"/>
      <c r="AR1188" s="23"/>
      <c r="AS1188" s="23"/>
      <c r="AT1188" s="23"/>
      <c r="AU1188" s="23"/>
      <c r="AV1188" s="23"/>
      <c r="AW1188" s="23"/>
      <c r="AX1188" s="23"/>
      <c r="AY1188" s="23"/>
      <c r="AZ1188" s="23"/>
      <c r="BA1188" s="23"/>
      <c r="BB1188" s="23"/>
    </row>
    <row r="1189" spans="5:54" x14ac:dyDescent="0.35"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  <c r="AC1189" s="23"/>
      <c r="AD1189" s="23"/>
      <c r="AE1189" s="23"/>
      <c r="AF1189" s="23"/>
      <c r="AG1189" s="23"/>
      <c r="AH1189" s="23"/>
      <c r="AI1189" s="23"/>
      <c r="AJ1189" s="23"/>
      <c r="AK1189" s="23"/>
      <c r="AL1189" s="23"/>
      <c r="AM1189" s="23"/>
      <c r="AN1189" s="23"/>
      <c r="AO1189" s="23"/>
      <c r="AP1189" s="23"/>
      <c r="AQ1189" s="23"/>
      <c r="AR1189" s="23"/>
      <c r="AS1189" s="23"/>
      <c r="AT1189" s="23"/>
      <c r="AU1189" s="23"/>
      <c r="AV1189" s="23"/>
      <c r="AW1189" s="23"/>
      <c r="AX1189" s="23"/>
      <c r="AY1189" s="23"/>
      <c r="AZ1189" s="23"/>
      <c r="BA1189" s="23"/>
      <c r="BB1189" s="23"/>
    </row>
    <row r="1190" spans="5:54" x14ac:dyDescent="0.35"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  <c r="AC1190" s="23"/>
      <c r="AD1190" s="23"/>
      <c r="AE1190" s="23"/>
      <c r="AF1190" s="23"/>
      <c r="AG1190" s="23"/>
      <c r="AH1190" s="23"/>
      <c r="AI1190" s="23"/>
      <c r="AJ1190" s="23"/>
      <c r="AK1190" s="23"/>
      <c r="AL1190" s="23"/>
      <c r="AM1190" s="23"/>
      <c r="AN1190" s="23"/>
      <c r="AO1190" s="23"/>
      <c r="AP1190" s="23"/>
      <c r="AQ1190" s="23"/>
      <c r="AR1190" s="23"/>
      <c r="AS1190" s="23"/>
      <c r="AT1190" s="23"/>
      <c r="AU1190" s="23"/>
      <c r="AV1190" s="23"/>
      <c r="AW1190" s="23"/>
      <c r="AX1190" s="23"/>
      <c r="AY1190" s="23"/>
      <c r="AZ1190" s="23"/>
      <c r="BA1190" s="23"/>
      <c r="BB1190" s="23"/>
    </row>
    <row r="1191" spans="5:54" x14ac:dyDescent="0.35"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  <c r="AC1191" s="23"/>
      <c r="AD1191" s="23"/>
      <c r="AE1191" s="23"/>
      <c r="AF1191" s="23"/>
      <c r="AG1191" s="23"/>
      <c r="AH1191" s="23"/>
      <c r="AI1191" s="23"/>
      <c r="AJ1191" s="23"/>
      <c r="AK1191" s="23"/>
      <c r="AL1191" s="23"/>
      <c r="AM1191" s="23"/>
      <c r="AN1191" s="23"/>
      <c r="AO1191" s="23"/>
      <c r="AP1191" s="23"/>
      <c r="AQ1191" s="23"/>
      <c r="AR1191" s="23"/>
      <c r="AS1191" s="23"/>
      <c r="AT1191" s="23"/>
      <c r="AU1191" s="23"/>
      <c r="AV1191" s="23"/>
      <c r="AW1191" s="23"/>
      <c r="AX1191" s="23"/>
      <c r="AY1191" s="23"/>
      <c r="AZ1191" s="23"/>
      <c r="BA1191" s="23"/>
      <c r="BB1191" s="23"/>
    </row>
    <row r="1192" spans="5:54" x14ac:dyDescent="0.35"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  <c r="AC1192" s="23"/>
      <c r="AD1192" s="23"/>
      <c r="AE1192" s="23"/>
      <c r="AF1192" s="23"/>
      <c r="AG1192" s="23"/>
      <c r="AH1192" s="23"/>
      <c r="AI1192" s="23"/>
      <c r="AJ1192" s="23"/>
      <c r="AK1192" s="23"/>
      <c r="AL1192" s="23"/>
      <c r="AM1192" s="23"/>
      <c r="AN1192" s="23"/>
      <c r="AO1192" s="23"/>
      <c r="AP1192" s="23"/>
      <c r="AQ1192" s="23"/>
      <c r="AR1192" s="23"/>
      <c r="AS1192" s="23"/>
      <c r="AT1192" s="23"/>
      <c r="AU1192" s="23"/>
      <c r="AV1192" s="23"/>
      <c r="AW1192" s="23"/>
      <c r="AX1192" s="23"/>
      <c r="AY1192" s="23"/>
      <c r="AZ1192" s="23"/>
      <c r="BA1192" s="23"/>
      <c r="BB1192" s="23"/>
    </row>
    <row r="1193" spans="5:54" x14ac:dyDescent="0.35"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  <c r="AC1193" s="23"/>
      <c r="AD1193" s="23"/>
      <c r="AE1193" s="23"/>
      <c r="AF1193" s="23"/>
      <c r="AG1193" s="23"/>
      <c r="AH1193" s="23"/>
      <c r="AI1193" s="23"/>
      <c r="AJ1193" s="23"/>
      <c r="AK1193" s="23"/>
      <c r="AL1193" s="23"/>
      <c r="AM1193" s="23"/>
      <c r="AN1193" s="23"/>
      <c r="AO1193" s="23"/>
      <c r="AP1193" s="23"/>
      <c r="AQ1193" s="23"/>
      <c r="AR1193" s="23"/>
      <c r="AS1193" s="23"/>
      <c r="AT1193" s="23"/>
      <c r="AU1193" s="23"/>
      <c r="AV1193" s="23"/>
      <c r="AW1193" s="23"/>
      <c r="AX1193" s="23"/>
      <c r="AY1193" s="23"/>
      <c r="AZ1193" s="23"/>
      <c r="BA1193" s="23"/>
      <c r="BB1193" s="23"/>
    </row>
    <row r="1194" spans="5:54" x14ac:dyDescent="0.35"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  <c r="AC1194" s="23"/>
      <c r="AD1194" s="23"/>
      <c r="AE1194" s="23"/>
      <c r="AF1194" s="23"/>
      <c r="AG1194" s="23"/>
      <c r="AH1194" s="23"/>
      <c r="AI1194" s="23"/>
      <c r="AJ1194" s="23"/>
      <c r="AK1194" s="23"/>
      <c r="AL1194" s="23"/>
      <c r="AM1194" s="23"/>
      <c r="AN1194" s="23"/>
      <c r="AO1194" s="23"/>
      <c r="AP1194" s="23"/>
      <c r="AQ1194" s="23"/>
      <c r="AR1194" s="23"/>
      <c r="AS1194" s="23"/>
      <c r="AT1194" s="23"/>
      <c r="AU1194" s="23"/>
      <c r="AV1194" s="23"/>
      <c r="AW1194" s="23"/>
      <c r="AX1194" s="23"/>
      <c r="AY1194" s="23"/>
      <c r="AZ1194" s="23"/>
      <c r="BA1194" s="23"/>
      <c r="BB1194" s="23"/>
    </row>
    <row r="1195" spans="5:54" x14ac:dyDescent="0.35"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  <c r="AC1195" s="23"/>
      <c r="AD1195" s="23"/>
      <c r="AE1195" s="23"/>
      <c r="AF1195" s="23"/>
      <c r="AG1195" s="23"/>
      <c r="AH1195" s="23"/>
      <c r="AI1195" s="23"/>
      <c r="AJ1195" s="23"/>
      <c r="AK1195" s="23"/>
      <c r="AL1195" s="23"/>
      <c r="AM1195" s="23"/>
      <c r="AN1195" s="23"/>
      <c r="AO1195" s="23"/>
      <c r="AP1195" s="23"/>
      <c r="AQ1195" s="23"/>
      <c r="AR1195" s="23"/>
      <c r="AS1195" s="23"/>
      <c r="AT1195" s="23"/>
      <c r="AU1195" s="23"/>
      <c r="AV1195" s="23"/>
      <c r="AW1195" s="23"/>
      <c r="AX1195" s="23"/>
      <c r="AY1195" s="23"/>
      <c r="AZ1195" s="23"/>
      <c r="BA1195" s="23"/>
      <c r="BB1195" s="23"/>
    </row>
    <row r="1196" spans="5:54" x14ac:dyDescent="0.35"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  <c r="AC1196" s="23"/>
      <c r="AD1196" s="23"/>
      <c r="AE1196" s="23"/>
      <c r="AF1196" s="23"/>
      <c r="AG1196" s="23"/>
      <c r="AH1196" s="23"/>
      <c r="AI1196" s="23"/>
      <c r="AJ1196" s="23"/>
      <c r="AK1196" s="23"/>
      <c r="AL1196" s="23"/>
      <c r="AM1196" s="23"/>
      <c r="AN1196" s="23"/>
      <c r="AO1196" s="23"/>
      <c r="AP1196" s="23"/>
      <c r="AQ1196" s="23"/>
      <c r="AR1196" s="23"/>
      <c r="AS1196" s="23"/>
      <c r="AT1196" s="23"/>
      <c r="AU1196" s="23"/>
      <c r="AV1196" s="23"/>
      <c r="AW1196" s="23"/>
      <c r="AX1196" s="23"/>
      <c r="AY1196" s="23"/>
      <c r="AZ1196" s="23"/>
      <c r="BA1196" s="23"/>
      <c r="BB1196" s="23"/>
    </row>
    <row r="1197" spans="5:54" x14ac:dyDescent="0.35"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  <c r="AC1197" s="23"/>
      <c r="AD1197" s="23"/>
      <c r="AE1197" s="23"/>
      <c r="AF1197" s="23"/>
      <c r="AG1197" s="23"/>
      <c r="AH1197" s="23"/>
      <c r="AI1197" s="23"/>
      <c r="AJ1197" s="23"/>
      <c r="AK1197" s="23"/>
      <c r="AL1197" s="23"/>
      <c r="AM1197" s="23"/>
      <c r="AN1197" s="23"/>
      <c r="AO1197" s="23"/>
      <c r="AP1197" s="23"/>
      <c r="AQ1197" s="23"/>
      <c r="AR1197" s="23"/>
      <c r="AS1197" s="23"/>
      <c r="AT1197" s="23"/>
      <c r="AU1197" s="23"/>
      <c r="AV1197" s="23"/>
      <c r="AW1197" s="23"/>
      <c r="AX1197" s="23"/>
      <c r="AY1197" s="23"/>
      <c r="AZ1197" s="23"/>
      <c r="BA1197" s="23"/>
      <c r="BB1197" s="23"/>
    </row>
    <row r="1198" spans="5:54" x14ac:dyDescent="0.35"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  <c r="AC1198" s="23"/>
      <c r="AD1198" s="23"/>
      <c r="AE1198" s="23"/>
      <c r="AF1198" s="23"/>
      <c r="AG1198" s="23"/>
      <c r="AH1198" s="23"/>
      <c r="AI1198" s="23"/>
      <c r="AJ1198" s="23"/>
      <c r="AK1198" s="23"/>
      <c r="AL1198" s="23"/>
      <c r="AM1198" s="23"/>
      <c r="AN1198" s="23"/>
      <c r="AO1198" s="23"/>
      <c r="AP1198" s="23"/>
      <c r="AQ1198" s="23"/>
      <c r="AR1198" s="23"/>
      <c r="AS1198" s="23"/>
      <c r="AT1198" s="23"/>
      <c r="AU1198" s="23"/>
      <c r="AV1198" s="23"/>
      <c r="AW1198" s="23"/>
      <c r="AX1198" s="23"/>
      <c r="AY1198" s="23"/>
      <c r="AZ1198" s="23"/>
      <c r="BA1198" s="23"/>
      <c r="BB1198" s="23"/>
    </row>
    <row r="1199" spans="5:54" x14ac:dyDescent="0.35"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  <c r="AC1199" s="23"/>
      <c r="AD1199" s="23"/>
      <c r="AE1199" s="23"/>
      <c r="AF1199" s="23"/>
      <c r="AG1199" s="23"/>
      <c r="AH1199" s="23"/>
      <c r="AI1199" s="23"/>
      <c r="AJ1199" s="23"/>
      <c r="AK1199" s="23"/>
      <c r="AL1199" s="23"/>
      <c r="AM1199" s="23"/>
      <c r="AN1199" s="23"/>
      <c r="AO1199" s="23"/>
      <c r="AP1199" s="23"/>
      <c r="AQ1199" s="23"/>
      <c r="AR1199" s="23"/>
      <c r="AS1199" s="23"/>
      <c r="AT1199" s="23"/>
      <c r="AU1199" s="23"/>
      <c r="AV1199" s="23"/>
      <c r="AW1199" s="23"/>
      <c r="AX1199" s="23"/>
      <c r="AY1199" s="23"/>
      <c r="AZ1199" s="23"/>
      <c r="BA1199" s="23"/>
      <c r="BB1199" s="23"/>
    </row>
    <row r="1200" spans="5:54" x14ac:dyDescent="0.35"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  <c r="AC1200" s="23"/>
      <c r="AD1200" s="23"/>
      <c r="AE1200" s="23"/>
      <c r="AF1200" s="23"/>
      <c r="AG1200" s="23"/>
      <c r="AH1200" s="23"/>
      <c r="AI1200" s="23"/>
      <c r="AJ1200" s="23"/>
      <c r="AK1200" s="23"/>
      <c r="AL1200" s="23"/>
      <c r="AM1200" s="23"/>
      <c r="AN1200" s="23"/>
      <c r="AO1200" s="23"/>
      <c r="AP1200" s="23"/>
      <c r="AQ1200" s="23"/>
      <c r="AR1200" s="23"/>
      <c r="AS1200" s="23"/>
      <c r="AT1200" s="23"/>
      <c r="AU1200" s="23"/>
      <c r="AV1200" s="23"/>
      <c r="AW1200" s="23"/>
      <c r="AX1200" s="23"/>
      <c r="AY1200" s="23"/>
      <c r="AZ1200" s="23"/>
      <c r="BA1200" s="23"/>
      <c r="BB1200" s="23"/>
    </row>
    <row r="1201" spans="5:54" x14ac:dyDescent="0.35"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  <c r="AC1201" s="23"/>
      <c r="AD1201" s="23"/>
      <c r="AE1201" s="23"/>
      <c r="AF1201" s="23"/>
      <c r="AG1201" s="23"/>
      <c r="AH1201" s="23"/>
      <c r="AI1201" s="23"/>
      <c r="AJ1201" s="23"/>
      <c r="AK1201" s="23"/>
      <c r="AL1201" s="23"/>
      <c r="AM1201" s="23"/>
      <c r="AN1201" s="23"/>
      <c r="AO1201" s="23"/>
      <c r="AP1201" s="23"/>
      <c r="AQ1201" s="23"/>
      <c r="AR1201" s="23"/>
      <c r="AS1201" s="23"/>
      <c r="AT1201" s="23"/>
      <c r="AU1201" s="23"/>
      <c r="AV1201" s="23"/>
      <c r="AW1201" s="23"/>
      <c r="AX1201" s="23"/>
      <c r="AY1201" s="23"/>
      <c r="AZ1201" s="23"/>
      <c r="BA1201" s="23"/>
      <c r="BB1201" s="23"/>
    </row>
    <row r="1202" spans="5:54" x14ac:dyDescent="0.35"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  <c r="AC1202" s="23"/>
      <c r="AD1202" s="23"/>
      <c r="AE1202" s="23"/>
      <c r="AF1202" s="23"/>
      <c r="AG1202" s="23"/>
      <c r="AH1202" s="23"/>
      <c r="AI1202" s="23"/>
      <c r="AJ1202" s="23"/>
      <c r="AK1202" s="23"/>
      <c r="AL1202" s="23"/>
      <c r="AM1202" s="23"/>
      <c r="AN1202" s="23"/>
      <c r="AO1202" s="23"/>
      <c r="AP1202" s="23"/>
      <c r="AQ1202" s="23"/>
      <c r="AR1202" s="23"/>
      <c r="AS1202" s="23"/>
      <c r="AT1202" s="23"/>
      <c r="AU1202" s="23"/>
      <c r="AV1202" s="23"/>
      <c r="AW1202" s="23"/>
      <c r="AX1202" s="23"/>
      <c r="AY1202" s="23"/>
      <c r="AZ1202" s="23"/>
      <c r="BA1202" s="23"/>
      <c r="BB1202" s="23"/>
    </row>
    <row r="1203" spans="5:54" x14ac:dyDescent="0.35"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  <c r="AC1203" s="23"/>
      <c r="AD1203" s="23"/>
      <c r="AE1203" s="23"/>
      <c r="AF1203" s="23"/>
      <c r="AG1203" s="23"/>
      <c r="AH1203" s="23"/>
      <c r="AI1203" s="23"/>
      <c r="AJ1203" s="23"/>
      <c r="AK1203" s="23"/>
      <c r="AL1203" s="23"/>
      <c r="AM1203" s="23"/>
      <c r="AN1203" s="23"/>
      <c r="AO1203" s="23"/>
      <c r="AP1203" s="23"/>
      <c r="AQ1203" s="23"/>
      <c r="AR1203" s="23"/>
      <c r="AS1203" s="23"/>
      <c r="AT1203" s="23"/>
      <c r="AU1203" s="23"/>
      <c r="AV1203" s="23"/>
      <c r="AW1203" s="23"/>
      <c r="AX1203" s="23"/>
      <c r="AY1203" s="23"/>
      <c r="AZ1203" s="23"/>
      <c r="BA1203" s="23"/>
      <c r="BB1203" s="23"/>
    </row>
    <row r="1204" spans="5:54" x14ac:dyDescent="0.35"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  <c r="AC1204" s="23"/>
      <c r="AD1204" s="23"/>
      <c r="AE1204" s="23"/>
      <c r="AF1204" s="23"/>
      <c r="AG1204" s="23"/>
      <c r="AH1204" s="23"/>
      <c r="AI1204" s="23"/>
      <c r="AJ1204" s="23"/>
      <c r="AK1204" s="23"/>
      <c r="AL1204" s="23"/>
      <c r="AM1204" s="23"/>
      <c r="AN1204" s="23"/>
      <c r="AO1204" s="23"/>
      <c r="AP1204" s="23"/>
      <c r="AQ1204" s="23"/>
      <c r="AR1204" s="23"/>
      <c r="AS1204" s="23"/>
      <c r="AT1204" s="23"/>
      <c r="AU1204" s="23"/>
      <c r="AV1204" s="23"/>
      <c r="AW1204" s="23"/>
      <c r="AX1204" s="23"/>
      <c r="AY1204" s="23"/>
      <c r="AZ1204" s="23"/>
      <c r="BA1204" s="23"/>
      <c r="BB1204" s="23"/>
    </row>
    <row r="1205" spans="5:54" x14ac:dyDescent="0.35"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  <c r="AC1205" s="23"/>
      <c r="AD1205" s="23"/>
      <c r="AE1205" s="23"/>
      <c r="AF1205" s="23"/>
      <c r="AG1205" s="23"/>
      <c r="AH1205" s="23"/>
      <c r="AI1205" s="23"/>
      <c r="AJ1205" s="23"/>
      <c r="AK1205" s="23"/>
      <c r="AL1205" s="23"/>
      <c r="AM1205" s="23"/>
      <c r="AN1205" s="23"/>
      <c r="AO1205" s="23"/>
      <c r="AP1205" s="23"/>
      <c r="AQ1205" s="23"/>
      <c r="AR1205" s="23"/>
      <c r="AS1205" s="23"/>
      <c r="AT1205" s="23"/>
      <c r="AU1205" s="23"/>
      <c r="AV1205" s="23"/>
      <c r="AW1205" s="23"/>
      <c r="AX1205" s="23"/>
      <c r="AY1205" s="23"/>
      <c r="AZ1205" s="23"/>
      <c r="BA1205" s="23"/>
      <c r="BB1205" s="23"/>
    </row>
    <row r="1206" spans="5:54" x14ac:dyDescent="0.35"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  <c r="AC1206" s="23"/>
      <c r="AD1206" s="23"/>
      <c r="AE1206" s="23"/>
      <c r="AF1206" s="23"/>
      <c r="AG1206" s="23"/>
      <c r="AH1206" s="23"/>
      <c r="AI1206" s="23"/>
      <c r="AJ1206" s="23"/>
      <c r="AK1206" s="23"/>
      <c r="AL1206" s="23"/>
      <c r="AM1206" s="23"/>
      <c r="AN1206" s="23"/>
      <c r="AO1206" s="23"/>
      <c r="AP1206" s="23"/>
      <c r="AQ1206" s="23"/>
      <c r="AR1206" s="23"/>
      <c r="AS1206" s="23"/>
      <c r="AT1206" s="23"/>
      <c r="AU1206" s="23"/>
      <c r="AV1206" s="23"/>
      <c r="AW1206" s="23"/>
      <c r="AX1206" s="23"/>
      <c r="AY1206" s="23"/>
      <c r="AZ1206" s="23"/>
      <c r="BA1206" s="23"/>
      <c r="BB1206" s="23"/>
    </row>
    <row r="1207" spans="5:54" x14ac:dyDescent="0.35"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  <c r="AC1207" s="23"/>
      <c r="AD1207" s="23"/>
      <c r="AE1207" s="23"/>
      <c r="AF1207" s="23"/>
      <c r="AG1207" s="23"/>
      <c r="AH1207" s="23"/>
      <c r="AI1207" s="23"/>
      <c r="AJ1207" s="23"/>
      <c r="AK1207" s="23"/>
      <c r="AL1207" s="23"/>
      <c r="AM1207" s="23"/>
      <c r="AN1207" s="23"/>
      <c r="AO1207" s="23"/>
      <c r="AP1207" s="23"/>
      <c r="AQ1207" s="23"/>
      <c r="AR1207" s="23"/>
      <c r="AS1207" s="23"/>
      <c r="AT1207" s="23"/>
      <c r="AU1207" s="23"/>
      <c r="AV1207" s="23"/>
      <c r="AW1207" s="23"/>
      <c r="AX1207" s="23"/>
      <c r="AY1207" s="23"/>
      <c r="AZ1207" s="23"/>
      <c r="BA1207" s="23"/>
      <c r="BB1207" s="23"/>
    </row>
    <row r="1208" spans="5:54" x14ac:dyDescent="0.35"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  <c r="AC1208" s="23"/>
      <c r="AD1208" s="23"/>
      <c r="AE1208" s="23"/>
      <c r="AF1208" s="23"/>
      <c r="AG1208" s="23"/>
      <c r="AH1208" s="23"/>
      <c r="AI1208" s="23"/>
      <c r="AJ1208" s="23"/>
      <c r="AK1208" s="23"/>
      <c r="AL1208" s="23"/>
      <c r="AM1208" s="23"/>
      <c r="AN1208" s="23"/>
      <c r="AO1208" s="23"/>
      <c r="AP1208" s="23"/>
      <c r="AQ1208" s="23"/>
      <c r="AR1208" s="23"/>
      <c r="AS1208" s="23"/>
      <c r="AT1208" s="23"/>
      <c r="AU1208" s="23"/>
      <c r="AV1208" s="23"/>
      <c r="AW1208" s="23"/>
      <c r="AX1208" s="23"/>
      <c r="AY1208" s="23"/>
      <c r="AZ1208" s="23"/>
      <c r="BA1208" s="23"/>
      <c r="BB1208" s="23"/>
    </row>
    <row r="1209" spans="5:54" x14ac:dyDescent="0.35"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  <c r="AC1209" s="23"/>
      <c r="AD1209" s="23"/>
      <c r="AE1209" s="23"/>
      <c r="AF1209" s="23"/>
      <c r="AG1209" s="23"/>
      <c r="AH1209" s="23"/>
      <c r="AI1209" s="23"/>
      <c r="AJ1209" s="23"/>
      <c r="AK1209" s="23"/>
      <c r="AL1209" s="23"/>
      <c r="AM1209" s="23"/>
      <c r="AN1209" s="23"/>
      <c r="AO1209" s="23"/>
      <c r="AP1209" s="23"/>
      <c r="AQ1209" s="23"/>
      <c r="AR1209" s="23"/>
      <c r="AS1209" s="23"/>
      <c r="AT1209" s="23"/>
      <c r="AU1209" s="23"/>
      <c r="AV1209" s="23"/>
      <c r="AW1209" s="23"/>
      <c r="AX1209" s="23"/>
      <c r="AY1209" s="23"/>
      <c r="AZ1209" s="23"/>
      <c r="BA1209" s="23"/>
      <c r="BB1209" s="23"/>
    </row>
    <row r="1210" spans="5:54" x14ac:dyDescent="0.35"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  <c r="AC1210" s="23"/>
      <c r="AD1210" s="23"/>
      <c r="AE1210" s="23"/>
      <c r="AF1210" s="23"/>
      <c r="AG1210" s="23"/>
      <c r="AH1210" s="23"/>
      <c r="AI1210" s="23"/>
      <c r="AJ1210" s="23"/>
      <c r="AK1210" s="23"/>
      <c r="AL1210" s="23"/>
      <c r="AM1210" s="23"/>
      <c r="AN1210" s="23"/>
      <c r="AO1210" s="23"/>
      <c r="AP1210" s="23"/>
      <c r="AQ1210" s="23"/>
      <c r="AR1210" s="23"/>
      <c r="AS1210" s="23"/>
      <c r="AT1210" s="23"/>
      <c r="AU1210" s="23"/>
      <c r="AV1210" s="23"/>
      <c r="AW1210" s="23"/>
      <c r="AX1210" s="23"/>
      <c r="AY1210" s="23"/>
      <c r="AZ1210" s="23"/>
      <c r="BA1210" s="23"/>
      <c r="BB1210" s="23"/>
    </row>
    <row r="1211" spans="5:54" x14ac:dyDescent="0.35"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  <c r="AC1211" s="23"/>
      <c r="AD1211" s="23"/>
      <c r="AE1211" s="23"/>
      <c r="AF1211" s="23"/>
      <c r="AG1211" s="23"/>
      <c r="AH1211" s="23"/>
      <c r="AI1211" s="23"/>
      <c r="AJ1211" s="23"/>
      <c r="AK1211" s="23"/>
      <c r="AL1211" s="23"/>
      <c r="AM1211" s="23"/>
      <c r="AN1211" s="23"/>
      <c r="AO1211" s="23"/>
      <c r="AP1211" s="23"/>
      <c r="AQ1211" s="23"/>
      <c r="AR1211" s="23"/>
      <c r="AS1211" s="23"/>
      <c r="AT1211" s="23"/>
      <c r="AU1211" s="23"/>
      <c r="AV1211" s="23"/>
      <c r="AW1211" s="23"/>
      <c r="AX1211" s="23"/>
      <c r="AY1211" s="23"/>
      <c r="AZ1211" s="23"/>
      <c r="BA1211" s="23"/>
      <c r="BB1211" s="23"/>
    </row>
    <row r="1212" spans="5:54" x14ac:dyDescent="0.35"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/>
      <c r="AK1212" s="23"/>
      <c r="AL1212" s="23"/>
      <c r="AM1212" s="23"/>
      <c r="AN1212" s="23"/>
      <c r="AO1212" s="23"/>
      <c r="AP1212" s="23"/>
      <c r="AQ1212" s="23"/>
      <c r="AR1212" s="23"/>
      <c r="AS1212" s="23"/>
      <c r="AT1212" s="23"/>
      <c r="AU1212" s="23"/>
      <c r="AV1212" s="23"/>
      <c r="AW1212" s="23"/>
      <c r="AX1212" s="23"/>
      <c r="AY1212" s="23"/>
      <c r="AZ1212" s="23"/>
      <c r="BA1212" s="23"/>
      <c r="BB1212" s="23"/>
    </row>
    <row r="1213" spans="5:54" x14ac:dyDescent="0.35"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  <c r="AC1213" s="23"/>
      <c r="AD1213" s="23"/>
      <c r="AE1213" s="23"/>
      <c r="AF1213" s="23"/>
      <c r="AG1213" s="23"/>
      <c r="AH1213" s="23"/>
      <c r="AI1213" s="23"/>
      <c r="AJ1213" s="23"/>
      <c r="AK1213" s="23"/>
      <c r="AL1213" s="23"/>
      <c r="AM1213" s="23"/>
      <c r="AN1213" s="23"/>
      <c r="AO1213" s="23"/>
      <c r="AP1213" s="23"/>
      <c r="AQ1213" s="23"/>
      <c r="AR1213" s="23"/>
      <c r="AS1213" s="23"/>
      <c r="AT1213" s="23"/>
      <c r="AU1213" s="23"/>
      <c r="AV1213" s="23"/>
      <c r="AW1213" s="23"/>
      <c r="AX1213" s="23"/>
      <c r="AY1213" s="23"/>
      <c r="AZ1213" s="23"/>
      <c r="BA1213" s="23"/>
      <c r="BB1213" s="23"/>
    </row>
    <row r="1214" spans="5:54" x14ac:dyDescent="0.35"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  <c r="AC1214" s="23"/>
      <c r="AD1214" s="23"/>
      <c r="AE1214" s="23"/>
      <c r="AF1214" s="23"/>
      <c r="AG1214" s="23"/>
      <c r="AH1214" s="23"/>
      <c r="AI1214" s="23"/>
      <c r="AJ1214" s="23"/>
      <c r="AK1214" s="23"/>
      <c r="AL1214" s="23"/>
      <c r="AM1214" s="23"/>
      <c r="AN1214" s="23"/>
      <c r="AO1214" s="23"/>
      <c r="AP1214" s="23"/>
      <c r="AQ1214" s="23"/>
      <c r="AR1214" s="23"/>
      <c r="AS1214" s="23"/>
      <c r="AT1214" s="23"/>
      <c r="AU1214" s="23"/>
      <c r="AV1214" s="23"/>
      <c r="AW1214" s="23"/>
      <c r="AX1214" s="23"/>
      <c r="AY1214" s="23"/>
      <c r="AZ1214" s="23"/>
      <c r="BA1214" s="23"/>
      <c r="BB1214" s="23"/>
    </row>
    <row r="1215" spans="5:54" x14ac:dyDescent="0.35"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  <c r="AC1215" s="23"/>
      <c r="AD1215" s="23"/>
      <c r="AE1215" s="23"/>
      <c r="AF1215" s="23"/>
      <c r="AG1215" s="23"/>
      <c r="AH1215" s="23"/>
      <c r="AI1215" s="23"/>
      <c r="AJ1215" s="23"/>
      <c r="AK1215" s="23"/>
      <c r="AL1215" s="23"/>
      <c r="AM1215" s="23"/>
      <c r="AN1215" s="23"/>
      <c r="AO1215" s="23"/>
      <c r="AP1215" s="23"/>
      <c r="AQ1215" s="23"/>
      <c r="AR1215" s="23"/>
      <c r="AS1215" s="23"/>
      <c r="AT1215" s="23"/>
      <c r="AU1215" s="23"/>
      <c r="AV1215" s="23"/>
      <c r="AW1215" s="23"/>
      <c r="AX1215" s="23"/>
      <c r="AY1215" s="23"/>
      <c r="AZ1215" s="23"/>
      <c r="BA1215" s="23"/>
      <c r="BB1215" s="23"/>
    </row>
    <row r="1216" spans="5:54" x14ac:dyDescent="0.35"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  <c r="AC1216" s="23"/>
      <c r="AD1216" s="23"/>
      <c r="AE1216" s="23"/>
      <c r="AF1216" s="23"/>
      <c r="AG1216" s="23"/>
      <c r="AH1216" s="23"/>
      <c r="AI1216" s="23"/>
      <c r="AJ1216" s="23"/>
      <c r="AK1216" s="23"/>
      <c r="AL1216" s="23"/>
      <c r="AM1216" s="23"/>
      <c r="AN1216" s="23"/>
      <c r="AO1216" s="23"/>
      <c r="AP1216" s="23"/>
      <c r="AQ1216" s="23"/>
      <c r="AR1216" s="23"/>
      <c r="AS1216" s="23"/>
      <c r="AT1216" s="23"/>
      <c r="AU1216" s="23"/>
      <c r="AV1216" s="23"/>
      <c r="AW1216" s="23"/>
      <c r="AX1216" s="23"/>
      <c r="AY1216" s="23"/>
      <c r="AZ1216" s="23"/>
      <c r="BA1216" s="23"/>
      <c r="BB1216" s="23"/>
    </row>
    <row r="1217" spans="5:54" x14ac:dyDescent="0.35"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  <c r="AC1217" s="23"/>
      <c r="AD1217" s="23"/>
      <c r="AE1217" s="23"/>
      <c r="AF1217" s="23"/>
      <c r="AG1217" s="23"/>
      <c r="AH1217" s="23"/>
      <c r="AI1217" s="23"/>
      <c r="AJ1217" s="23"/>
      <c r="AK1217" s="23"/>
      <c r="AL1217" s="23"/>
      <c r="AM1217" s="23"/>
      <c r="AN1217" s="23"/>
      <c r="AO1217" s="23"/>
      <c r="AP1217" s="23"/>
      <c r="AQ1217" s="23"/>
      <c r="AR1217" s="23"/>
      <c r="AS1217" s="23"/>
      <c r="AT1217" s="23"/>
      <c r="AU1217" s="23"/>
      <c r="AV1217" s="23"/>
      <c r="AW1217" s="23"/>
      <c r="AX1217" s="23"/>
      <c r="AY1217" s="23"/>
      <c r="AZ1217" s="23"/>
      <c r="BA1217" s="23"/>
      <c r="BB1217" s="23"/>
    </row>
    <row r="1218" spans="5:54" x14ac:dyDescent="0.35"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  <c r="AC1218" s="23"/>
      <c r="AD1218" s="23"/>
      <c r="AE1218" s="23"/>
      <c r="AF1218" s="23"/>
      <c r="AG1218" s="23"/>
      <c r="AH1218" s="23"/>
      <c r="AI1218" s="23"/>
      <c r="AJ1218" s="23"/>
      <c r="AK1218" s="23"/>
      <c r="AL1218" s="23"/>
      <c r="AM1218" s="23"/>
      <c r="AN1218" s="23"/>
      <c r="AO1218" s="23"/>
      <c r="AP1218" s="23"/>
      <c r="AQ1218" s="23"/>
      <c r="AR1218" s="23"/>
      <c r="AS1218" s="23"/>
      <c r="AT1218" s="23"/>
      <c r="AU1218" s="23"/>
      <c r="AV1218" s="23"/>
      <c r="AW1218" s="23"/>
      <c r="AX1218" s="23"/>
      <c r="AY1218" s="23"/>
      <c r="AZ1218" s="23"/>
      <c r="BA1218" s="23"/>
      <c r="BB1218" s="23"/>
    </row>
    <row r="1219" spans="5:54" x14ac:dyDescent="0.35"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  <c r="AC1219" s="23"/>
      <c r="AD1219" s="23"/>
      <c r="AE1219" s="23"/>
      <c r="AF1219" s="23"/>
      <c r="AG1219" s="23"/>
      <c r="AH1219" s="23"/>
      <c r="AI1219" s="23"/>
      <c r="AJ1219" s="23"/>
      <c r="AK1219" s="23"/>
      <c r="AL1219" s="23"/>
      <c r="AM1219" s="23"/>
      <c r="AN1219" s="23"/>
      <c r="AO1219" s="23"/>
      <c r="AP1219" s="23"/>
      <c r="AQ1219" s="23"/>
      <c r="AR1219" s="23"/>
      <c r="AS1219" s="23"/>
      <c r="AT1219" s="23"/>
      <c r="AU1219" s="23"/>
      <c r="AV1219" s="23"/>
      <c r="AW1219" s="23"/>
      <c r="AX1219" s="23"/>
      <c r="AY1219" s="23"/>
      <c r="AZ1219" s="23"/>
      <c r="BA1219" s="23"/>
      <c r="BB1219" s="23"/>
    </row>
    <row r="1220" spans="5:54" x14ac:dyDescent="0.35"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  <c r="AC1220" s="23"/>
      <c r="AD1220" s="23"/>
      <c r="AE1220" s="23"/>
      <c r="AF1220" s="23"/>
      <c r="AG1220" s="23"/>
      <c r="AH1220" s="23"/>
      <c r="AI1220" s="23"/>
      <c r="AJ1220" s="23"/>
      <c r="AK1220" s="23"/>
      <c r="AL1220" s="23"/>
      <c r="AM1220" s="23"/>
      <c r="AN1220" s="23"/>
      <c r="AO1220" s="23"/>
      <c r="AP1220" s="23"/>
      <c r="AQ1220" s="23"/>
      <c r="AR1220" s="23"/>
      <c r="AS1220" s="23"/>
      <c r="AT1220" s="23"/>
      <c r="AU1220" s="23"/>
      <c r="AV1220" s="23"/>
      <c r="AW1220" s="23"/>
      <c r="AX1220" s="23"/>
      <c r="AY1220" s="23"/>
      <c r="AZ1220" s="23"/>
      <c r="BA1220" s="23"/>
      <c r="BB1220" s="23"/>
    </row>
    <row r="1221" spans="5:54" x14ac:dyDescent="0.35"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  <c r="AC1221" s="23"/>
      <c r="AD1221" s="23"/>
      <c r="AE1221" s="23"/>
      <c r="AF1221" s="23"/>
      <c r="AG1221" s="23"/>
      <c r="AH1221" s="23"/>
      <c r="AI1221" s="23"/>
      <c r="AJ1221" s="23"/>
      <c r="AK1221" s="23"/>
      <c r="AL1221" s="23"/>
      <c r="AM1221" s="23"/>
      <c r="AN1221" s="23"/>
      <c r="AO1221" s="23"/>
      <c r="AP1221" s="23"/>
      <c r="AQ1221" s="23"/>
      <c r="AR1221" s="23"/>
      <c r="AS1221" s="23"/>
      <c r="AT1221" s="23"/>
      <c r="AU1221" s="23"/>
      <c r="AV1221" s="23"/>
      <c r="AW1221" s="23"/>
      <c r="AX1221" s="23"/>
      <c r="AY1221" s="23"/>
      <c r="AZ1221" s="23"/>
      <c r="BA1221" s="23"/>
      <c r="BB1221" s="23"/>
    </row>
    <row r="1222" spans="5:54" x14ac:dyDescent="0.35"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  <c r="AC1222" s="23"/>
      <c r="AD1222" s="23"/>
      <c r="AE1222" s="23"/>
      <c r="AF1222" s="23"/>
      <c r="AG1222" s="23"/>
      <c r="AH1222" s="23"/>
      <c r="AI1222" s="23"/>
      <c r="AJ1222" s="23"/>
      <c r="AK1222" s="23"/>
      <c r="AL1222" s="23"/>
      <c r="AM1222" s="23"/>
      <c r="AN1222" s="23"/>
      <c r="AO1222" s="23"/>
      <c r="AP1222" s="23"/>
      <c r="AQ1222" s="23"/>
      <c r="AR1222" s="23"/>
      <c r="AS1222" s="23"/>
      <c r="AT1222" s="23"/>
      <c r="AU1222" s="23"/>
      <c r="AV1222" s="23"/>
      <c r="AW1222" s="23"/>
      <c r="AX1222" s="23"/>
      <c r="AY1222" s="23"/>
      <c r="AZ1222" s="23"/>
      <c r="BA1222" s="23"/>
      <c r="BB1222" s="23"/>
    </row>
    <row r="1223" spans="5:54" x14ac:dyDescent="0.35"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  <c r="AC1223" s="23"/>
      <c r="AD1223" s="23"/>
      <c r="AE1223" s="23"/>
      <c r="AF1223" s="23"/>
      <c r="AG1223" s="23"/>
      <c r="AH1223" s="23"/>
      <c r="AI1223" s="23"/>
      <c r="AJ1223" s="23"/>
      <c r="AK1223" s="23"/>
      <c r="AL1223" s="23"/>
      <c r="AM1223" s="23"/>
      <c r="AN1223" s="23"/>
      <c r="AO1223" s="23"/>
      <c r="AP1223" s="23"/>
      <c r="AQ1223" s="23"/>
      <c r="AR1223" s="23"/>
      <c r="AS1223" s="23"/>
      <c r="AT1223" s="23"/>
      <c r="AU1223" s="23"/>
      <c r="AV1223" s="23"/>
      <c r="AW1223" s="23"/>
      <c r="AX1223" s="23"/>
      <c r="AY1223" s="23"/>
      <c r="AZ1223" s="23"/>
      <c r="BA1223" s="23"/>
      <c r="BB1223" s="23"/>
    </row>
    <row r="1224" spans="5:54" x14ac:dyDescent="0.35"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  <c r="AN1224" s="23"/>
      <c r="AO1224" s="23"/>
      <c r="AP1224" s="23"/>
      <c r="AQ1224" s="23"/>
      <c r="AR1224" s="23"/>
      <c r="AS1224" s="23"/>
      <c r="AT1224" s="23"/>
      <c r="AU1224" s="23"/>
      <c r="AV1224" s="23"/>
      <c r="AW1224" s="23"/>
      <c r="AX1224" s="23"/>
      <c r="AY1224" s="23"/>
      <c r="AZ1224" s="23"/>
      <c r="BA1224" s="23"/>
      <c r="BB1224" s="23"/>
    </row>
    <row r="1225" spans="5:54" x14ac:dyDescent="0.35"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  <c r="AC1225" s="23"/>
      <c r="AD1225" s="23"/>
      <c r="AE1225" s="23"/>
      <c r="AF1225" s="23"/>
      <c r="AG1225" s="23"/>
      <c r="AH1225" s="23"/>
      <c r="AI1225" s="23"/>
      <c r="AJ1225" s="23"/>
      <c r="AK1225" s="23"/>
      <c r="AL1225" s="23"/>
      <c r="AM1225" s="23"/>
      <c r="AN1225" s="23"/>
      <c r="AO1225" s="23"/>
      <c r="AP1225" s="23"/>
      <c r="AQ1225" s="23"/>
      <c r="AR1225" s="23"/>
      <c r="AS1225" s="23"/>
      <c r="AT1225" s="23"/>
      <c r="AU1225" s="23"/>
      <c r="AV1225" s="23"/>
      <c r="AW1225" s="23"/>
      <c r="AX1225" s="23"/>
      <c r="AY1225" s="23"/>
      <c r="AZ1225" s="23"/>
      <c r="BA1225" s="23"/>
      <c r="BB1225" s="23"/>
    </row>
    <row r="1226" spans="5:54" x14ac:dyDescent="0.35"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  <c r="AC1226" s="23"/>
      <c r="AD1226" s="23"/>
      <c r="AE1226" s="23"/>
      <c r="AF1226" s="23"/>
      <c r="AG1226" s="23"/>
      <c r="AH1226" s="23"/>
      <c r="AI1226" s="23"/>
      <c r="AJ1226" s="23"/>
      <c r="AK1226" s="23"/>
      <c r="AL1226" s="23"/>
      <c r="AM1226" s="23"/>
      <c r="AN1226" s="23"/>
      <c r="AO1226" s="23"/>
      <c r="AP1226" s="23"/>
      <c r="AQ1226" s="23"/>
      <c r="AR1226" s="23"/>
      <c r="AS1226" s="23"/>
      <c r="AT1226" s="23"/>
      <c r="AU1226" s="23"/>
      <c r="AV1226" s="23"/>
      <c r="AW1226" s="23"/>
      <c r="AX1226" s="23"/>
      <c r="AY1226" s="23"/>
      <c r="AZ1226" s="23"/>
      <c r="BA1226" s="23"/>
      <c r="BB1226" s="23"/>
    </row>
    <row r="1227" spans="5:54" x14ac:dyDescent="0.35"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  <c r="AC1227" s="23"/>
      <c r="AD1227" s="23"/>
      <c r="AE1227" s="23"/>
      <c r="AF1227" s="23"/>
      <c r="AG1227" s="23"/>
      <c r="AH1227" s="23"/>
      <c r="AI1227" s="23"/>
      <c r="AJ1227" s="23"/>
      <c r="AK1227" s="23"/>
      <c r="AL1227" s="23"/>
      <c r="AM1227" s="23"/>
      <c r="AN1227" s="23"/>
      <c r="AO1227" s="23"/>
      <c r="AP1227" s="23"/>
      <c r="AQ1227" s="23"/>
      <c r="AR1227" s="23"/>
      <c r="AS1227" s="23"/>
      <c r="AT1227" s="23"/>
      <c r="AU1227" s="23"/>
      <c r="AV1227" s="23"/>
      <c r="AW1227" s="23"/>
      <c r="AX1227" s="23"/>
      <c r="AY1227" s="23"/>
      <c r="AZ1227" s="23"/>
      <c r="BA1227" s="23"/>
      <c r="BB1227" s="23"/>
    </row>
    <row r="1228" spans="5:54" x14ac:dyDescent="0.35"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  <c r="AC1228" s="23"/>
      <c r="AD1228" s="23"/>
      <c r="AE1228" s="23"/>
      <c r="AF1228" s="23"/>
      <c r="AG1228" s="23"/>
      <c r="AH1228" s="23"/>
      <c r="AI1228" s="23"/>
      <c r="AJ1228" s="23"/>
      <c r="AK1228" s="23"/>
      <c r="AL1228" s="23"/>
      <c r="AM1228" s="23"/>
      <c r="AN1228" s="23"/>
      <c r="AO1228" s="23"/>
      <c r="AP1228" s="23"/>
      <c r="AQ1228" s="23"/>
      <c r="AR1228" s="23"/>
      <c r="AS1228" s="23"/>
      <c r="AT1228" s="23"/>
      <c r="AU1228" s="23"/>
      <c r="AV1228" s="23"/>
      <c r="AW1228" s="23"/>
      <c r="AX1228" s="23"/>
      <c r="AY1228" s="23"/>
      <c r="AZ1228" s="23"/>
      <c r="BA1228" s="23"/>
      <c r="BB1228" s="23"/>
    </row>
    <row r="1229" spans="5:54" x14ac:dyDescent="0.35"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  <c r="AC1229" s="23"/>
      <c r="AD1229" s="23"/>
      <c r="AE1229" s="23"/>
      <c r="AF1229" s="23"/>
      <c r="AG1229" s="23"/>
      <c r="AH1229" s="23"/>
      <c r="AI1229" s="23"/>
      <c r="AJ1229" s="23"/>
      <c r="AK1229" s="23"/>
      <c r="AL1229" s="23"/>
      <c r="AM1229" s="23"/>
      <c r="AN1229" s="23"/>
      <c r="AO1229" s="23"/>
      <c r="AP1229" s="23"/>
      <c r="AQ1229" s="23"/>
      <c r="AR1229" s="23"/>
      <c r="AS1229" s="23"/>
      <c r="AT1229" s="23"/>
      <c r="AU1229" s="23"/>
      <c r="AV1229" s="23"/>
      <c r="AW1229" s="23"/>
      <c r="AX1229" s="23"/>
      <c r="AY1229" s="23"/>
      <c r="AZ1229" s="23"/>
      <c r="BA1229" s="23"/>
      <c r="BB1229" s="23"/>
    </row>
    <row r="1230" spans="5:54" x14ac:dyDescent="0.35"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  <c r="AC1230" s="23"/>
      <c r="AD1230" s="23"/>
      <c r="AE1230" s="23"/>
      <c r="AF1230" s="23"/>
      <c r="AG1230" s="23"/>
      <c r="AH1230" s="23"/>
      <c r="AI1230" s="23"/>
      <c r="AJ1230" s="23"/>
      <c r="AK1230" s="23"/>
      <c r="AL1230" s="23"/>
      <c r="AM1230" s="23"/>
      <c r="AN1230" s="23"/>
      <c r="AO1230" s="23"/>
      <c r="AP1230" s="23"/>
      <c r="AQ1230" s="23"/>
      <c r="AR1230" s="23"/>
      <c r="AS1230" s="23"/>
      <c r="AT1230" s="23"/>
      <c r="AU1230" s="23"/>
      <c r="AV1230" s="23"/>
      <c r="AW1230" s="23"/>
      <c r="AX1230" s="23"/>
      <c r="AY1230" s="23"/>
      <c r="AZ1230" s="23"/>
      <c r="BA1230" s="23"/>
      <c r="BB1230" s="23"/>
    </row>
    <row r="1231" spans="5:54" x14ac:dyDescent="0.35"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  <c r="AC1231" s="23"/>
      <c r="AD1231" s="23"/>
      <c r="AE1231" s="23"/>
      <c r="AF1231" s="23"/>
      <c r="AG1231" s="23"/>
      <c r="AH1231" s="23"/>
      <c r="AI1231" s="23"/>
      <c r="AJ1231" s="23"/>
      <c r="AK1231" s="23"/>
      <c r="AL1231" s="23"/>
      <c r="AM1231" s="23"/>
      <c r="AN1231" s="23"/>
      <c r="AO1231" s="23"/>
      <c r="AP1231" s="23"/>
      <c r="AQ1231" s="23"/>
      <c r="AR1231" s="23"/>
      <c r="AS1231" s="23"/>
      <c r="AT1231" s="23"/>
      <c r="AU1231" s="23"/>
      <c r="AV1231" s="23"/>
      <c r="AW1231" s="23"/>
      <c r="AX1231" s="23"/>
      <c r="AY1231" s="23"/>
      <c r="AZ1231" s="23"/>
      <c r="BA1231" s="23"/>
      <c r="BB1231" s="23"/>
    </row>
    <row r="1232" spans="5:54" x14ac:dyDescent="0.35"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23"/>
      <c r="AI1232" s="23"/>
      <c r="AJ1232" s="23"/>
      <c r="AK1232" s="23"/>
      <c r="AL1232" s="23"/>
      <c r="AM1232" s="23"/>
      <c r="AN1232" s="23"/>
      <c r="AO1232" s="23"/>
      <c r="AP1232" s="23"/>
      <c r="AQ1232" s="23"/>
      <c r="AR1232" s="23"/>
      <c r="AS1232" s="23"/>
      <c r="AT1232" s="23"/>
      <c r="AU1232" s="23"/>
      <c r="AV1232" s="23"/>
      <c r="AW1232" s="23"/>
      <c r="AX1232" s="23"/>
      <c r="AY1232" s="23"/>
      <c r="AZ1232" s="23"/>
      <c r="BA1232" s="23"/>
      <c r="BB1232" s="23"/>
    </row>
    <row r="1233" spans="5:54" x14ac:dyDescent="0.35"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  <c r="AC1233" s="23"/>
      <c r="AD1233" s="23"/>
      <c r="AE1233" s="23"/>
      <c r="AF1233" s="23"/>
      <c r="AG1233" s="23"/>
      <c r="AH1233" s="23"/>
      <c r="AI1233" s="23"/>
      <c r="AJ1233" s="23"/>
      <c r="AK1233" s="23"/>
      <c r="AL1233" s="23"/>
      <c r="AM1233" s="23"/>
      <c r="AN1233" s="23"/>
      <c r="AO1233" s="23"/>
      <c r="AP1233" s="23"/>
      <c r="AQ1233" s="23"/>
      <c r="AR1233" s="23"/>
      <c r="AS1233" s="23"/>
      <c r="AT1233" s="23"/>
      <c r="AU1233" s="23"/>
      <c r="AV1233" s="23"/>
      <c r="AW1233" s="23"/>
      <c r="AX1233" s="23"/>
      <c r="AY1233" s="23"/>
      <c r="AZ1233" s="23"/>
      <c r="BA1233" s="23"/>
      <c r="BB1233" s="23"/>
    </row>
    <row r="1234" spans="5:54" x14ac:dyDescent="0.35"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/>
      <c r="AK1234" s="23"/>
      <c r="AL1234" s="23"/>
      <c r="AM1234" s="23"/>
      <c r="AN1234" s="23"/>
      <c r="AO1234" s="23"/>
      <c r="AP1234" s="23"/>
      <c r="AQ1234" s="23"/>
      <c r="AR1234" s="23"/>
      <c r="AS1234" s="23"/>
      <c r="AT1234" s="23"/>
      <c r="AU1234" s="23"/>
      <c r="AV1234" s="23"/>
      <c r="AW1234" s="23"/>
      <c r="AX1234" s="23"/>
      <c r="AY1234" s="23"/>
      <c r="AZ1234" s="23"/>
      <c r="BA1234" s="23"/>
      <c r="BB1234" s="23"/>
    </row>
    <row r="1235" spans="5:54" x14ac:dyDescent="0.35"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  <c r="AC1235" s="23"/>
      <c r="AD1235" s="23"/>
      <c r="AE1235" s="23"/>
      <c r="AF1235" s="23"/>
      <c r="AG1235" s="23"/>
      <c r="AH1235" s="23"/>
      <c r="AI1235" s="23"/>
      <c r="AJ1235" s="23"/>
      <c r="AK1235" s="23"/>
      <c r="AL1235" s="23"/>
      <c r="AM1235" s="23"/>
      <c r="AN1235" s="23"/>
      <c r="AO1235" s="23"/>
      <c r="AP1235" s="23"/>
      <c r="AQ1235" s="23"/>
      <c r="AR1235" s="23"/>
      <c r="AS1235" s="23"/>
      <c r="AT1235" s="23"/>
      <c r="AU1235" s="23"/>
      <c r="AV1235" s="23"/>
      <c r="AW1235" s="23"/>
      <c r="AX1235" s="23"/>
      <c r="AY1235" s="23"/>
      <c r="AZ1235" s="23"/>
      <c r="BA1235" s="23"/>
      <c r="BB1235" s="23"/>
    </row>
    <row r="1236" spans="5:54" x14ac:dyDescent="0.35"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23"/>
      <c r="AG1236" s="23"/>
      <c r="AH1236" s="23"/>
      <c r="AI1236" s="23"/>
      <c r="AJ1236" s="23"/>
      <c r="AK1236" s="23"/>
      <c r="AL1236" s="23"/>
      <c r="AM1236" s="23"/>
      <c r="AN1236" s="23"/>
      <c r="AO1236" s="23"/>
      <c r="AP1236" s="23"/>
      <c r="AQ1236" s="23"/>
      <c r="AR1236" s="23"/>
      <c r="AS1236" s="23"/>
      <c r="AT1236" s="23"/>
      <c r="AU1236" s="23"/>
      <c r="AV1236" s="23"/>
      <c r="AW1236" s="23"/>
      <c r="AX1236" s="23"/>
      <c r="AY1236" s="23"/>
      <c r="AZ1236" s="23"/>
      <c r="BA1236" s="23"/>
      <c r="BB1236" s="23"/>
    </row>
    <row r="1237" spans="5:54" x14ac:dyDescent="0.35"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/>
      <c r="AK1237" s="23"/>
      <c r="AL1237" s="23"/>
      <c r="AM1237" s="23"/>
      <c r="AN1237" s="23"/>
      <c r="AO1237" s="23"/>
      <c r="AP1237" s="23"/>
      <c r="AQ1237" s="23"/>
      <c r="AR1237" s="23"/>
      <c r="AS1237" s="23"/>
      <c r="AT1237" s="23"/>
      <c r="AU1237" s="23"/>
      <c r="AV1237" s="23"/>
      <c r="AW1237" s="23"/>
      <c r="AX1237" s="23"/>
      <c r="AY1237" s="23"/>
      <c r="AZ1237" s="23"/>
      <c r="BA1237" s="23"/>
      <c r="BB1237" s="23"/>
    </row>
    <row r="1238" spans="5:54" x14ac:dyDescent="0.35"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/>
      <c r="AK1238" s="23"/>
      <c r="AL1238" s="23"/>
      <c r="AM1238" s="23"/>
      <c r="AN1238" s="23"/>
      <c r="AO1238" s="23"/>
      <c r="AP1238" s="23"/>
      <c r="AQ1238" s="23"/>
      <c r="AR1238" s="23"/>
      <c r="AS1238" s="23"/>
      <c r="AT1238" s="23"/>
      <c r="AU1238" s="23"/>
      <c r="AV1238" s="23"/>
      <c r="AW1238" s="23"/>
      <c r="AX1238" s="23"/>
      <c r="AY1238" s="23"/>
      <c r="AZ1238" s="23"/>
      <c r="BA1238" s="23"/>
      <c r="BB1238" s="23"/>
    </row>
    <row r="1239" spans="5:54" x14ac:dyDescent="0.35"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  <c r="AC1239" s="23"/>
      <c r="AD1239" s="23"/>
      <c r="AE1239" s="23"/>
      <c r="AF1239" s="23"/>
      <c r="AG1239" s="23"/>
      <c r="AH1239" s="23"/>
      <c r="AI1239" s="23"/>
      <c r="AJ1239" s="23"/>
      <c r="AK1239" s="23"/>
      <c r="AL1239" s="23"/>
      <c r="AM1239" s="23"/>
      <c r="AN1239" s="23"/>
      <c r="AO1239" s="23"/>
      <c r="AP1239" s="23"/>
      <c r="AQ1239" s="23"/>
      <c r="AR1239" s="23"/>
      <c r="AS1239" s="23"/>
      <c r="AT1239" s="23"/>
      <c r="AU1239" s="23"/>
      <c r="AV1239" s="23"/>
      <c r="AW1239" s="23"/>
      <c r="AX1239" s="23"/>
      <c r="AY1239" s="23"/>
      <c r="AZ1239" s="23"/>
      <c r="BA1239" s="23"/>
      <c r="BB1239" s="23"/>
    </row>
    <row r="1240" spans="5:54" x14ac:dyDescent="0.35"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/>
      <c r="AK1240" s="23"/>
      <c r="AL1240" s="23"/>
      <c r="AM1240" s="23"/>
      <c r="AN1240" s="23"/>
      <c r="AO1240" s="23"/>
      <c r="AP1240" s="23"/>
      <c r="AQ1240" s="23"/>
      <c r="AR1240" s="23"/>
      <c r="AS1240" s="23"/>
      <c r="AT1240" s="23"/>
      <c r="AU1240" s="23"/>
      <c r="AV1240" s="23"/>
      <c r="AW1240" s="23"/>
      <c r="AX1240" s="23"/>
      <c r="AY1240" s="23"/>
      <c r="AZ1240" s="23"/>
      <c r="BA1240" s="23"/>
      <c r="BB1240" s="23"/>
    </row>
    <row r="1241" spans="5:54" x14ac:dyDescent="0.35"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  <c r="AC1241" s="23"/>
      <c r="AD1241" s="23"/>
      <c r="AE1241" s="23"/>
      <c r="AF1241" s="23"/>
      <c r="AG1241" s="23"/>
      <c r="AH1241" s="23"/>
      <c r="AI1241" s="23"/>
      <c r="AJ1241" s="23"/>
      <c r="AK1241" s="23"/>
      <c r="AL1241" s="23"/>
      <c r="AM1241" s="23"/>
      <c r="AN1241" s="23"/>
      <c r="AO1241" s="23"/>
      <c r="AP1241" s="23"/>
      <c r="AQ1241" s="23"/>
      <c r="AR1241" s="23"/>
      <c r="AS1241" s="23"/>
      <c r="AT1241" s="23"/>
      <c r="AU1241" s="23"/>
      <c r="AV1241" s="23"/>
      <c r="AW1241" s="23"/>
      <c r="AX1241" s="23"/>
      <c r="AY1241" s="23"/>
      <c r="AZ1241" s="23"/>
      <c r="BA1241" s="23"/>
      <c r="BB1241" s="23"/>
    </row>
    <row r="1242" spans="5:54" x14ac:dyDescent="0.35"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  <c r="AC1242" s="23"/>
      <c r="AD1242" s="23"/>
      <c r="AE1242" s="23"/>
      <c r="AF1242" s="23"/>
      <c r="AG1242" s="23"/>
      <c r="AH1242" s="23"/>
      <c r="AI1242" s="23"/>
      <c r="AJ1242" s="23"/>
      <c r="AK1242" s="23"/>
      <c r="AL1242" s="23"/>
      <c r="AM1242" s="23"/>
      <c r="AN1242" s="23"/>
      <c r="AO1242" s="23"/>
      <c r="AP1242" s="23"/>
      <c r="AQ1242" s="23"/>
      <c r="AR1242" s="23"/>
      <c r="AS1242" s="23"/>
      <c r="AT1242" s="23"/>
      <c r="AU1242" s="23"/>
      <c r="AV1242" s="23"/>
      <c r="AW1242" s="23"/>
      <c r="AX1242" s="23"/>
      <c r="AY1242" s="23"/>
      <c r="AZ1242" s="23"/>
      <c r="BA1242" s="23"/>
      <c r="BB1242" s="23"/>
    </row>
    <row r="1243" spans="5:54" x14ac:dyDescent="0.35"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  <c r="AC1243" s="23"/>
      <c r="AD1243" s="23"/>
      <c r="AE1243" s="23"/>
      <c r="AF1243" s="23"/>
      <c r="AG1243" s="23"/>
      <c r="AH1243" s="23"/>
      <c r="AI1243" s="23"/>
      <c r="AJ1243" s="23"/>
      <c r="AK1243" s="23"/>
      <c r="AL1243" s="23"/>
      <c r="AM1243" s="23"/>
      <c r="AN1243" s="23"/>
      <c r="AO1243" s="23"/>
      <c r="AP1243" s="23"/>
      <c r="AQ1243" s="23"/>
      <c r="AR1243" s="23"/>
      <c r="AS1243" s="23"/>
      <c r="AT1243" s="23"/>
      <c r="AU1243" s="23"/>
      <c r="AV1243" s="23"/>
      <c r="AW1243" s="23"/>
      <c r="AX1243" s="23"/>
      <c r="AY1243" s="23"/>
      <c r="AZ1243" s="23"/>
      <c r="BA1243" s="23"/>
      <c r="BB1243" s="23"/>
    </row>
    <row r="1244" spans="5:54" x14ac:dyDescent="0.35"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  <c r="AC1244" s="23"/>
      <c r="AD1244" s="23"/>
      <c r="AE1244" s="23"/>
      <c r="AF1244" s="23"/>
      <c r="AG1244" s="23"/>
      <c r="AH1244" s="23"/>
      <c r="AI1244" s="23"/>
      <c r="AJ1244" s="23"/>
      <c r="AK1244" s="23"/>
      <c r="AL1244" s="23"/>
      <c r="AM1244" s="23"/>
      <c r="AN1244" s="23"/>
      <c r="AO1244" s="23"/>
      <c r="AP1244" s="23"/>
      <c r="AQ1244" s="23"/>
      <c r="AR1244" s="23"/>
      <c r="AS1244" s="23"/>
      <c r="AT1244" s="23"/>
      <c r="AU1244" s="23"/>
      <c r="AV1244" s="23"/>
      <c r="AW1244" s="23"/>
      <c r="AX1244" s="23"/>
      <c r="AY1244" s="23"/>
      <c r="AZ1244" s="23"/>
      <c r="BA1244" s="23"/>
      <c r="BB1244" s="23"/>
    </row>
    <row r="1245" spans="5:54" x14ac:dyDescent="0.35"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  <c r="AC1245" s="23"/>
      <c r="AD1245" s="23"/>
      <c r="AE1245" s="23"/>
      <c r="AF1245" s="23"/>
      <c r="AG1245" s="23"/>
      <c r="AH1245" s="23"/>
      <c r="AI1245" s="23"/>
      <c r="AJ1245" s="23"/>
      <c r="AK1245" s="23"/>
      <c r="AL1245" s="23"/>
      <c r="AM1245" s="23"/>
      <c r="AN1245" s="23"/>
      <c r="AO1245" s="23"/>
      <c r="AP1245" s="23"/>
      <c r="AQ1245" s="23"/>
      <c r="AR1245" s="23"/>
      <c r="AS1245" s="23"/>
      <c r="AT1245" s="23"/>
      <c r="AU1245" s="23"/>
      <c r="AV1245" s="23"/>
      <c r="AW1245" s="23"/>
      <c r="AX1245" s="23"/>
      <c r="AY1245" s="23"/>
      <c r="AZ1245" s="23"/>
      <c r="BA1245" s="23"/>
      <c r="BB1245" s="23"/>
    </row>
    <row r="1246" spans="5:54" x14ac:dyDescent="0.35"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  <c r="AC1246" s="23"/>
      <c r="AD1246" s="23"/>
      <c r="AE1246" s="23"/>
      <c r="AF1246" s="23"/>
      <c r="AG1246" s="23"/>
      <c r="AH1246" s="23"/>
      <c r="AI1246" s="23"/>
      <c r="AJ1246" s="23"/>
      <c r="AK1246" s="23"/>
      <c r="AL1246" s="23"/>
      <c r="AM1246" s="23"/>
      <c r="AN1246" s="23"/>
      <c r="AO1246" s="23"/>
      <c r="AP1246" s="23"/>
      <c r="AQ1246" s="23"/>
      <c r="AR1246" s="23"/>
      <c r="AS1246" s="23"/>
      <c r="AT1246" s="23"/>
      <c r="AU1246" s="23"/>
      <c r="AV1246" s="23"/>
      <c r="AW1246" s="23"/>
      <c r="AX1246" s="23"/>
      <c r="AY1246" s="23"/>
      <c r="AZ1246" s="23"/>
      <c r="BA1246" s="23"/>
      <c r="BB1246" s="23"/>
    </row>
    <row r="1247" spans="5:54" x14ac:dyDescent="0.35"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  <c r="AC1247" s="23"/>
      <c r="AD1247" s="23"/>
      <c r="AE1247" s="23"/>
      <c r="AF1247" s="23"/>
      <c r="AG1247" s="23"/>
      <c r="AH1247" s="23"/>
      <c r="AI1247" s="23"/>
      <c r="AJ1247" s="23"/>
      <c r="AK1247" s="23"/>
      <c r="AL1247" s="23"/>
      <c r="AM1247" s="23"/>
      <c r="AN1247" s="23"/>
      <c r="AO1247" s="23"/>
      <c r="AP1247" s="23"/>
      <c r="AQ1247" s="23"/>
      <c r="AR1247" s="23"/>
      <c r="AS1247" s="23"/>
      <c r="AT1247" s="23"/>
      <c r="AU1247" s="23"/>
      <c r="AV1247" s="23"/>
      <c r="AW1247" s="23"/>
      <c r="AX1247" s="23"/>
      <c r="AY1247" s="23"/>
      <c r="AZ1247" s="23"/>
      <c r="BA1247" s="23"/>
      <c r="BB1247" s="23"/>
    </row>
    <row r="1248" spans="5:54" x14ac:dyDescent="0.35"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  <c r="AC1248" s="23"/>
      <c r="AD1248" s="23"/>
      <c r="AE1248" s="23"/>
      <c r="AF1248" s="23"/>
      <c r="AG1248" s="23"/>
      <c r="AH1248" s="23"/>
      <c r="AI1248" s="23"/>
      <c r="AJ1248" s="23"/>
      <c r="AK1248" s="23"/>
      <c r="AL1248" s="23"/>
      <c r="AM1248" s="23"/>
      <c r="AN1248" s="23"/>
      <c r="AO1248" s="23"/>
      <c r="AP1248" s="23"/>
      <c r="AQ1248" s="23"/>
      <c r="AR1248" s="23"/>
      <c r="AS1248" s="23"/>
      <c r="AT1248" s="23"/>
      <c r="AU1248" s="23"/>
      <c r="AV1248" s="23"/>
      <c r="AW1248" s="23"/>
      <c r="AX1248" s="23"/>
      <c r="AY1248" s="23"/>
      <c r="AZ1248" s="23"/>
      <c r="BA1248" s="23"/>
      <c r="BB1248" s="23"/>
    </row>
    <row r="1249" spans="5:54" x14ac:dyDescent="0.35"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  <c r="AC1249" s="23"/>
      <c r="AD1249" s="23"/>
      <c r="AE1249" s="23"/>
      <c r="AF1249" s="23"/>
      <c r="AG1249" s="23"/>
      <c r="AH1249" s="23"/>
      <c r="AI1249" s="23"/>
      <c r="AJ1249" s="23"/>
      <c r="AK1249" s="23"/>
      <c r="AL1249" s="23"/>
      <c r="AM1249" s="23"/>
      <c r="AN1249" s="23"/>
      <c r="AO1249" s="23"/>
      <c r="AP1249" s="23"/>
      <c r="AQ1249" s="23"/>
      <c r="AR1249" s="23"/>
      <c r="AS1249" s="23"/>
      <c r="AT1249" s="23"/>
      <c r="AU1249" s="23"/>
      <c r="AV1249" s="23"/>
      <c r="AW1249" s="23"/>
      <c r="AX1249" s="23"/>
      <c r="AY1249" s="23"/>
      <c r="AZ1249" s="23"/>
      <c r="BA1249" s="23"/>
      <c r="BB1249" s="23"/>
    </row>
    <row r="1250" spans="5:54" x14ac:dyDescent="0.35"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  <c r="AC1250" s="23"/>
      <c r="AD1250" s="23"/>
      <c r="AE1250" s="23"/>
      <c r="AF1250" s="23"/>
      <c r="AG1250" s="23"/>
      <c r="AH1250" s="23"/>
      <c r="AI1250" s="23"/>
      <c r="AJ1250" s="23"/>
      <c r="AK1250" s="23"/>
      <c r="AL1250" s="23"/>
      <c r="AM1250" s="23"/>
      <c r="AN1250" s="23"/>
      <c r="AO1250" s="23"/>
      <c r="AP1250" s="23"/>
      <c r="AQ1250" s="23"/>
      <c r="AR1250" s="23"/>
      <c r="AS1250" s="23"/>
      <c r="AT1250" s="23"/>
      <c r="AU1250" s="23"/>
      <c r="AV1250" s="23"/>
      <c r="AW1250" s="23"/>
      <c r="AX1250" s="23"/>
      <c r="AY1250" s="23"/>
      <c r="AZ1250" s="23"/>
      <c r="BA1250" s="23"/>
      <c r="BB1250" s="23"/>
    </row>
    <row r="1251" spans="5:54" x14ac:dyDescent="0.35"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  <c r="AC1251" s="23"/>
      <c r="AD1251" s="23"/>
      <c r="AE1251" s="23"/>
      <c r="AF1251" s="23"/>
      <c r="AG1251" s="23"/>
      <c r="AH1251" s="23"/>
      <c r="AI1251" s="23"/>
      <c r="AJ1251" s="23"/>
      <c r="AK1251" s="23"/>
      <c r="AL1251" s="23"/>
      <c r="AM1251" s="23"/>
      <c r="AN1251" s="23"/>
      <c r="AO1251" s="23"/>
      <c r="AP1251" s="23"/>
      <c r="AQ1251" s="23"/>
      <c r="AR1251" s="23"/>
      <c r="AS1251" s="23"/>
      <c r="AT1251" s="23"/>
      <c r="AU1251" s="23"/>
      <c r="AV1251" s="23"/>
      <c r="AW1251" s="23"/>
      <c r="AX1251" s="23"/>
      <c r="AY1251" s="23"/>
      <c r="AZ1251" s="23"/>
      <c r="BA1251" s="23"/>
      <c r="BB1251" s="23"/>
    </row>
    <row r="1252" spans="5:54" x14ac:dyDescent="0.35"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  <c r="AC1252" s="23"/>
      <c r="AD1252" s="23"/>
      <c r="AE1252" s="23"/>
      <c r="AF1252" s="23"/>
      <c r="AG1252" s="23"/>
      <c r="AH1252" s="23"/>
      <c r="AI1252" s="23"/>
      <c r="AJ1252" s="23"/>
      <c r="AK1252" s="23"/>
      <c r="AL1252" s="23"/>
      <c r="AM1252" s="23"/>
      <c r="AN1252" s="23"/>
      <c r="AO1252" s="23"/>
      <c r="AP1252" s="23"/>
      <c r="AQ1252" s="23"/>
      <c r="AR1252" s="23"/>
      <c r="AS1252" s="23"/>
      <c r="AT1252" s="23"/>
      <c r="AU1252" s="23"/>
      <c r="AV1252" s="23"/>
      <c r="AW1252" s="23"/>
      <c r="AX1252" s="23"/>
      <c r="AY1252" s="23"/>
      <c r="AZ1252" s="23"/>
      <c r="BA1252" s="23"/>
      <c r="BB1252" s="23"/>
    </row>
    <row r="1253" spans="5:54" x14ac:dyDescent="0.35"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  <c r="AA1253" s="23"/>
      <c r="AB1253" s="23"/>
      <c r="AC1253" s="23"/>
      <c r="AD1253" s="23"/>
      <c r="AE1253" s="23"/>
      <c r="AF1253" s="23"/>
      <c r="AG1253" s="23"/>
      <c r="AH1253" s="23"/>
      <c r="AI1253" s="23"/>
      <c r="AJ1253" s="23"/>
      <c r="AK1253" s="23"/>
      <c r="AL1253" s="23"/>
      <c r="AM1253" s="23"/>
      <c r="AN1253" s="23"/>
      <c r="AO1253" s="23"/>
      <c r="AP1253" s="23"/>
      <c r="AQ1253" s="23"/>
      <c r="AR1253" s="23"/>
      <c r="AS1253" s="23"/>
      <c r="AT1253" s="23"/>
      <c r="AU1253" s="23"/>
      <c r="AV1253" s="23"/>
      <c r="AW1253" s="23"/>
      <c r="AX1253" s="23"/>
      <c r="AY1253" s="23"/>
      <c r="AZ1253" s="23"/>
      <c r="BA1253" s="23"/>
      <c r="BB1253" s="23"/>
    </row>
    <row r="1254" spans="5:54" x14ac:dyDescent="0.35"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  <c r="BA1254" s="23"/>
      <c r="BB1254" s="23"/>
    </row>
    <row r="1255" spans="5:54" x14ac:dyDescent="0.35"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  <c r="AA1255" s="23"/>
      <c r="AB1255" s="23"/>
      <c r="AC1255" s="23"/>
      <c r="AD1255" s="23"/>
      <c r="AE1255" s="23"/>
      <c r="AF1255" s="23"/>
      <c r="AG1255" s="23"/>
      <c r="AH1255" s="23"/>
      <c r="AI1255" s="23"/>
      <c r="AJ1255" s="23"/>
      <c r="AK1255" s="23"/>
      <c r="AL1255" s="23"/>
      <c r="AM1255" s="23"/>
      <c r="AN1255" s="23"/>
      <c r="AO1255" s="23"/>
      <c r="AP1255" s="23"/>
      <c r="AQ1255" s="23"/>
      <c r="AR1255" s="23"/>
      <c r="AS1255" s="23"/>
      <c r="AT1255" s="23"/>
      <c r="AU1255" s="23"/>
      <c r="AV1255" s="23"/>
      <c r="AW1255" s="23"/>
      <c r="AX1255" s="23"/>
      <c r="AY1255" s="23"/>
      <c r="AZ1255" s="23"/>
      <c r="BA1255" s="23"/>
      <c r="BB1255" s="23"/>
    </row>
    <row r="1256" spans="5:54" x14ac:dyDescent="0.35"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  <c r="AA1256" s="23"/>
      <c r="AB1256" s="23"/>
      <c r="AC1256" s="23"/>
      <c r="AD1256" s="23"/>
      <c r="AE1256" s="23"/>
      <c r="AF1256" s="23"/>
      <c r="AG1256" s="23"/>
      <c r="AH1256" s="23"/>
      <c r="AI1256" s="23"/>
      <c r="AJ1256" s="23"/>
      <c r="AK1256" s="23"/>
      <c r="AL1256" s="23"/>
      <c r="AM1256" s="23"/>
      <c r="AN1256" s="23"/>
      <c r="AO1256" s="23"/>
      <c r="AP1256" s="23"/>
      <c r="AQ1256" s="23"/>
      <c r="AR1256" s="23"/>
      <c r="AS1256" s="23"/>
      <c r="AT1256" s="23"/>
      <c r="AU1256" s="23"/>
      <c r="AV1256" s="23"/>
      <c r="AW1256" s="23"/>
      <c r="AX1256" s="23"/>
      <c r="AY1256" s="23"/>
      <c r="AZ1256" s="23"/>
      <c r="BA1256" s="23"/>
      <c r="BB1256" s="23"/>
    </row>
    <row r="1257" spans="5:54" x14ac:dyDescent="0.35"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3"/>
      <c r="AB1257" s="23"/>
      <c r="AC1257" s="23"/>
      <c r="AD1257" s="23"/>
      <c r="AE1257" s="23"/>
      <c r="AF1257" s="23"/>
      <c r="AG1257" s="23"/>
      <c r="AH1257" s="23"/>
      <c r="AI1257" s="23"/>
      <c r="AJ1257" s="23"/>
      <c r="AK1257" s="23"/>
      <c r="AL1257" s="23"/>
      <c r="AM1257" s="23"/>
      <c r="AN1257" s="23"/>
      <c r="AO1257" s="23"/>
      <c r="AP1257" s="23"/>
      <c r="AQ1257" s="23"/>
      <c r="AR1257" s="23"/>
      <c r="AS1257" s="23"/>
      <c r="AT1257" s="23"/>
      <c r="AU1257" s="23"/>
      <c r="AV1257" s="23"/>
      <c r="AW1257" s="23"/>
      <c r="AX1257" s="23"/>
      <c r="AY1257" s="23"/>
      <c r="AZ1257" s="23"/>
      <c r="BA1257" s="23"/>
      <c r="BB1257" s="23"/>
    </row>
    <row r="1258" spans="5:54" x14ac:dyDescent="0.35"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3"/>
      <c r="AB1258" s="23"/>
      <c r="AC1258" s="23"/>
      <c r="AD1258" s="23"/>
      <c r="AE1258" s="23"/>
      <c r="AF1258" s="23"/>
      <c r="AG1258" s="23"/>
      <c r="AH1258" s="23"/>
      <c r="AI1258" s="23"/>
      <c r="AJ1258" s="23"/>
      <c r="AK1258" s="23"/>
      <c r="AL1258" s="23"/>
      <c r="AM1258" s="23"/>
      <c r="AN1258" s="23"/>
      <c r="AO1258" s="23"/>
      <c r="AP1258" s="23"/>
      <c r="AQ1258" s="23"/>
      <c r="AR1258" s="23"/>
      <c r="AS1258" s="23"/>
      <c r="AT1258" s="23"/>
      <c r="AU1258" s="23"/>
      <c r="AV1258" s="23"/>
      <c r="AW1258" s="23"/>
      <c r="AX1258" s="23"/>
      <c r="AY1258" s="23"/>
      <c r="AZ1258" s="23"/>
      <c r="BA1258" s="23"/>
      <c r="BB1258" s="23"/>
    </row>
    <row r="1259" spans="5:54" x14ac:dyDescent="0.35"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  <c r="AA1259" s="23"/>
      <c r="AB1259" s="23"/>
      <c r="AC1259" s="23"/>
      <c r="AD1259" s="23"/>
      <c r="AE1259" s="23"/>
      <c r="AF1259" s="23"/>
      <c r="AG1259" s="23"/>
      <c r="AH1259" s="23"/>
      <c r="AI1259" s="23"/>
      <c r="AJ1259" s="23"/>
      <c r="AK1259" s="23"/>
      <c r="AL1259" s="23"/>
      <c r="AM1259" s="23"/>
      <c r="AN1259" s="23"/>
      <c r="AO1259" s="23"/>
      <c r="AP1259" s="23"/>
      <c r="AQ1259" s="23"/>
      <c r="AR1259" s="23"/>
      <c r="AS1259" s="23"/>
      <c r="AT1259" s="23"/>
      <c r="AU1259" s="23"/>
      <c r="AV1259" s="23"/>
      <c r="AW1259" s="23"/>
      <c r="AX1259" s="23"/>
      <c r="AY1259" s="23"/>
      <c r="AZ1259" s="23"/>
      <c r="BA1259" s="23"/>
      <c r="BB1259" s="23"/>
    </row>
    <row r="1260" spans="5:54" x14ac:dyDescent="0.35"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  <c r="AN1260" s="23"/>
      <c r="AO1260" s="23"/>
      <c r="AP1260" s="23"/>
      <c r="AQ1260" s="23"/>
      <c r="AR1260" s="23"/>
      <c r="AS1260" s="23"/>
      <c r="AT1260" s="23"/>
      <c r="AU1260" s="23"/>
      <c r="AV1260" s="23"/>
      <c r="AW1260" s="23"/>
      <c r="AX1260" s="23"/>
      <c r="AY1260" s="23"/>
      <c r="AZ1260" s="23"/>
      <c r="BA1260" s="23"/>
      <c r="BB1260" s="23"/>
    </row>
    <row r="1261" spans="5:54" x14ac:dyDescent="0.35"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  <c r="AA1261" s="23"/>
      <c r="AB1261" s="23"/>
      <c r="AC1261" s="23"/>
      <c r="AD1261" s="23"/>
      <c r="AE1261" s="23"/>
      <c r="AF1261" s="23"/>
      <c r="AG1261" s="23"/>
      <c r="AH1261" s="23"/>
      <c r="AI1261" s="23"/>
      <c r="AJ1261" s="23"/>
      <c r="AK1261" s="23"/>
      <c r="AL1261" s="23"/>
      <c r="AM1261" s="23"/>
      <c r="AN1261" s="23"/>
      <c r="AO1261" s="23"/>
      <c r="AP1261" s="23"/>
      <c r="AQ1261" s="23"/>
      <c r="AR1261" s="23"/>
      <c r="AS1261" s="23"/>
      <c r="AT1261" s="23"/>
      <c r="AU1261" s="23"/>
      <c r="AV1261" s="23"/>
      <c r="AW1261" s="23"/>
      <c r="AX1261" s="23"/>
      <c r="AY1261" s="23"/>
      <c r="AZ1261" s="23"/>
      <c r="BA1261" s="23"/>
      <c r="BB1261" s="23"/>
    </row>
    <row r="1262" spans="5:54" x14ac:dyDescent="0.35"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3"/>
      <c r="AB1262" s="23"/>
      <c r="AC1262" s="23"/>
      <c r="AD1262" s="23"/>
      <c r="AE1262" s="23"/>
      <c r="AF1262" s="23"/>
      <c r="AG1262" s="23"/>
      <c r="AH1262" s="23"/>
      <c r="AI1262" s="23"/>
      <c r="AJ1262" s="23"/>
      <c r="AK1262" s="23"/>
      <c r="AL1262" s="23"/>
      <c r="AM1262" s="23"/>
      <c r="AN1262" s="23"/>
      <c r="AO1262" s="23"/>
      <c r="AP1262" s="23"/>
      <c r="AQ1262" s="23"/>
      <c r="AR1262" s="23"/>
      <c r="AS1262" s="23"/>
      <c r="AT1262" s="23"/>
      <c r="AU1262" s="23"/>
      <c r="AV1262" s="23"/>
      <c r="AW1262" s="23"/>
      <c r="AX1262" s="23"/>
      <c r="AY1262" s="23"/>
      <c r="AZ1262" s="23"/>
      <c r="BA1262" s="23"/>
      <c r="BB1262" s="23"/>
    </row>
    <row r="1263" spans="5:54" x14ac:dyDescent="0.35"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  <c r="AA1263" s="23"/>
      <c r="AB1263" s="23"/>
      <c r="AC1263" s="23"/>
      <c r="AD1263" s="23"/>
      <c r="AE1263" s="23"/>
      <c r="AF1263" s="23"/>
      <c r="AG1263" s="23"/>
      <c r="AH1263" s="23"/>
      <c r="AI1263" s="23"/>
      <c r="AJ1263" s="23"/>
      <c r="AK1263" s="23"/>
      <c r="AL1263" s="23"/>
      <c r="AM1263" s="23"/>
      <c r="AN1263" s="23"/>
      <c r="AO1263" s="23"/>
      <c r="AP1263" s="23"/>
      <c r="AQ1263" s="23"/>
      <c r="AR1263" s="23"/>
      <c r="AS1263" s="23"/>
      <c r="AT1263" s="23"/>
      <c r="AU1263" s="23"/>
      <c r="AV1263" s="23"/>
      <c r="AW1263" s="23"/>
      <c r="AX1263" s="23"/>
      <c r="AY1263" s="23"/>
      <c r="AZ1263" s="23"/>
      <c r="BA1263" s="23"/>
      <c r="BB1263" s="23"/>
    </row>
    <row r="1264" spans="5:54" x14ac:dyDescent="0.35"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  <c r="AA1264" s="23"/>
      <c r="AB1264" s="23"/>
      <c r="AC1264" s="23"/>
      <c r="AD1264" s="23"/>
      <c r="AE1264" s="23"/>
      <c r="AF1264" s="23"/>
      <c r="AG1264" s="23"/>
      <c r="AH1264" s="23"/>
      <c r="AI1264" s="23"/>
      <c r="AJ1264" s="23"/>
      <c r="AK1264" s="23"/>
      <c r="AL1264" s="23"/>
      <c r="AM1264" s="23"/>
      <c r="AN1264" s="23"/>
      <c r="AO1264" s="23"/>
      <c r="AP1264" s="23"/>
      <c r="AQ1264" s="23"/>
      <c r="AR1264" s="23"/>
      <c r="AS1264" s="23"/>
      <c r="AT1264" s="23"/>
      <c r="AU1264" s="23"/>
      <c r="AV1264" s="23"/>
      <c r="AW1264" s="23"/>
      <c r="AX1264" s="23"/>
      <c r="AY1264" s="23"/>
      <c r="AZ1264" s="23"/>
      <c r="BA1264" s="23"/>
      <c r="BB1264" s="23"/>
    </row>
    <row r="1265" spans="5:54" x14ac:dyDescent="0.35"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  <c r="AA1265" s="23"/>
      <c r="AB1265" s="23"/>
      <c r="AC1265" s="23"/>
      <c r="AD1265" s="23"/>
      <c r="AE1265" s="23"/>
      <c r="AF1265" s="23"/>
      <c r="AG1265" s="23"/>
      <c r="AH1265" s="23"/>
      <c r="AI1265" s="23"/>
      <c r="AJ1265" s="23"/>
      <c r="AK1265" s="23"/>
      <c r="AL1265" s="23"/>
      <c r="AM1265" s="23"/>
      <c r="AN1265" s="23"/>
      <c r="AO1265" s="23"/>
      <c r="AP1265" s="23"/>
      <c r="AQ1265" s="23"/>
      <c r="AR1265" s="23"/>
      <c r="AS1265" s="23"/>
      <c r="AT1265" s="23"/>
      <c r="AU1265" s="23"/>
      <c r="AV1265" s="23"/>
      <c r="AW1265" s="23"/>
      <c r="AX1265" s="23"/>
      <c r="AY1265" s="23"/>
      <c r="AZ1265" s="23"/>
      <c r="BA1265" s="23"/>
      <c r="BB1265" s="23"/>
    </row>
    <row r="1266" spans="5:54" x14ac:dyDescent="0.35"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  <c r="AA1266" s="23"/>
      <c r="AB1266" s="23"/>
      <c r="AC1266" s="23"/>
      <c r="AD1266" s="23"/>
      <c r="AE1266" s="23"/>
      <c r="AF1266" s="23"/>
      <c r="AG1266" s="23"/>
      <c r="AH1266" s="23"/>
      <c r="AI1266" s="23"/>
      <c r="AJ1266" s="23"/>
      <c r="AK1266" s="23"/>
      <c r="AL1266" s="23"/>
      <c r="AM1266" s="23"/>
      <c r="AN1266" s="23"/>
      <c r="AO1266" s="23"/>
      <c r="AP1266" s="23"/>
      <c r="AQ1266" s="23"/>
      <c r="AR1266" s="23"/>
      <c r="AS1266" s="23"/>
      <c r="AT1266" s="23"/>
      <c r="AU1266" s="23"/>
      <c r="AV1266" s="23"/>
      <c r="AW1266" s="23"/>
      <c r="AX1266" s="23"/>
      <c r="AY1266" s="23"/>
      <c r="AZ1266" s="23"/>
      <c r="BA1266" s="23"/>
      <c r="BB1266" s="23"/>
    </row>
    <row r="1267" spans="5:54" x14ac:dyDescent="0.35"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  <c r="AA1267" s="23"/>
      <c r="AB1267" s="23"/>
      <c r="AC1267" s="23"/>
      <c r="AD1267" s="23"/>
      <c r="AE1267" s="23"/>
      <c r="AF1267" s="23"/>
      <c r="AG1267" s="23"/>
      <c r="AH1267" s="23"/>
      <c r="AI1267" s="23"/>
      <c r="AJ1267" s="23"/>
      <c r="AK1267" s="23"/>
      <c r="AL1267" s="23"/>
      <c r="AM1267" s="23"/>
      <c r="AN1267" s="23"/>
      <c r="AO1267" s="23"/>
      <c r="AP1267" s="23"/>
      <c r="AQ1267" s="23"/>
      <c r="AR1267" s="23"/>
      <c r="AS1267" s="23"/>
      <c r="AT1267" s="23"/>
      <c r="AU1267" s="23"/>
      <c r="AV1267" s="23"/>
      <c r="AW1267" s="23"/>
      <c r="AX1267" s="23"/>
      <c r="AY1267" s="23"/>
      <c r="AZ1267" s="23"/>
      <c r="BA1267" s="23"/>
      <c r="BB1267" s="23"/>
    </row>
    <row r="1268" spans="5:54" x14ac:dyDescent="0.35"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  <c r="AA1268" s="23"/>
      <c r="AB1268" s="23"/>
      <c r="AC1268" s="23"/>
      <c r="AD1268" s="23"/>
      <c r="AE1268" s="23"/>
      <c r="AF1268" s="23"/>
      <c r="AG1268" s="23"/>
      <c r="AH1268" s="23"/>
      <c r="AI1268" s="23"/>
      <c r="AJ1268" s="23"/>
      <c r="AK1268" s="23"/>
      <c r="AL1268" s="23"/>
      <c r="AM1268" s="23"/>
      <c r="AN1268" s="23"/>
      <c r="AO1268" s="23"/>
      <c r="AP1268" s="23"/>
      <c r="AQ1268" s="23"/>
      <c r="AR1268" s="23"/>
      <c r="AS1268" s="23"/>
      <c r="AT1268" s="23"/>
      <c r="AU1268" s="23"/>
      <c r="AV1268" s="23"/>
      <c r="AW1268" s="23"/>
      <c r="AX1268" s="23"/>
      <c r="AY1268" s="23"/>
      <c r="AZ1268" s="23"/>
      <c r="BA1268" s="23"/>
      <c r="BB1268" s="23"/>
    </row>
    <row r="1269" spans="5:54" x14ac:dyDescent="0.35"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  <c r="AA1269" s="23"/>
      <c r="AB1269" s="23"/>
      <c r="AC1269" s="23"/>
      <c r="AD1269" s="23"/>
      <c r="AE1269" s="23"/>
      <c r="AF1269" s="23"/>
      <c r="AG1269" s="23"/>
      <c r="AH1269" s="23"/>
      <c r="AI1269" s="23"/>
      <c r="AJ1269" s="23"/>
      <c r="AK1269" s="23"/>
      <c r="AL1269" s="23"/>
      <c r="AM1269" s="23"/>
      <c r="AN1269" s="23"/>
      <c r="AO1269" s="23"/>
      <c r="AP1269" s="23"/>
      <c r="AQ1269" s="23"/>
      <c r="AR1269" s="23"/>
      <c r="AS1269" s="23"/>
      <c r="AT1269" s="23"/>
      <c r="AU1269" s="23"/>
      <c r="AV1269" s="23"/>
      <c r="AW1269" s="23"/>
      <c r="AX1269" s="23"/>
      <c r="AY1269" s="23"/>
      <c r="AZ1269" s="23"/>
      <c r="BA1269" s="23"/>
      <c r="BB1269" s="23"/>
    </row>
    <row r="1270" spans="5:54" x14ac:dyDescent="0.35"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  <c r="AA1270" s="23"/>
      <c r="AB1270" s="23"/>
      <c r="AC1270" s="23"/>
      <c r="AD1270" s="23"/>
      <c r="AE1270" s="23"/>
      <c r="AF1270" s="23"/>
      <c r="AG1270" s="23"/>
      <c r="AH1270" s="23"/>
      <c r="AI1270" s="23"/>
      <c r="AJ1270" s="23"/>
      <c r="AK1270" s="23"/>
      <c r="AL1270" s="23"/>
      <c r="AM1270" s="23"/>
      <c r="AN1270" s="23"/>
      <c r="AO1270" s="23"/>
      <c r="AP1270" s="23"/>
      <c r="AQ1270" s="23"/>
      <c r="AR1270" s="23"/>
      <c r="AS1270" s="23"/>
      <c r="AT1270" s="23"/>
      <c r="AU1270" s="23"/>
      <c r="AV1270" s="23"/>
      <c r="AW1270" s="23"/>
      <c r="AX1270" s="23"/>
      <c r="AY1270" s="23"/>
      <c r="AZ1270" s="23"/>
      <c r="BA1270" s="23"/>
      <c r="BB1270" s="23"/>
    </row>
    <row r="1271" spans="5:54" x14ac:dyDescent="0.35"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  <c r="AA1271" s="23"/>
      <c r="AB1271" s="23"/>
      <c r="AC1271" s="23"/>
      <c r="AD1271" s="23"/>
      <c r="AE1271" s="23"/>
      <c r="AF1271" s="23"/>
      <c r="AG1271" s="23"/>
      <c r="AH1271" s="23"/>
      <c r="AI1271" s="23"/>
      <c r="AJ1271" s="23"/>
      <c r="AK1271" s="23"/>
      <c r="AL1271" s="23"/>
      <c r="AM1271" s="23"/>
      <c r="AN1271" s="23"/>
      <c r="AO1271" s="23"/>
      <c r="AP1271" s="23"/>
      <c r="AQ1271" s="23"/>
      <c r="AR1271" s="23"/>
      <c r="AS1271" s="23"/>
      <c r="AT1271" s="23"/>
      <c r="AU1271" s="23"/>
      <c r="AV1271" s="23"/>
      <c r="AW1271" s="23"/>
      <c r="AX1271" s="23"/>
      <c r="AY1271" s="23"/>
      <c r="AZ1271" s="23"/>
      <c r="BA1271" s="23"/>
      <c r="BB1271" s="23"/>
    </row>
    <row r="1272" spans="5:54" x14ac:dyDescent="0.35"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  <c r="AA1272" s="23"/>
      <c r="AB1272" s="23"/>
      <c r="AC1272" s="23"/>
      <c r="AD1272" s="23"/>
      <c r="AE1272" s="23"/>
      <c r="AF1272" s="23"/>
      <c r="AG1272" s="23"/>
      <c r="AH1272" s="23"/>
      <c r="AI1272" s="23"/>
      <c r="AJ1272" s="23"/>
      <c r="AK1272" s="23"/>
      <c r="AL1272" s="23"/>
      <c r="AM1272" s="23"/>
      <c r="AN1272" s="23"/>
      <c r="AO1272" s="23"/>
      <c r="AP1272" s="23"/>
      <c r="AQ1272" s="23"/>
      <c r="AR1272" s="23"/>
      <c r="AS1272" s="23"/>
      <c r="AT1272" s="23"/>
      <c r="AU1272" s="23"/>
      <c r="AV1272" s="23"/>
      <c r="AW1272" s="23"/>
      <c r="AX1272" s="23"/>
      <c r="AY1272" s="23"/>
      <c r="AZ1272" s="23"/>
      <c r="BA1272" s="23"/>
      <c r="BB1272" s="23"/>
    </row>
    <row r="1273" spans="5:54" x14ac:dyDescent="0.35"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  <c r="AA1273" s="23"/>
      <c r="AB1273" s="23"/>
      <c r="AC1273" s="23"/>
      <c r="AD1273" s="23"/>
      <c r="AE1273" s="23"/>
      <c r="AF1273" s="23"/>
      <c r="AG1273" s="23"/>
      <c r="AH1273" s="23"/>
      <c r="AI1273" s="23"/>
      <c r="AJ1273" s="23"/>
      <c r="AK1273" s="23"/>
      <c r="AL1273" s="23"/>
      <c r="AM1273" s="23"/>
      <c r="AN1273" s="23"/>
      <c r="AO1273" s="23"/>
      <c r="AP1273" s="23"/>
      <c r="AQ1273" s="23"/>
      <c r="AR1273" s="23"/>
      <c r="AS1273" s="23"/>
      <c r="AT1273" s="23"/>
      <c r="AU1273" s="23"/>
      <c r="AV1273" s="23"/>
      <c r="AW1273" s="23"/>
      <c r="AX1273" s="23"/>
      <c r="AY1273" s="23"/>
      <c r="AZ1273" s="23"/>
      <c r="BA1273" s="23"/>
      <c r="BB1273" s="23"/>
    </row>
    <row r="1274" spans="5:54" x14ac:dyDescent="0.35"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  <c r="AA1274" s="23"/>
      <c r="AB1274" s="23"/>
      <c r="AC1274" s="23"/>
      <c r="AD1274" s="23"/>
      <c r="AE1274" s="23"/>
      <c r="AF1274" s="23"/>
      <c r="AG1274" s="23"/>
      <c r="AH1274" s="23"/>
      <c r="AI1274" s="23"/>
      <c r="AJ1274" s="23"/>
      <c r="AK1274" s="23"/>
      <c r="AL1274" s="23"/>
      <c r="AM1274" s="23"/>
      <c r="AN1274" s="23"/>
      <c r="AO1274" s="23"/>
      <c r="AP1274" s="23"/>
      <c r="AQ1274" s="23"/>
      <c r="AR1274" s="23"/>
      <c r="AS1274" s="23"/>
      <c r="AT1274" s="23"/>
      <c r="AU1274" s="23"/>
      <c r="AV1274" s="23"/>
      <c r="AW1274" s="23"/>
      <c r="AX1274" s="23"/>
      <c r="AY1274" s="23"/>
      <c r="AZ1274" s="23"/>
      <c r="BA1274" s="23"/>
      <c r="BB1274" s="23"/>
    </row>
    <row r="1275" spans="5:54" x14ac:dyDescent="0.35"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  <c r="AA1275" s="23"/>
      <c r="AB1275" s="23"/>
      <c r="AC1275" s="23"/>
      <c r="AD1275" s="23"/>
      <c r="AE1275" s="23"/>
      <c r="AF1275" s="23"/>
      <c r="AG1275" s="23"/>
      <c r="AH1275" s="23"/>
      <c r="AI1275" s="23"/>
      <c r="AJ1275" s="23"/>
      <c r="AK1275" s="23"/>
      <c r="AL1275" s="23"/>
      <c r="AM1275" s="23"/>
      <c r="AN1275" s="23"/>
      <c r="AO1275" s="23"/>
      <c r="AP1275" s="23"/>
      <c r="AQ1275" s="23"/>
      <c r="AR1275" s="23"/>
      <c r="AS1275" s="23"/>
      <c r="AT1275" s="23"/>
      <c r="AU1275" s="23"/>
      <c r="AV1275" s="23"/>
      <c r="AW1275" s="23"/>
      <c r="AX1275" s="23"/>
      <c r="AY1275" s="23"/>
      <c r="AZ1275" s="23"/>
      <c r="BA1275" s="23"/>
      <c r="BB1275" s="23"/>
    </row>
    <row r="1276" spans="5:54" x14ac:dyDescent="0.35"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  <c r="AA1276" s="23"/>
      <c r="AB1276" s="23"/>
      <c r="AC1276" s="23"/>
      <c r="AD1276" s="23"/>
      <c r="AE1276" s="23"/>
      <c r="AF1276" s="23"/>
      <c r="AG1276" s="23"/>
      <c r="AH1276" s="23"/>
      <c r="AI1276" s="23"/>
      <c r="AJ1276" s="23"/>
      <c r="AK1276" s="23"/>
      <c r="AL1276" s="23"/>
      <c r="AM1276" s="23"/>
      <c r="AN1276" s="23"/>
      <c r="AO1276" s="23"/>
      <c r="AP1276" s="23"/>
      <c r="AQ1276" s="23"/>
      <c r="AR1276" s="23"/>
      <c r="AS1276" s="23"/>
      <c r="AT1276" s="23"/>
      <c r="AU1276" s="23"/>
      <c r="AV1276" s="23"/>
      <c r="AW1276" s="23"/>
      <c r="AX1276" s="23"/>
      <c r="AY1276" s="23"/>
      <c r="AZ1276" s="23"/>
      <c r="BA1276" s="23"/>
      <c r="BB1276" s="23"/>
    </row>
    <row r="1277" spans="5:54" x14ac:dyDescent="0.35"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  <c r="AA1277" s="23"/>
      <c r="AB1277" s="23"/>
      <c r="AC1277" s="23"/>
      <c r="AD1277" s="23"/>
      <c r="AE1277" s="23"/>
      <c r="AF1277" s="23"/>
      <c r="AG1277" s="23"/>
      <c r="AH1277" s="23"/>
      <c r="AI1277" s="23"/>
      <c r="AJ1277" s="23"/>
      <c r="AK1277" s="23"/>
      <c r="AL1277" s="23"/>
      <c r="AM1277" s="23"/>
      <c r="AN1277" s="23"/>
      <c r="AO1277" s="23"/>
      <c r="AP1277" s="23"/>
      <c r="AQ1277" s="23"/>
      <c r="AR1277" s="23"/>
      <c r="AS1277" s="23"/>
      <c r="AT1277" s="23"/>
      <c r="AU1277" s="23"/>
      <c r="AV1277" s="23"/>
      <c r="AW1277" s="23"/>
      <c r="AX1277" s="23"/>
      <c r="AY1277" s="23"/>
      <c r="AZ1277" s="23"/>
      <c r="BA1277" s="23"/>
      <c r="BB1277" s="23"/>
    </row>
    <row r="1278" spans="5:54" x14ac:dyDescent="0.35"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  <c r="AA1278" s="23"/>
      <c r="AB1278" s="23"/>
      <c r="AC1278" s="23"/>
      <c r="AD1278" s="23"/>
      <c r="AE1278" s="23"/>
      <c r="AF1278" s="23"/>
      <c r="AG1278" s="23"/>
      <c r="AH1278" s="23"/>
      <c r="AI1278" s="23"/>
      <c r="AJ1278" s="23"/>
      <c r="AK1278" s="23"/>
      <c r="AL1278" s="23"/>
      <c r="AM1278" s="23"/>
      <c r="AN1278" s="23"/>
      <c r="AO1278" s="23"/>
      <c r="AP1278" s="23"/>
      <c r="AQ1278" s="23"/>
      <c r="AR1278" s="23"/>
      <c r="AS1278" s="23"/>
      <c r="AT1278" s="23"/>
      <c r="AU1278" s="23"/>
      <c r="AV1278" s="23"/>
      <c r="AW1278" s="23"/>
      <c r="AX1278" s="23"/>
      <c r="AY1278" s="23"/>
      <c r="AZ1278" s="23"/>
      <c r="BA1278" s="23"/>
      <c r="BB1278" s="23"/>
    </row>
    <row r="1279" spans="5:54" x14ac:dyDescent="0.35"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  <c r="AA1279" s="23"/>
      <c r="AB1279" s="23"/>
      <c r="AC1279" s="23"/>
      <c r="AD1279" s="23"/>
      <c r="AE1279" s="23"/>
      <c r="AF1279" s="23"/>
      <c r="AG1279" s="23"/>
      <c r="AH1279" s="23"/>
      <c r="AI1279" s="23"/>
      <c r="AJ1279" s="23"/>
      <c r="AK1279" s="23"/>
      <c r="AL1279" s="23"/>
      <c r="AM1279" s="23"/>
      <c r="AN1279" s="23"/>
      <c r="AO1279" s="23"/>
      <c r="AP1279" s="23"/>
      <c r="AQ1279" s="23"/>
      <c r="AR1279" s="23"/>
      <c r="AS1279" s="23"/>
      <c r="AT1279" s="23"/>
      <c r="AU1279" s="23"/>
      <c r="AV1279" s="23"/>
      <c r="AW1279" s="23"/>
      <c r="AX1279" s="23"/>
      <c r="AY1279" s="23"/>
      <c r="AZ1279" s="23"/>
      <c r="BA1279" s="23"/>
      <c r="BB1279" s="23"/>
    </row>
    <row r="1280" spans="5:54" x14ac:dyDescent="0.35"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  <c r="AA1280" s="23"/>
      <c r="AB1280" s="23"/>
      <c r="AC1280" s="23"/>
      <c r="AD1280" s="23"/>
      <c r="AE1280" s="23"/>
      <c r="AF1280" s="23"/>
      <c r="AG1280" s="23"/>
      <c r="AH1280" s="23"/>
      <c r="AI1280" s="23"/>
      <c r="AJ1280" s="23"/>
      <c r="AK1280" s="23"/>
      <c r="AL1280" s="23"/>
      <c r="AM1280" s="23"/>
      <c r="AN1280" s="23"/>
      <c r="AO1280" s="23"/>
      <c r="AP1280" s="23"/>
      <c r="AQ1280" s="23"/>
      <c r="AR1280" s="23"/>
      <c r="AS1280" s="23"/>
      <c r="AT1280" s="23"/>
      <c r="AU1280" s="23"/>
      <c r="AV1280" s="23"/>
      <c r="AW1280" s="23"/>
      <c r="AX1280" s="23"/>
      <c r="AY1280" s="23"/>
      <c r="AZ1280" s="23"/>
      <c r="BA1280" s="23"/>
      <c r="BB1280" s="23"/>
    </row>
    <row r="1281" spans="5:54" x14ac:dyDescent="0.35"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  <c r="AA1281" s="23"/>
      <c r="AB1281" s="23"/>
      <c r="AC1281" s="23"/>
      <c r="AD1281" s="23"/>
      <c r="AE1281" s="23"/>
      <c r="AF1281" s="23"/>
      <c r="AG1281" s="23"/>
      <c r="AH1281" s="23"/>
      <c r="AI1281" s="23"/>
      <c r="AJ1281" s="23"/>
      <c r="AK1281" s="23"/>
      <c r="AL1281" s="23"/>
      <c r="AM1281" s="23"/>
      <c r="AN1281" s="23"/>
      <c r="AO1281" s="23"/>
      <c r="AP1281" s="23"/>
      <c r="AQ1281" s="23"/>
      <c r="AR1281" s="23"/>
      <c r="AS1281" s="23"/>
      <c r="AT1281" s="23"/>
      <c r="AU1281" s="23"/>
      <c r="AV1281" s="23"/>
      <c r="AW1281" s="23"/>
      <c r="AX1281" s="23"/>
      <c r="AY1281" s="23"/>
      <c r="AZ1281" s="23"/>
      <c r="BA1281" s="23"/>
      <c r="BB1281" s="23"/>
    </row>
    <row r="1282" spans="5:54" x14ac:dyDescent="0.35"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  <c r="AA1282" s="23"/>
      <c r="AB1282" s="23"/>
      <c r="AC1282" s="23"/>
      <c r="AD1282" s="23"/>
      <c r="AE1282" s="23"/>
      <c r="AF1282" s="23"/>
      <c r="AG1282" s="23"/>
      <c r="AH1282" s="23"/>
      <c r="AI1282" s="23"/>
      <c r="AJ1282" s="23"/>
      <c r="AK1282" s="23"/>
      <c r="AL1282" s="23"/>
      <c r="AM1282" s="23"/>
      <c r="AN1282" s="23"/>
      <c r="AO1282" s="23"/>
      <c r="AP1282" s="23"/>
      <c r="AQ1282" s="23"/>
      <c r="AR1282" s="23"/>
      <c r="AS1282" s="23"/>
      <c r="AT1282" s="23"/>
      <c r="AU1282" s="23"/>
      <c r="AV1282" s="23"/>
      <c r="AW1282" s="23"/>
      <c r="AX1282" s="23"/>
      <c r="AY1282" s="23"/>
      <c r="AZ1282" s="23"/>
      <c r="BA1282" s="23"/>
      <c r="BB1282" s="23"/>
    </row>
    <row r="1283" spans="5:54" x14ac:dyDescent="0.35"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  <c r="AA1283" s="23"/>
      <c r="AB1283" s="23"/>
      <c r="AC1283" s="23"/>
      <c r="AD1283" s="23"/>
      <c r="AE1283" s="23"/>
      <c r="AF1283" s="23"/>
      <c r="AG1283" s="23"/>
      <c r="AH1283" s="23"/>
      <c r="AI1283" s="23"/>
      <c r="AJ1283" s="23"/>
      <c r="AK1283" s="23"/>
      <c r="AL1283" s="23"/>
      <c r="AM1283" s="23"/>
      <c r="AN1283" s="23"/>
      <c r="AO1283" s="23"/>
      <c r="AP1283" s="23"/>
      <c r="AQ1283" s="23"/>
      <c r="AR1283" s="23"/>
      <c r="AS1283" s="23"/>
      <c r="AT1283" s="23"/>
      <c r="AU1283" s="23"/>
      <c r="AV1283" s="23"/>
      <c r="AW1283" s="23"/>
      <c r="AX1283" s="23"/>
      <c r="AY1283" s="23"/>
      <c r="AZ1283" s="23"/>
      <c r="BA1283" s="23"/>
      <c r="BB1283" s="23"/>
    </row>
    <row r="1284" spans="5:54" x14ac:dyDescent="0.35"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  <c r="AA1284" s="23"/>
      <c r="AB1284" s="23"/>
      <c r="AC1284" s="23"/>
      <c r="AD1284" s="23"/>
      <c r="AE1284" s="23"/>
      <c r="AF1284" s="23"/>
      <c r="AG1284" s="23"/>
      <c r="AH1284" s="23"/>
      <c r="AI1284" s="23"/>
      <c r="AJ1284" s="23"/>
      <c r="AK1284" s="23"/>
      <c r="AL1284" s="23"/>
      <c r="AM1284" s="23"/>
      <c r="AN1284" s="23"/>
      <c r="AO1284" s="23"/>
      <c r="AP1284" s="23"/>
      <c r="AQ1284" s="23"/>
      <c r="AR1284" s="23"/>
      <c r="AS1284" s="23"/>
      <c r="AT1284" s="23"/>
      <c r="AU1284" s="23"/>
      <c r="AV1284" s="23"/>
      <c r="AW1284" s="23"/>
      <c r="AX1284" s="23"/>
      <c r="AY1284" s="23"/>
      <c r="AZ1284" s="23"/>
      <c r="BA1284" s="23"/>
      <c r="BB1284" s="23"/>
    </row>
    <row r="1285" spans="5:54" x14ac:dyDescent="0.35"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  <c r="AA1285" s="23"/>
      <c r="AB1285" s="23"/>
      <c r="AC1285" s="23"/>
      <c r="AD1285" s="23"/>
      <c r="AE1285" s="23"/>
      <c r="AF1285" s="23"/>
      <c r="AG1285" s="23"/>
      <c r="AH1285" s="23"/>
      <c r="AI1285" s="23"/>
      <c r="AJ1285" s="23"/>
      <c r="AK1285" s="23"/>
      <c r="AL1285" s="23"/>
      <c r="AM1285" s="23"/>
      <c r="AN1285" s="23"/>
      <c r="AO1285" s="23"/>
      <c r="AP1285" s="23"/>
      <c r="AQ1285" s="23"/>
      <c r="AR1285" s="23"/>
      <c r="AS1285" s="23"/>
      <c r="AT1285" s="23"/>
      <c r="AU1285" s="23"/>
      <c r="AV1285" s="23"/>
      <c r="AW1285" s="23"/>
      <c r="AX1285" s="23"/>
      <c r="AY1285" s="23"/>
      <c r="AZ1285" s="23"/>
      <c r="BA1285" s="23"/>
      <c r="BB1285" s="23"/>
    </row>
    <row r="1286" spans="5:54" x14ac:dyDescent="0.35"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  <c r="AA1286" s="23"/>
      <c r="AB1286" s="23"/>
      <c r="AC1286" s="23"/>
      <c r="AD1286" s="23"/>
      <c r="AE1286" s="23"/>
      <c r="AF1286" s="23"/>
      <c r="AG1286" s="23"/>
      <c r="AH1286" s="23"/>
      <c r="AI1286" s="23"/>
      <c r="AJ1286" s="23"/>
      <c r="AK1286" s="23"/>
      <c r="AL1286" s="23"/>
      <c r="AM1286" s="23"/>
      <c r="AN1286" s="23"/>
      <c r="AO1286" s="23"/>
      <c r="AP1286" s="23"/>
      <c r="AQ1286" s="23"/>
      <c r="AR1286" s="23"/>
      <c r="AS1286" s="23"/>
      <c r="AT1286" s="23"/>
      <c r="AU1286" s="23"/>
      <c r="AV1286" s="23"/>
      <c r="AW1286" s="23"/>
      <c r="AX1286" s="23"/>
      <c r="AY1286" s="23"/>
      <c r="AZ1286" s="23"/>
      <c r="BA1286" s="23"/>
      <c r="BB1286" s="23"/>
    </row>
    <row r="1287" spans="5:54" x14ac:dyDescent="0.35"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  <c r="AA1287" s="23"/>
      <c r="AB1287" s="23"/>
      <c r="AC1287" s="23"/>
      <c r="AD1287" s="23"/>
      <c r="AE1287" s="23"/>
      <c r="AF1287" s="23"/>
      <c r="AG1287" s="23"/>
      <c r="AH1287" s="23"/>
      <c r="AI1287" s="23"/>
      <c r="AJ1287" s="23"/>
      <c r="AK1287" s="23"/>
      <c r="AL1287" s="23"/>
      <c r="AM1287" s="23"/>
      <c r="AN1287" s="23"/>
      <c r="AO1287" s="23"/>
      <c r="AP1287" s="23"/>
      <c r="AQ1287" s="23"/>
      <c r="AR1287" s="23"/>
      <c r="AS1287" s="23"/>
      <c r="AT1287" s="23"/>
      <c r="AU1287" s="23"/>
      <c r="AV1287" s="23"/>
      <c r="AW1287" s="23"/>
      <c r="AX1287" s="23"/>
      <c r="AY1287" s="23"/>
      <c r="AZ1287" s="23"/>
      <c r="BA1287" s="23"/>
      <c r="BB1287" s="23"/>
    </row>
    <row r="1288" spans="5:54" x14ac:dyDescent="0.35"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  <c r="AA1288" s="23"/>
      <c r="AB1288" s="23"/>
      <c r="AC1288" s="23"/>
      <c r="AD1288" s="23"/>
      <c r="AE1288" s="23"/>
      <c r="AF1288" s="23"/>
      <c r="AG1288" s="23"/>
      <c r="AH1288" s="23"/>
      <c r="AI1288" s="23"/>
      <c r="AJ1288" s="23"/>
      <c r="AK1288" s="23"/>
      <c r="AL1288" s="23"/>
      <c r="AM1288" s="23"/>
      <c r="AN1288" s="23"/>
      <c r="AO1288" s="23"/>
      <c r="AP1288" s="23"/>
      <c r="AQ1288" s="23"/>
      <c r="AR1288" s="23"/>
      <c r="AS1288" s="23"/>
      <c r="AT1288" s="23"/>
      <c r="AU1288" s="23"/>
      <c r="AV1288" s="23"/>
      <c r="AW1288" s="23"/>
      <c r="AX1288" s="23"/>
      <c r="AY1288" s="23"/>
      <c r="AZ1288" s="23"/>
      <c r="BA1288" s="23"/>
      <c r="BB1288" s="23"/>
    </row>
    <row r="1289" spans="5:54" x14ac:dyDescent="0.35"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  <c r="AA1289" s="23"/>
      <c r="AB1289" s="23"/>
      <c r="AC1289" s="23"/>
      <c r="AD1289" s="23"/>
      <c r="AE1289" s="23"/>
      <c r="AF1289" s="23"/>
      <c r="AG1289" s="23"/>
      <c r="AH1289" s="23"/>
      <c r="AI1289" s="23"/>
      <c r="AJ1289" s="23"/>
      <c r="AK1289" s="23"/>
      <c r="AL1289" s="23"/>
      <c r="AM1289" s="23"/>
      <c r="AN1289" s="23"/>
      <c r="AO1289" s="23"/>
      <c r="AP1289" s="23"/>
      <c r="AQ1289" s="23"/>
      <c r="AR1289" s="23"/>
      <c r="AS1289" s="23"/>
      <c r="AT1289" s="23"/>
      <c r="AU1289" s="23"/>
      <c r="AV1289" s="23"/>
      <c r="AW1289" s="23"/>
      <c r="AX1289" s="23"/>
      <c r="AY1289" s="23"/>
      <c r="AZ1289" s="23"/>
      <c r="BA1289" s="23"/>
      <c r="BB1289" s="23"/>
    </row>
    <row r="1290" spans="5:54" x14ac:dyDescent="0.35"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  <c r="AA1290" s="23"/>
      <c r="AB1290" s="23"/>
      <c r="AC1290" s="23"/>
      <c r="AD1290" s="23"/>
      <c r="AE1290" s="23"/>
      <c r="AF1290" s="23"/>
      <c r="AG1290" s="23"/>
      <c r="AH1290" s="23"/>
      <c r="AI1290" s="23"/>
      <c r="AJ1290" s="23"/>
      <c r="AK1290" s="23"/>
      <c r="AL1290" s="23"/>
      <c r="AM1290" s="23"/>
      <c r="AN1290" s="23"/>
      <c r="AO1290" s="23"/>
      <c r="AP1290" s="23"/>
      <c r="AQ1290" s="23"/>
      <c r="AR1290" s="23"/>
      <c r="AS1290" s="23"/>
      <c r="AT1290" s="23"/>
      <c r="AU1290" s="23"/>
      <c r="AV1290" s="23"/>
      <c r="AW1290" s="23"/>
      <c r="AX1290" s="23"/>
      <c r="AY1290" s="23"/>
      <c r="AZ1290" s="23"/>
      <c r="BA1290" s="23"/>
      <c r="BB1290" s="23"/>
    </row>
    <row r="1291" spans="5:54" x14ac:dyDescent="0.35"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  <c r="AA1291" s="23"/>
      <c r="AB1291" s="23"/>
      <c r="AC1291" s="23"/>
      <c r="AD1291" s="23"/>
      <c r="AE1291" s="23"/>
      <c r="AF1291" s="23"/>
      <c r="AG1291" s="23"/>
      <c r="AH1291" s="23"/>
      <c r="AI1291" s="23"/>
      <c r="AJ1291" s="23"/>
      <c r="AK1291" s="23"/>
      <c r="AL1291" s="23"/>
      <c r="AM1291" s="23"/>
      <c r="AN1291" s="23"/>
      <c r="AO1291" s="23"/>
      <c r="AP1291" s="23"/>
      <c r="AQ1291" s="23"/>
      <c r="AR1291" s="23"/>
      <c r="AS1291" s="23"/>
      <c r="AT1291" s="23"/>
      <c r="AU1291" s="23"/>
      <c r="AV1291" s="23"/>
      <c r="AW1291" s="23"/>
      <c r="AX1291" s="23"/>
      <c r="AY1291" s="23"/>
      <c r="AZ1291" s="23"/>
      <c r="BA1291" s="23"/>
      <c r="BB1291" s="23"/>
    </row>
    <row r="1292" spans="5:54" x14ac:dyDescent="0.35"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  <c r="AA1292" s="23"/>
      <c r="AB1292" s="23"/>
      <c r="AC1292" s="23"/>
      <c r="AD1292" s="23"/>
      <c r="AE1292" s="23"/>
      <c r="AF1292" s="23"/>
      <c r="AG1292" s="23"/>
      <c r="AH1292" s="23"/>
      <c r="AI1292" s="23"/>
      <c r="AJ1292" s="23"/>
      <c r="AK1292" s="23"/>
      <c r="AL1292" s="23"/>
      <c r="AM1292" s="23"/>
      <c r="AN1292" s="23"/>
      <c r="AO1292" s="23"/>
      <c r="AP1292" s="23"/>
      <c r="AQ1292" s="23"/>
      <c r="AR1292" s="23"/>
      <c r="AS1292" s="23"/>
      <c r="AT1292" s="23"/>
      <c r="AU1292" s="23"/>
      <c r="AV1292" s="23"/>
      <c r="AW1292" s="23"/>
      <c r="AX1292" s="23"/>
      <c r="AY1292" s="23"/>
      <c r="AZ1292" s="23"/>
      <c r="BA1292" s="23"/>
      <c r="BB1292" s="23"/>
    </row>
    <row r="1293" spans="5:54" x14ac:dyDescent="0.35"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  <c r="AA1293" s="23"/>
      <c r="AB1293" s="23"/>
      <c r="AC1293" s="23"/>
      <c r="AD1293" s="23"/>
      <c r="AE1293" s="23"/>
      <c r="AF1293" s="23"/>
      <c r="AG1293" s="23"/>
      <c r="AH1293" s="23"/>
      <c r="AI1293" s="23"/>
      <c r="AJ1293" s="23"/>
      <c r="AK1293" s="23"/>
      <c r="AL1293" s="23"/>
      <c r="AM1293" s="23"/>
      <c r="AN1293" s="23"/>
      <c r="AO1293" s="23"/>
      <c r="AP1293" s="23"/>
      <c r="AQ1293" s="23"/>
      <c r="AR1293" s="23"/>
      <c r="AS1293" s="23"/>
      <c r="AT1293" s="23"/>
      <c r="AU1293" s="23"/>
      <c r="AV1293" s="23"/>
      <c r="AW1293" s="23"/>
      <c r="AX1293" s="23"/>
      <c r="AY1293" s="23"/>
      <c r="AZ1293" s="23"/>
      <c r="BA1293" s="23"/>
      <c r="BB1293" s="23"/>
    </row>
    <row r="1294" spans="5:54" x14ac:dyDescent="0.35"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  <c r="AA1294" s="23"/>
      <c r="AB1294" s="23"/>
      <c r="AC1294" s="23"/>
      <c r="AD1294" s="23"/>
      <c r="AE1294" s="23"/>
      <c r="AF1294" s="23"/>
      <c r="AG1294" s="23"/>
      <c r="AH1294" s="23"/>
      <c r="AI1294" s="23"/>
      <c r="AJ1294" s="23"/>
      <c r="AK1294" s="23"/>
      <c r="AL1294" s="23"/>
      <c r="AM1294" s="23"/>
      <c r="AN1294" s="23"/>
      <c r="AO1294" s="23"/>
      <c r="AP1294" s="23"/>
      <c r="AQ1294" s="23"/>
      <c r="AR1294" s="23"/>
      <c r="AS1294" s="23"/>
      <c r="AT1294" s="23"/>
      <c r="AU1294" s="23"/>
      <c r="AV1294" s="23"/>
      <c r="AW1294" s="23"/>
      <c r="AX1294" s="23"/>
      <c r="AY1294" s="23"/>
      <c r="AZ1294" s="23"/>
      <c r="BA1294" s="23"/>
      <c r="BB1294" s="23"/>
    </row>
    <row r="1295" spans="5:54" x14ac:dyDescent="0.35"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  <c r="AA1295" s="23"/>
      <c r="AB1295" s="23"/>
      <c r="AC1295" s="23"/>
      <c r="AD1295" s="23"/>
      <c r="AE1295" s="23"/>
      <c r="AF1295" s="23"/>
      <c r="AG1295" s="23"/>
      <c r="AH1295" s="23"/>
      <c r="AI1295" s="23"/>
      <c r="AJ1295" s="23"/>
      <c r="AK1295" s="23"/>
      <c r="AL1295" s="23"/>
      <c r="AM1295" s="23"/>
      <c r="AN1295" s="23"/>
      <c r="AO1295" s="23"/>
      <c r="AP1295" s="23"/>
      <c r="AQ1295" s="23"/>
      <c r="AR1295" s="23"/>
      <c r="AS1295" s="23"/>
      <c r="AT1295" s="23"/>
      <c r="AU1295" s="23"/>
      <c r="AV1295" s="23"/>
      <c r="AW1295" s="23"/>
      <c r="AX1295" s="23"/>
      <c r="AY1295" s="23"/>
      <c r="AZ1295" s="23"/>
      <c r="BA1295" s="23"/>
      <c r="BB1295" s="23"/>
    </row>
    <row r="1296" spans="5:54" x14ac:dyDescent="0.35"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3"/>
      <c r="AB1296" s="23"/>
      <c r="AC1296" s="23"/>
      <c r="AD1296" s="23"/>
      <c r="AE1296" s="23"/>
      <c r="AF1296" s="23"/>
      <c r="AG1296" s="23"/>
      <c r="AH1296" s="23"/>
      <c r="AI1296" s="23"/>
      <c r="AJ1296" s="23"/>
      <c r="AK1296" s="23"/>
      <c r="AL1296" s="23"/>
      <c r="AM1296" s="23"/>
      <c r="AN1296" s="23"/>
      <c r="AO1296" s="23"/>
      <c r="AP1296" s="23"/>
      <c r="AQ1296" s="23"/>
      <c r="AR1296" s="23"/>
      <c r="AS1296" s="23"/>
      <c r="AT1296" s="23"/>
      <c r="AU1296" s="23"/>
      <c r="AV1296" s="23"/>
      <c r="AW1296" s="23"/>
      <c r="AX1296" s="23"/>
      <c r="AY1296" s="23"/>
      <c r="AZ1296" s="23"/>
      <c r="BA1296" s="23"/>
      <c r="BB1296" s="23"/>
    </row>
    <row r="1297" spans="5:54" x14ac:dyDescent="0.35"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  <c r="AA1297" s="23"/>
      <c r="AB1297" s="23"/>
      <c r="AC1297" s="23"/>
      <c r="AD1297" s="23"/>
      <c r="AE1297" s="23"/>
      <c r="AF1297" s="23"/>
      <c r="AG1297" s="23"/>
      <c r="AH1297" s="23"/>
      <c r="AI1297" s="23"/>
      <c r="AJ1297" s="23"/>
      <c r="AK1297" s="23"/>
      <c r="AL1297" s="23"/>
      <c r="AM1297" s="23"/>
      <c r="AN1297" s="23"/>
      <c r="AO1297" s="23"/>
      <c r="AP1297" s="23"/>
      <c r="AQ1297" s="23"/>
      <c r="AR1297" s="23"/>
      <c r="AS1297" s="23"/>
      <c r="AT1297" s="23"/>
      <c r="AU1297" s="23"/>
      <c r="AV1297" s="23"/>
      <c r="AW1297" s="23"/>
      <c r="AX1297" s="23"/>
      <c r="AY1297" s="23"/>
      <c r="AZ1297" s="23"/>
      <c r="BA1297" s="23"/>
      <c r="BB1297" s="23"/>
    </row>
    <row r="1298" spans="5:54" x14ac:dyDescent="0.35"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  <c r="AA1298" s="23"/>
      <c r="AB1298" s="23"/>
      <c r="AC1298" s="23"/>
      <c r="AD1298" s="23"/>
      <c r="AE1298" s="23"/>
      <c r="AF1298" s="23"/>
      <c r="AG1298" s="23"/>
      <c r="AH1298" s="23"/>
      <c r="AI1298" s="23"/>
      <c r="AJ1298" s="23"/>
      <c r="AK1298" s="23"/>
      <c r="AL1298" s="23"/>
      <c r="AM1298" s="23"/>
      <c r="AN1298" s="23"/>
      <c r="AO1298" s="23"/>
      <c r="AP1298" s="23"/>
      <c r="AQ1298" s="23"/>
      <c r="AR1298" s="23"/>
      <c r="AS1298" s="23"/>
      <c r="AT1298" s="23"/>
      <c r="AU1298" s="23"/>
      <c r="AV1298" s="23"/>
      <c r="AW1298" s="23"/>
      <c r="AX1298" s="23"/>
      <c r="AY1298" s="23"/>
      <c r="AZ1298" s="23"/>
      <c r="BA1298" s="23"/>
      <c r="BB1298" s="23"/>
    </row>
    <row r="1299" spans="5:54" x14ac:dyDescent="0.35"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  <c r="AA1299" s="23"/>
      <c r="AB1299" s="23"/>
      <c r="AC1299" s="23"/>
      <c r="AD1299" s="23"/>
      <c r="AE1299" s="23"/>
      <c r="AF1299" s="23"/>
      <c r="AG1299" s="23"/>
      <c r="AH1299" s="23"/>
      <c r="AI1299" s="23"/>
      <c r="AJ1299" s="23"/>
      <c r="AK1299" s="23"/>
      <c r="AL1299" s="23"/>
      <c r="AM1299" s="23"/>
      <c r="AN1299" s="23"/>
      <c r="AO1299" s="23"/>
      <c r="AP1299" s="23"/>
      <c r="AQ1299" s="23"/>
      <c r="AR1299" s="23"/>
      <c r="AS1299" s="23"/>
      <c r="AT1299" s="23"/>
      <c r="AU1299" s="23"/>
      <c r="AV1299" s="23"/>
      <c r="AW1299" s="23"/>
      <c r="AX1299" s="23"/>
      <c r="AY1299" s="23"/>
      <c r="AZ1299" s="23"/>
      <c r="BA1299" s="23"/>
      <c r="BB1299" s="23"/>
    </row>
    <row r="1300" spans="5:54" x14ac:dyDescent="0.35"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  <c r="AA1300" s="23"/>
      <c r="AB1300" s="23"/>
      <c r="AC1300" s="23"/>
      <c r="AD1300" s="23"/>
      <c r="AE1300" s="23"/>
      <c r="AF1300" s="23"/>
      <c r="AG1300" s="23"/>
      <c r="AH1300" s="23"/>
      <c r="AI1300" s="23"/>
      <c r="AJ1300" s="23"/>
      <c r="AK1300" s="23"/>
      <c r="AL1300" s="23"/>
      <c r="AM1300" s="23"/>
      <c r="AN1300" s="23"/>
      <c r="AO1300" s="23"/>
      <c r="AP1300" s="23"/>
      <c r="AQ1300" s="23"/>
      <c r="AR1300" s="23"/>
      <c r="AS1300" s="23"/>
      <c r="AT1300" s="23"/>
      <c r="AU1300" s="23"/>
      <c r="AV1300" s="23"/>
      <c r="AW1300" s="23"/>
      <c r="AX1300" s="23"/>
      <c r="AY1300" s="23"/>
      <c r="AZ1300" s="23"/>
      <c r="BA1300" s="23"/>
      <c r="BB1300" s="23"/>
    </row>
    <row r="1301" spans="5:54" x14ac:dyDescent="0.35"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  <c r="AA1301" s="23"/>
      <c r="AB1301" s="23"/>
      <c r="AC1301" s="23"/>
      <c r="AD1301" s="23"/>
      <c r="AE1301" s="23"/>
      <c r="AF1301" s="23"/>
      <c r="AG1301" s="23"/>
      <c r="AH1301" s="23"/>
      <c r="AI1301" s="23"/>
      <c r="AJ1301" s="23"/>
      <c r="AK1301" s="23"/>
      <c r="AL1301" s="23"/>
      <c r="AM1301" s="23"/>
      <c r="AN1301" s="23"/>
      <c r="AO1301" s="23"/>
      <c r="AP1301" s="23"/>
      <c r="AQ1301" s="23"/>
      <c r="AR1301" s="23"/>
      <c r="AS1301" s="23"/>
      <c r="AT1301" s="23"/>
      <c r="AU1301" s="23"/>
      <c r="AV1301" s="23"/>
      <c r="AW1301" s="23"/>
      <c r="AX1301" s="23"/>
      <c r="AY1301" s="23"/>
      <c r="AZ1301" s="23"/>
      <c r="BA1301" s="23"/>
      <c r="BB1301" s="23"/>
    </row>
    <row r="1302" spans="5:54" x14ac:dyDescent="0.35"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  <c r="AA1302" s="23"/>
      <c r="AB1302" s="23"/>
      <c r="AC1302" s="23"/>
      <c r="AD1302" s="23"/>
      <c r="AE1302" s="23"/>
      <c r="AF1302" s="23"/>
      <c r="AG1302" s="23"/>
      <c r="AH1302" s="23"/>
      <c r="AI1302" s="23"/>
      <c r="AJ1302" s="23"/>
      <c r="AK1302" s="23"/>
      <c r="AL1302" s="23"/>
      <c r="AM1302" s="23"/>
      <c r="AN1302" s="23"/>
      <c r="AO1302" s="23"/>
      <c r="AP1302" s="23"/>
      <c r="AQ1302" s="23"/>
      <c r="AR1302" s="23"/>
      <c r="AS1302" s="23"/>
      <c r="AT1302" s="23"/>
      <c r="AU1302" s="23"/>
      <c r="AV1302" s="23"/>
      <c r="AW1302" s="23"/>
      <c r="AX1302" s="23"/>
      <c r="AY1302" s="23"/>
      <c r="AZ1302" s="23"/>
      <c r="BA1302" s="23"/>
      <c r="BB1302" s="23"/>
    </row>
    <row r="1303" spans="5:54" x14ac:dyDescent="0.35"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  <c r="AA1303" s="23"/>
      <c r="AB1303" s="23"/>
      <c r="AC1303" s="23"/>
      <c r="AD1303" s="23"/>
      <c r="AE1303" s="23"/>
      <c r="AF1303" s="23"/>
      <c r="AG1303" s="23"/>
      <c r="AH1303" s="23"/>
      <c r="AI1303" s="23"/>
      <c r="AJ1303" s="23"/>
      <c r="AK1303" s="23"/>
      <c r="AL1303" s="23"/>
      <c r="AM1303" s="23"/>
      <c r="AN1303" s="23"/>
      <c r="AO1303" s="23"/>
      <c r="AP1303" s="23"/>
      <c r="AQ1303" s="23"/>
      <c r="AR1303" s="23"/>
      <c r="AS1303" s="23"/>
      <c r="AT1303" s="23"/>
      <c r="AU1303" s="23"/>
      <c r="AV1303" s="23"/>
      <c r="AW1303" s="23"/>
      <c r="AX1303" s="23"/>
      <c r="AY1303" s="23"/>
      <c r="AZ1303" s="23"/>
      <c r="BA1303" s="23"/>
      <c r="BB1303" s="23"/>
    </row>
    <row r="1304" spans="5:54" x14ac:dyDescent="0.35"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  <c r="AA1304" s="23"/>
      <c r="AB1304" s="23"/>
      <c r="AC1304" s="23"/>
      <c r="AD1304" s="23"/>
      <c r="AE1304" s="23"/>
      <c r="AF1304" s="23"/>
      <c r="AG1304" s="23"/>
      <c r="AH1304" s="23"/>
      <c r="AI1304" s="23"/>
      <c r="AJ1304" s="23"/>
      <c r="AK1304" s="23"/>
      <c r="AL1304" s="23"/>
      <c r="AM1304" s="23"/>
      <c r="AN1304" s="23"/>
      <c r="AO1304" s="23"/>
      <c r="AP1304" s="23"/>
      <c r="AQ1304" s="23"/>
      <c r="AR1304" s="23"/>
      <c r="AS1304" s="23"/>
      <c r="AT1304" s="23"/>
      <c r="AU1304" s="23"/>
      <c r="AV1304" s="23"/>
      <c r="AW1304" s="23"/>
      <c r="AX1304" s="23"/>
      <c r="AY1304" s="23"/>
      <c r="AZ1304" s="23"/>
      <c r="BA1304" s="23"/>
      <c r="BB1304" s="23"/>
    </row>
    <row r="1305" spans="5:54" x14ac:dyDescent="0.35"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  <c r="AA1305" s="23"/>
      <c r="AB1305" s="23"/>
      <c r="AC1305" s="23"/>
      <c r="AD1305" s="23"/>
      <c r="AE1305" s="23"/>
      <c r="AF1305" s="23"/>
      <c r="AG1305" s="23"/>
      <c r="AH1305" s="23"/>
      <c r="AI1305" s="23"/>
      <c r="AJ1305" s="23"/>
      <c r="AK1305" s="23"/>
      <c r="AL1305" s="23"/>
      <c r="AM1305" s="23"/>
      <c r="AN1305" s="23"/>
      <c r="AO1305" s="23"/>
      <c r="AP1305" s="23"/>
      <c r="AQ1305" s="23"/>
      <c r="AR1305" s="23"/>
      <c r="AS1305" s="23"/>
      <c r="AT1305" s="23"/>
      <c r="AU1305" s="23"/>
      <c r="AV1305" s="23"/>
      <c r="AW1305" s="23"/>
      <c r="AX1305" s="23"/>
      <c r="AY1305" s="23"/>
      <c r="AZ1305" s="23"/>
      <c r="BA1305" s="23"/>
      <c r="BB1305" s="23"/>
    </row>
    <row r="1306" spans="5:54" x14ac:dyDescent="0.35"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  <c r="AA1306" s="23"/>
      <c r="AB1306" s="23"/>
      <c r="AC1306" s="23"/>
      <c r="AD1306" s="23"/>
      <c r="AE1306" s="23"/>
      <c r="AF1306" s="23"/>
      <c r="AG1306" s="23"/>
      <c r="AH1306" s="23"/>
      <c r="AI1306" s="23"/>
      <c r="AJ1306" s="23"/>
      <c r="AK1306" s="23"/>
      <c r="AL1306" s="23"/>
      <c r="AM1306" s="23"/>
      <c r="AN1306" s="23"/>
      <c r="AO1306" s="23"/>
      <c r="AP1306" s="23"/>
      <c r="AQ1306" s="23"/>
      <c r="AR1306" s="23"/>
      <c r="AS1306" s="23"/>
      <c r="AT1306" s="23"/>
      <c r="AU1306" s="23"/>
      <c r="AV1306" s="23"/>
      <c r="AW1306" s="23"/>
      <c r="AX1306" s="23"/>
      <c r="AY1306" s="23"/>
      <c r="AZ1306" s="23"/>
      <c r="BA1306" s="23"/>
      <c r="BB1306" s="23"/>
    </row>
    <row r="1307" spans="5:54" x14ac:dyDescent="0.35"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  <c r="AA1307" s="23"/>
      <c r="AB1307" s="23"/>
      <c r="AC1307" s="23"/>
      <c r="AD1307" s="23"/>
      <c r="AE1307" s="23"/>
      <c r="AF1307" s="23"/>
      <c r="AG1307" s="23"/>
      <c r="AH1307" s="23"/>
      <c r="AI1307" s="23"/>
      <c r="AJ1307" s="23"/>
      <c r="AK1307" s="23"/>
      <c r="AL1307" s="23"/>
      <c r="AM1307" s="23"/>
      <c r="AN1307" s="23"/>
      <c r="AO1307" s="23"/>
      <c r="AP1307" s="23"/>
      <c r="AQ1307" s="23"/>
      <c r="AR1307" s="23"/>
      <c r="AS1307" s="23"/>
      <c r="AT1307" s="23"/>
      <c r="AU1307" s="23"/>
      <c r="AV1307" s="23"/>
      <c r="AW1307" s="23"/>
      <c r="AX1307" s="23"/>
      <c r="AY1307" s="23"/>
      <c r="AZ1307" s="23"/>
      <c r="BA1307" s="23"/>
      <c r="BB1307" s="23"/>
    </row>
    <row r="1308" spans="5:54" x14ac:dyDescent="0.35"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  <c r="AA1308" s="23"/>
      <c r="AB1308" s="23"/>
      <c r="AC1308" s="23"/>
      <c r="AD1308" s="23"/>
      <c r="AE1308" s="23"/>
      <c r="AF1308" s="23"/>
      <c r="AG1308" s="23"/>
      <c r="AH1308" s="23"/>
      <c r="AI1308" s="23"/>
      <c r="AJ1308" s="23"/>
      <c r="AK1308" s="23"/>
      <c r="AL1308" s="23"/>
      <c r="AM1308" s="23"/>
      <c r="AN1308" s="23"/>
      <c r="AO1308" s="23"/>
      <c r="AP1308" s="23"/>
      <c r="AQ1308" s="23"/>
      <c r="AR1308" s="23"/>
      <c r="AS1308" s="23"/>
      <c r="AT1308" s="23"/>
      <c r="AU1308" s="23"/>
      <c r="AV1308" s="23"/>
      <c r="AW1308" s="23"/>
      <c r="AX1308" s="23"/>
      <c r="AY1308" s="23"/>
      <c r="AZ1308" s="23"/>
      <c r="BA1308" s="23"/>
      <c r="BB1308" s="23"/>
    </row>
    <row r="1309" spans="5:54" x14ac:dyDescent="0.35"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  <c r="AA1309" s="23"/>
      <c r="AB1309" s="23"/>
      <c r="AC1309" s="23"/>
      <c r="AD1309" s="23"/>
      <c r="AE1309" s="23"/>
      <c r="AF1309" s="23"/>
      <c r="AG1309" s="23"/>
      <c r="AH1309" s="23"/>
      <c r="AI1309" s="23"/>
      <c r="AJ1309" s="23"/>
      <c r="AK1309" s="23"/>
      <c r="AL1309" s="23"/>
      <c r="AM1309" s="23"/>
      <c r="AN1309" s="23"/>
      <c r="AO1309" s="23"/>
      <c r="AP1309" s="23"/>
      <c r="AQ1309" s="23"/>
      <c r="AR1309" s="23"/>
      <c r="AS1309" s="23"/>
      <c r="AT1309" s="23"/>
      <c r="AU1309" s="23"/>
      <c r="AV1309" s="23"/>
      <c r="AW1309" s="23"/>
      <c r="AX1309" s="23"/>
      <c r="AY1309" s="23"/>
      <c r="AZ1309" s="23"/>
      <c r="BA1309" s="23"/>
      <c r="BB1309" s="23"/>
    </row>
    <row r="1310" spans="5:54" x14ac:dyDescent="0.35"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/>
      <c r="AK1310" s="23"/>
      <c r="AL1310" s="23"/>
      <c r="AM1310" s="23"/>
      <c r="AN1310" s="23"/>
      <c r="AO1310" s="23"/>
      <c r="AP1310" s="23"/>
      <c r="AQ1310" s="23"/>
      <c r="AR1310" s="23"/>
      <c r="AS1310" s="23"/>
      <c r="AT1310" s="23"/>
      <c r="AU1310" s="23"/>
      <c r="AV1310" s="23"/>
      <c r="AW1310" s="23"/>
      <c r="AX1310" s="23"/>
      <c r="AY1310" s="23"/>
      <c r="AZ1310" s="23"/>
      <c r="BA1310" s="23"/>
      <c r="BB1310" s="23"/>
    </row>
    <row r="1311" spans="5:54" x14ac:dyDescent="0.35"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  <c r="AA1311" s="23"/>
      <c r="AB1311" s="23"/>
      <c r="AC1311" s="23"/>
      <c r="AD1311" s="23"/>
      <c r="AE1311" s="23"/>
      <c r="AF1311" s="23"/>
      <c r="AG1311" s="23"/>
      <c r="AH1311" s="23"/>
      <c r="AI1311" s="23"/>
      <c r="AJ1311" s="23"/>
      <c r="AK1311" s="23"/>
      <c r="AL1311" s="23"/>
      <c r="AM1311" s="23"/>
      <c r="AN1311" s="23"/>
      <c r="AO1311" s="23"/>
      <c r="AP1311" s="23"/>
      <c r="AQ1311" s="23"/>
      <c r="AR1311" s="23"/>
      <c r="AS1311" s="23"/>
      <c r="AT1311" s="23"/>
      <c r="AU1311" s="23"/>
      <c r="AV1311" s="23"/>
      <c r="AW1311" s="23"/>
      <c r="AX1311" s="23"/>
      <c r="AY1311" s="23"/>
      <c r="AZ1311" s="23"/>
      <c r="BA1311" s="23"/>
      <c r="BB1311" s="23"/>
    </row>
    <row r="1312" spans="5:54" x14ac:dyDescent="0.35"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  <c r="AA1312" s="23"/>
      <c r="AB1312" s="23"/>
      <c r="AC1312" s="23"/>
      <c r="AD1312" s="23"/>
      <c r="AE1312" s="23"/>
      <c r="AF1312" s="23"/>
      <c r="AG1312" s="23"/>
      <c r="AH1312" s="23"/>
      <c r="AI1312" s="23"/>
      <c r="AJ1312" s="23"/>
      <c r="AK1312" s="23"/>
      <c r="AL1312" s="23"/>
      <c r="AM1312" s="23"/>
      <c r="AN1312" s="23"/>
      <c r="AO1312" s="23"/>
      <c r="AP1312" s="23"/>
      <c r="AQ1312" s="23"/>
      <c r="AR1312" s="23"/>
      <c r="AS1312" s="23"/>
      <c r="AT1312" s="23"/>
      <c r="AU1312" s="23"/>
      <c r="AV1312" s="23"/>
      <c r="AW1312" s="23"/>
      <c r="AX1312" s="23"/>
      <c r="AY1312" s="23"/>
      <c r="AZ1312" s="23"/>
      <c r="BA1312" s="23"/>
      <c r="BB1312" s="23"/>
    </row>
    <row r="1313" spans="5:54" x14ac:dyDescent="0.35"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  <c r="AA1313" s="23"/>
      <c r="AB1313" s="23"/>
      <c r="AC1313" s="23"/>
      <c r="AD1313" s="23"/>
      <c r="AE1313" s="23"/>
      <c r="AF1313" s="23"/>
      <c r="AG1313" s="23"/>
      <c r="AH1313" s="23"/>
      <c r="AI1313" s="23"/>
      <c r="AJ1313" s="23"/>
      <c r="AK1313" s="23"/>
      <c r="AL1313" s="23"/>
      <c r="AM1313" s="23"/>
      <c r="AN1313" s="23"/>
      <c r="AO1313" s="23"/>
      <c r="AP1313" s="23"/>
      <c r="AQ1313" s="23"/>
      <c r="AR1313" s="23"/>
      <c r="AS1313" s="23"/>
      <c r="AT1313" s="23"/>
      <c r="AU1313" s="23"/>
      <c r="AV1313" s="23"/>
      <c r="AW1313" s="23"/>
      <c r="AX1313" s="23"/>
      <c r="AY1313" s="23"/>
      <c r="AZ1313" s="23"/>
      <c r="BA1313" s="23"/>
      <c r="BB1313" s="23"/>
    </row>
    <row r="1314" spans="5:54" x14ac:dyDescent="0.35"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  <c r="AA1314" s="23"/>
      <c r="AB1314" s="23"/>
      <c r="AC1314" s="23"/>
      <c r="AD1314" s="23"/>
      <c r="AE1314" s="23"/>
      <c r="AF1314" s="23"/>
      <c r="AG1314" s="23"/>
      <c r="AH1314" s="23"/>
      <c r="AI1314" s="23"/>
      <c r="AJ1314" s="23"/>
      <c r="AK1314" s="23"/>
      <c r="AL1314" s="23"/>
      <c r="AM1314" s="23"/>
      <c r="AN1314" s="23"/>
      <c r="AO1314" s="23"/>
      <c r="AP1314" s="23"/>
      <c r="AQ1314" s="23"/>
      <c r="AR1314" s="23"/>
      <c r="AS1314" s="23"/>
      <c r="AT1314" s="23"/>
      <c r="AU1314" s="23"/>
      <c r="AV1314" s="23"/>
      <c r="AW1314" s="23"/>
      <c r="AX1314" s="23"/>
      <c r="AY1314" s="23"/>
      <c r="AZ1314" s="23"/>
      <c r="BA1314" s="23"/>
      <c r="BB1314" s="23"/>
    </row>
    <row r="1315" spans="5:54" x14ac:dyDescent="0.35"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  <c r="AA1315" s="23"/>
      <c r="AB1315" s="23"/>
      <c r="AC1315" s="23"/>
      <c r="AD1315" s="23"/>
      <c r="AE1315" s="23"/>
      <c r="AF1315" s="23"/>
      <c r="AG1315" s="23"/>
      <c r="AH1315" s="23"/>
      <c r="AI1315" s="23"/>
      <c r="AJ1315" s="23"/>
      <c r="AK1315" s="23"/>
      <c r="AL1315" s="23"/>
      <c r="AM1315" s="23"/>
      <c r="AN1315" s="23"/>
      <c r="AO1315" s="23"/>
      <c r="AP1315" s="23"/>
      <c r="AQ1315" s="23"/>
      <c r="AR1315" s="23"/>
      <c r="AS1315" s="23"/>
      <c r="AT1315" s="23"/>
      <c r="AU1315" s="23"/>
      <c r="AV1315" s="23"/>
      <c r="AW1315" s="23"/>
      <c r="AX1315" s="23"/>
      <c r="AY1315" s="23"/>
      <c r="AZ1315" s="23"/>
      <c r="BA1315" s="23"/>
      <c r="BB1315" s="23"/>
    </row>
    <row r="1316" spans="5:54" x14ac:dyDescent="0.35"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  <c r="AA1316" s="23"/>
      <c r="AB1316" s="23"/>
      <c r="AC1316" s="23"/>
      <c r="AD1316" s="23"/>
      <c r="AE1316" s="23"/>
      <c r="AF1316" s="23"/>
      <c r="AG1316" s="23"/>
      <c r="AH1316" s="23"/>
      <c r="AI1316" s="23"/>
      <c r="AJ1316" s="23"/>
      <c r="AK1316" s="23"/>
      <c r="AL1316" s="23"/>
      <c r="AM1316" s="23"/>
      <c r="AN1316" s="23"/>
      <c r="AO1316" s="23"/>
      <c r="AP1316" s="23"/>
      <c r="AQ1316" s="23"/>
      <c r="AR1316" s="23"/>
      <c r="AS1316" s="23"/>
      <c r="AT1316" s="23"/>
      <c r="AU1316" s="23"/>
      <c r="AV1316" s="23"/>
      <c r="AW1316" s="23"/>
      <c r="AX1316" s="23"/>
      <c r="AY1316" s="23"/>
      <c r="AZ1316" s="23"/>
      <c r="BA1316" s="23"/>
      <c r="BB1316" s="23"/>
    </row>
    <row r="1317" spans="5:54" x14ac:dyDescent="0.35"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  <c r="AA1317" s="23"/>
      <c r="AB1317" s="23"/>
      <c r="AC1317" s="23"/>
      <c r="AD1317" s="23"/>
      <c r="AE1317" s="23"/>
      <c r="AF1317" s="23"/>
      <c r="AG1317" s="23"/>
      <c r="AH1317" s="23"/>
      <c r="AI1317" s="23"/>
      <c r="AJ1317" s="23"/>
      <c r="AK1317" s="23"/>
      <c r="AL1317" s="23"/>
      <c r="AM1317" s="23"/>
      <c r="AN1317" s="23"/>
      <c r="AO1317" s="23"/>
      <c r="AP1317" s="23"/>
      <c r="AQ1317" s="23"/>
      <c r="AR1317" s="23"/>
      <c r="AS1317" s="23"/>
      <c r="AT1317" s="23"/>
      <c r="AU1317" s="23"/>
      <c r="AV1317" s="23"/>
      <c r="AW1317" s="23"/>
      <c r="AX1317" s="23"/>
      <c r="AY1317" s="23"/>
      <c r="AZ1317" s="23"/>
      <c r="BA1317" s="23"/>
      <c r="BB1317" s="23"/>
    </row>
    <row r="1318" spans="5:54" x14ac:dyDescent="0.35"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  <c r="AA1318" s="23"/>
      <c r="AB1318" s="23"/>
      <c r="AC1318" s="23"/>
      <c r="AD1318" s="23"/>
      <c r="AE1318" s="23"/>
      <c r="AF1318" s="23"/>
      <c r="AG1318" s="23"/>
      <c r="AH1318" s="23"/>
      <c r="AI1318" s="23"/>
      <c r="AJ1318" s="23"/>
      <c r="AK1318" s="23"/>
      <c r="AL1318" s="23"/>
      <c r="AM1318" s="23"/>
      <c r="AN1318" s="23"/>
      <c r="AO1318" s="23"/>
      <c r="AP1318" s="23"/>
      <c r="AQ1318" s="23"/>
      <c r="AR1318" s="23"/>
      <c r="AS1318" s="23"/>
      <c r="AT1318" s="23"/>
      <c r="AU1318" s="23"/>
      <c r="AV1318" s="23"/>
      <c r="AW1318" s="23"/>
      <c r="AX1318" s="23"/>
      <c r="AY1318" s="23"/>
      <c r="AZ1318" s="23"/>
      <c r="BA1318" s="23"/>
      <c r="BB1318" s="23"/>
    </row>
    <row r="1319" spans="5:54" x14ac:dyDescent="0.35"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  <c r="AA1319" s="23"/>
      <c r="AB1319" s="23"/>
      <c r="AC1319" s="23"/>
      <c r="AD1319" s="23"/>
      <c r="AE1319" s="23"/>
      <c r="AF1319" s="23"/>
      <c r="AG1319" s="23"/>
      <c r="AH1319" s="23"/>
      <c r="AI1319" s="23"/>
      <c r="AJ1319" s="23"/>
      <c r="AK1319" s="23"/>
      <c r="AL1319" s="23"/>
      <c r="AM1319" s="23"/>
      <c r="AN1319" s="23"/>
      <c r="AO1319" s="23"/>
      <c r="AP1319" s="23"/>
      <c r="AQ1319" s="23"/>
      <c r="AR1319" s="23"/>
      <c r="AS1319" s="23"/>
      <c r="AT1319" s="23"/>
      <c r="AU1319" s="23"/>
      <c r="AV1319" s="23"/>
      <c r="AW1319" s="23"/>
      <c r="AX1319" s="23"/>
      <c r="AY1319" s="23"/>
      <c r="AZ1319" s="23"/>
      <c r="BA1319" s="23"/>
      <c r="BB1319" s="23"/>
    </row>
    <row r="1320" spans="5:54" x14ac:dyDescent="0.35"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  <c r="AA1320" s="23"/>
      <c r="AB1320" s="23"/>
      <c r="AC1320" s="23"/>
      <c r="AD1320" s="23"/>
      <c r="AE1320" s="23"/>
      <c r="AF1320" s="23"/>
      <c r="AG1320" s="23"/>
      <c r="AH1320" s="23"/>
      <c r="AI1320" s="23"/>
      <c r="AJ1320" s="23"/>
      <c r="AK1320" s="23"/>
      <c r="AL1320" s="23"/>
      <c r="AM1320" s="23"/>
      <c r="AN1320" s="23"/>
      <c r="AO1320" s="23"/>
      <c r="AP1320" s="23"/>
      <c r="AQ1320" s="23"/>
      <c r="AR1320" s="23"/>
      <c r="AS1320" s="23"/>
      <c r="AT1320" s="23"/>
      <c r="AU1320" s="23"/>
      <c r="AV1320" s="23"/>
      <c r="AW1320" s="23"/>
      <c r="AX1320" s="23"/>
      <c r="AY1320" s="23"/>
      <c r="AZ1320" s="23"/>
      <c r="BA1320" s="23"/>
      <c r="BB1320" s="23"/>
    </row>
    <row r="1321" spans="5:54" x14ac:dyDescent="0.35"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  <c r="AA1321" s="23"/>
      <c r="AB1321" s="23"/>
      <c r="AC1321" s="23"/>
      <c r="AD1321" s="23"/>
      <c r="AE1321" s="23"/>
      <c r="AF1321" s="23"/>
      <c r="AG1321" s="23"/>
      <c r="AH1321" s="23"/>
      <c r="AI1321" s="23"/>
      <c r="AJ1321" s="23"/>
      <c r="AK1321" s="23"/>
      <c r="AL1321" s="23"/>
      <c r="AM1321" s="23"/>
      <c r="AN1321" s="23"/>
      <c r="AO1321" s="23"/>
      <c r="AP1321" s="23"/>
      <c r="AQ1321" s="23"/>
      <c r="AR1321" s="23"/>
      <c r="AS1321" s="23"/>
      <c r="AT1321" s="23"/>
      <c r="AU1321" s="23"/>
      <c r="AV1321" s="23"/>
      <c r="AW1321" s="23"/>
      <c r="AX1321" s="23"/>
      <c r="AY1321" s="23"/>
      <c r="AZ1321" s="23"/>
      <c r="BA1321" s="23"/>
      <c r="BB1321" s="23"/>
    </row>
    <row r="1322" spans="5:54" x14ac:dyDescent="0.35"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  <c r="AA1322" s="23"/>
      <c r="AB1322" s="23"/>
      <c r="AC1322" s="23"/>
      <c r="AD1322" s="23"/>
      <c r="AE1322" s="23"/>
      <c r="AF1322" s="23"/>
      <c r="AG1322" s="23"/>
      <c r="AH1322" s="23"/>
      <c r="AI1322" s="23"/>
      <c r="AJ1322" s="23"/>
      <c r="AK1322" s="23"/>
      <c r="AL1322" s="23"/>
      <c r="AM1322" s="23"/>
      <c r="AN1322" s="23"/>
      <c r="AO1322" s="23"/>
      <c r="AP1322" s="23"/>
      <c r="AQ1322" s="23"/>
      <c r="AR1322" s="23"/>
      <c r="AS1322" s="23"/>
      <c r="AT1322" s="23"/>
      <c r="AU1322" s="23"/>
      <c r="AV1322" s="23"/>
      <c r="AW1322" s="23"/>
      <c r="AX1322" s="23"/>
      <c r="AY1322" s="23"/>
      <c r="AZ1322" s="23"/>
      <c r="BA1322" s="23"/>
      <c r="BB1322" s="23"/>
    </row>
    <row r="1323" spans="5:54" x14ac:dyDescent="0.35"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  <c r="AA1323" s="23"/>
      <c r="AB1323" s="23"/>
      <c r="AC1323" s="23"/>
      <c r="AD1323" s="23"/>
      <c r="AE1323" s="23"/>
      <c r="AF1323" s="23"/>
      <c r="AG1323" s="23"/>
      <c r="AH1323" s="23"/>
      <c r="AI1323" s="23"/>
      <c r="AJ1323" s="23"/>
      <c r="AK1323" s="23"/>
      <c r="AL1323" s="23"/>
      <c r="AM1323" s="23"/>
      <c r="AN1323" s="23"/>
      <c r="AO1323" s="23"/>
      <c r="AP1323" s="23"/>
      <c r="AQ1323" s="23"/>
      <c r="AR1323" s="23"/>
      <c r="AS1323" s="23"/>
      <c r="AT1323" s="23"/>
      <c r="AU1323" s="23"/>
      <c r="AV1323" s="23"/>
      <c r="AW1323" s="23"/>
      <c r="AX1323" s="23"/>
      <c r="AY1323" s="23"/>
      <c r="AZ1323" s="23"/>
      <c r="BA1323" s="23"/>
      <c r="BB1323" s="23"/>
    </row>
    <row r="1324" spans="5:54" x14ac:dyDescent="0.35"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  <c r="AA1324" s="23"/>
      <c r="AB1324" s="23"/>
      <c r="AC1324" s="23"/>
      <c r="AD1324" s="23"/>
      <c r="AE1324" s="23"/>
      <c r="AF1324" s="23"/>
      <c r="AG1324" s="23"/>
      <c r="AH1324" s="23"/>
      <c r="AI1324" s="23"/>
      <c r="AJ1324" s="23"/>
      <c r="AK1324" s="23"/>
      <c r="AL1324" s="23"/>
      <c r="AM1324" s="23"/>
      <c r="AN1324" s="23"/>
      <c r="AO1324" s="23"/>
      <c r="AP1324" s="23"/>
      <c r="AQ1324" s="23"/>
      <c r="AR1324" s="23"/>
      <c r="AS1324" s="23"/>
      <c r="AT1324" s="23"/>
      <c r="AU1324" s="23"/>
      <c r="AV1324" s="23"/>
      <c r="AW1324" s="23"/>
      <c r="AX1324" s="23"/>
      <c r="AY1324" s="23"/>
      <c r="AZ1324" s="23"/>
      <c r="BA1324" s="23"/>
      <c r="BB1324" s="23"/>
    </row>
    <row r="1325" spans="5:54" x14ac:dyDescent="0.35"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  <c r="AA1325" s="23"/>
      <c r="AB1325" s="23"/>
      <c r="AC1325" s="23"/>
      <c r="AD1325" s="23"/>
      <c r="AE1325" s="23"/>
      <c r="AF1325" s="23"/>
      <c r="AG1325" s="23"/>
      <c r="AH1325" s="23"/>
      <c r="AI1325" s="23"/>
      <c r="AJ1325" s="23"/>
      <c r="AK1325" s="23"/>
      <c r="AL1325" s="23"/>
      <c r="AM1325" s="23"/>
      <c r="AN1325" s="23"/>
      <c r="AO1325" s="23"/>
      <c r="AP1325" s="23"/>
      <c r="AQ1325" s="23"/>
      <c r="AR1325" s="23"/>
      <c r="AS1325" s="23"/>
      <c r="AT1325" s="23"/>
      <c r="AU1325" s="23"/>
      <c r="AV1325" s="23"/>
      <c r="AW1325" s="23"/>
      <c r="AX1325" s="23"/>
      <c r="AY1325" s="23"/>
      <c r="AZ1325" s="23"/>
      <c r="BA1325" s="23"/>
      <c r="BB1325" s="23"/>
    </row>
    <row r="1326" spans="5:54" x14ac:dyDescent="0.35"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  <c r="AA1326" s="23"/>
      <c r="AB1326" s="23"/>
      <c r="AC1326" s="23"/>
      <c r="AD1326" s="23"/>
      <c r="AE1326" s="23"/>
      <c r="AF1326" s="23"/>
      <c r="AG1326" s="23"/>
      <c r="AH1326" s="23"/>
      <c r="AI1326" s="23"/>
      <c r="AJ1326" s="23"/>
      <c r="AK1326" s="23"/>
      <c r="AL1326" s="23"/>
      <c r="AM1326" s="23"/>
      <c r="AN1326" s="23"/>
      <c r="AO1326" s="23"/>
      <c r="AP1326" s="23"/>
      <c r="AQ1326" s="23"/>
      <c r="AR1326" s="23"/>
      <c r="AS1326" s="23"/>
      <c r="AT1326" s="23"/>
      <c r="AU1326" s="23"/>
      <c r="AV1326" s="23"/>
      <c r="AW1326" s="23"/>
      <c r="AX1326" s="23"/>
      <c r="AY1326" s="23"/>
      <c r="AZ1326" s="23"/>
      <c r="BA1326" s="23"/>
      <c r="BB1326" s="23"/>
    </row>
    <row r="1327" spans="5:54" x14ac:dyDescent="0.35"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  <c r="AA1327" s="23"/>
      <c r="AB1327" s="23"/>
      <c r="AC1327" s="23"/>
      <c r="AD1327" s="23"/>
      <c r="AE1327" s="23"/>
      <c r="AF1327" s="23"/>
      <c r="AG1327" s="23"/>
      <c r="AH1327" s="23"/>
      <c r="AI1327" s="23"/>
      <c r="AJ1327" s="23"/>
      <c r="AK1327" s="23"/>
      <c r="AL1327" s="23"/>
      <c r="AM1327" s="23"/>
      <c r="AN1327" s="23"/>
      <c r="AO1327" s="23"/>
      <c r="AP1327" s="23"/>
      <c r="AQ1327" s="23"/>
      <c r="AR1327" s="23"/>
      <c r="AS1327" s="23"/>
      <c r="AT1327" s="23"/>
      <c r="AU1327" s="23"/>
      <c r="AV1327" s="23"/>
      <c r="AW1327" s="23"/>
      <c r="AX1327" s="23"/>
      <c r="AY1327" s="23"/>
      <c r="AZ1327" s="23"/>
      <c r="BA1327" s="23"/>
      <c r="BB1327" s="23"/>
    </row>
    <row r="1328" spans="5:54" x14ac:dyDescent="0.35"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  <c r="AA1328" s="23"/>
      <c r="AB1328" s="23"/>
      <c r="AC1328" s="23"/>
      <c r="AD1328" s="23"/>
      <c r="AE1328" s="23"/>
      <c r="AF1328" s="23"/>
      <c r="AG1328" s="23"/>
      <c r="AH1328" s="23"/>
      <c r="AI1328" s="23"/>
      <c r="AJ1328" s="23"/>
      <c r="AK1328" s="23"/>
      <c r="AL1328" s="23"/>
      <c r="AM1328" s="23"/>
      <c r="AN1328" s="23"/>
      <c r="AO1328" s="23"/>
      <c r="AP1328" s="23"/>
      <c r="AQ1328" s="23"/>
      <c r="AR1328" s="23"/>
      <c r="AS1328" s="23"/>
      <c r="AT1328" s="23"/>
      <c r="AU1328" s="23"/>
      <c r="AV1328" s="23"/>
      <c r="AW1328" s="23"/>
      <c r="AX1328" s="23"/>
      <c r="AY1328" s="23"/>
      <c r="AZ1328" s="23"/>
      <c r="BA1328" s="23"/>
      <c r="BB1328" s="23"/>
    </row>
    <row r="1329" spans="5:54" x14ac:dyDescent="0.35"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  <c r="AA1329" s="23"/>
      <c r="AB1329" s="23"/>
      <c r="AC1329" s="23"/>
      <c r="AD1329" s="23"/>
      <c r="AE1329" s="23"/>
      <c r="AF1329" s="23"/>
      <c r="AG1329" s="23"/>
      <c r="AH1329" s="23"/>
      <c r="AI1329" s="23"/>
      <c r="AJ1329" s="23"/>
      <c r="AK1329" s="23"/>
      <c r="AL1329" s="23"/>
      <c r="AM1329" s="23"/>
      <c r="AN1329" s="23"/>
      <c r="AO1329" s="23"/>
      <c r="AP1329" s="23"/>
      <c r="AQ1329" s="23"/>
      <c r="AR1329" s="23"/>
      <c r="AS1329" s="23"/>
      <c r="AT1329" s="23"/>
      <c r="AU1329" s="23"/>
      <c r="AV1329" s="23"/>
      <c r="AW1329" s="23"/>
      <c r="AX1329" s="23"/>
      <c r="AY1329" s="23"/>
      <c r="AZ1329" s="23"/>
      <c r="BA1329" s="23"/>
      <c r="BB1329" s="23"/>
    </row>
    <row r="1330" spans="5:54" x14ac:dyDescent="0.35"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  <c r="AA1330" s="23"/>
      <c r="AB1330" s="23"/>
      <c r="AC1330" s="23"/>
      <c r="AD1330" s="23"/>
      <c r="AE1330" s="23"/>
      <c r="AF1330" s="23"/>
      <c r="AG1330" s="23"/>
      <c r="AH1330" s="23"/>
      <c r="AI1330" s="23"/>
      <c r="AJ1330" s="23"/>
      <c r="AK1330" s="23"/>
      <c r="AL1330" s="23"/>
      <c r="AM1330" s="23"/>
      <c r="AN1330" s="23"/>
      <c r="AO1330" s="23"/>
      <c r="AP1330" s="23"/>
      <c r="AQ1330" s="23"/>
      <c r="AR1330" s="23"/>
      <c r="AS1330" s="23"/>
      <c r="AT1330" s="23"/>
      <c r="AU1330" s="23"/>
      <c r="AV1330" s="23"/>
      <c r="AW1330" s="23"/>
      <c r="AX1330" s="23"/>
      <c r="AY1330" s="23"/>
      <c r="AZ1330" s="23"/>
      <c r="BA1330" s="23"/>
      <c r="BB1330" s="23"/>
    </row>
    <row r="1331" spans="5:54" x14ac:dyDescent="0.35"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  <c r="AA1331" s="23"/>
      <c r="AB1331" s="23"/>
      <c r="AC1331" s="23"/>
      <c r="AD1331" s="23"/>
      <c r="AE1331" s="23"/>
      <c r="AF1331" s="23"/>
      <c r="AG1331" s="23"/>
      <c r="AH1331" s="23"/>
      <c r="AI1331" s="23"/>
      <c r="AJ1331" s="23"/>
      <c r="AK1331" s="23"/>
      <c r="AL1331" s="23"/>
      <c r="AM1331" s="23"/>
      <c r="AN1331" s="23"/>
      <c r="AO1331" s="23"/>
      <c r="AP1331" s="23"/>
      <c r="AQ1331" s="23"/>
      <c r="AR1331" s="23"/>
      <c r="AS1331" s="23"/>
      <c r="AT1331" s="23"/>
      <c r="AU1331" s="23"/>
      <c r="AV1331" s="23"/>
      <c r="AW1331" s="23"/>
      <c r="AX1331" s="23"/>
      <c r="AY1331" s="23"/>
      <c r="AZ1331" s="23"/>
      <c r="BA1331" s="23"/>
      <c r="BB1331" s="23"/>
    </row>
    <row r="1332" spans="5:54" x14ac:dyDescent="0.35"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  <c r="AA1332" s="23"/>
      <c r="AB1332" s="23"/>
      <c r="AC1332" s="23"/>
      <c r="AD1332" s="23"/>
      <c r="AE1332" s="23"/>
      <c r="AF1332" s="23"/>
      <c r="AG1332" s="23"/>
      <c r="AH1332" s="23"/>
      <c r="AI1332" s="23"/>
      <c r="AJ1332" s="23"/>
      <c r="AK1332" s="23"/>
      <c r="AL1332" s="23"/>
      <c r="AM1332" s="23"/>
      <c r="AN1332" s="23"/>
      <c r="AO1332" s="23"/>
      <c r="AP1332" s="23"/>
      <c r="AQ1332" s="23"/>
      <c r="AR1332" s="23"/>
      <c r="AS1332" s="23"/>
      <c r="AT1332" s="23"/>
      <c r="AU1332" s="23"/>
      <c r="AV1332" s="23"/>
      <c r="AW1332" s="23"/>
      <c r="AX1332" s="23"/>
      <c r="AY1332" s="23"/>
      <c r="AZ1332" s="23"/>
      <c r="BA1332" s="23"/>
      <c r="BB1332" s="23"/>
    </row>
    <row r="1333" spans="5:54" x14ac:dyDescent="0.35"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  <c r="AA1333" s="23"/>
      <c r="AB1333" s="23"/>
      <c r="AC1333" s="23"/>
      <c r="AD1333" s="23"/>
      <c r="AE1333" s="23"/>
      <c r="AF1333" s="23"/>
      <c r="AG1333" s="23"/>
      <c r="AH1333" s="23"/>
      <c r="AI1333" s="23"/>
      <c r="AJ1333" s="23"/>
      <c r="AK1333" s="23"/>
      <c r="AL1333" s="23"/>
      <c r="AM1333" s="23"/>
      <c r="AN1333" s="23"/>
      <c r="AO1333" s="23"/>
      <c r="AP1333" s="23"/>
      <c r="AQ1333" s="23"/>
      <c r="AR1333" s="23"/>
      <c r="AS1333" s="23"/>
      <c r="AT1333" s="23"/>
      <c r="AU1333" s="23"/>
      <c r="AV1333" s="23"/>
      <c r="AW1333" s="23"/>
      <c r="AX1333" s="23"/>
      <c r="AY1333" s="23"/>
      <c r="AZ1333" s="23"/>
      <c r="BA1333" s="23"/>
      <c r="BB1333" s="23"/>
    </row>
    <row r="1334" spans="5:54" x14ac:dyDescent="0.35"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  <c r="AA1334" s="23"/>
      <c r="AB1334" s="23"/>
      <c r="AC1334" s="23"/>
      <c r="AD1334" s="23"/>
      <c r="AE1334" s="23"/>
      <c r="AF1334" s="23"/>
      <c r="AG1334" s="23"/>
      <c r="AH1334" s="23"/>
      <c r="AI1334" s="23"/>
      <c r="AJ1334" s="23"/>
      <c r="AK1334" s="23"/>
      <c r="AL1334" s="23"/>
      <c r="AM1334" s="23"/>
      <c r="AN1334" s="23"/>
      <c r="AO1334" s="23"/>
      <c r="AP1334" s="23"/>
      <c r="AQ1334" s="23"/>
      <c r="AR1334" s="23"/>
      <c r="AS1334" s="23"/>
      <c r="AT1334" s="23"/>
      <c r="AU1334" s="23"/>
      <c r="AV1334" s="23"/>
      <c r="AW1334" s="23"/>
      <c r="AX1334" s="23"/>
      <c r="AY1334" s="23"/>
      <c r="AZ1334" s="23"/>
      <c r="BA1334" s="23"/>
      <c r="BB1334" s="23"/>
    </row>
    <row r="1335" spans="5:54" x14ac:dyDescent="0.35"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  <c r="AA1335" s="23"/>
      <c r="AB1335" s="23"/>
      <c r="AC1335" s="23"/>
      <c r="AD1335" s="23"/>
      <c r="AE1335" s="23"/>
      <c r="AF1335" s="23"/>
      <c r="AG1335" s="23"/>
      <c r="AH1335" s="23"/>
      <c r="AI1335" s="23"/>
      <c r="AJ1335" s="23"/>
      <c r="AK1335" s="23"/>
      <c r="AL1335" s="23"/>
      <c r="AM1335" s="23"/>
      <c r="AN1335" s="23"/>
      <c r="AO1335" s="23"/>
      <c r="AP1335" s="23"/>
      <c r="AQ1335" s="23"/>
      <c r="AR1335" s="23"/>
      <c r="AS1335" s="23"/>
      <c r="AT1335" s="23"/>
      <c r="AU1335" s="23"/>
      <c r="AV1335" s="23"/>
      <c r="AW1335" s="23"/>
      <c r="AX1335" s="23"/>
      <c r="AY1335" s="23"/>
      <c r="AZ1335" s="23"/>
      <c r="BA1335" s="23"/>
      <c r="BB1335" s="23"/>
    </row>
    <row r="1336" spans="5:54" x14ac:dyDescent="0.35"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  <c r="AA1336" s="23"/>
      <c r="AB1336" s="23"/>
      <c r="AC1336" s="23"/>
      <c r="AD1336" s="23"/>
      <c r="AE1336" s="23"/>
      <c r="AF1336" s="23"/>
      <c r="AG1336" s="23"/>
      <c r="AH1336" s="23"/>
      <c r="AI1336" s="23"/>
      <c r="AJ1336" s="23"/>
      <c r="AK1336" s="23"/>
      <c r="AL1336" s="23"/>
      <c r="AM1336" s="23"/>
      <c r="AN1336" s="23"/>
      <c r="AO1336" s="23"/>
      <c r="AP1336" s="23"/>
      <c r="AQ1336" s="23"/>
      <c r="AR1336" s="23"/>
      <c r="AS1336" s="23"/>
      <c r="AT1336" s="23"/>
      <c r="AU1336" s="23"/>
      <c r="AV1336" s="23"/>
      <c r="AW1336" s="23"/>
      <c r="AX1336" s="23"/>
      <c r="AY1336" s="23"/>
      <c r="AZ1336" s="23"/>
      <c r="BA1336" s="23"/>
      <c r="BB1336" s="23"/>
    </row>
    <row r="1337" spans="5:54" x14ac:dyDescent="0.35"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  <c r="AA1337" s="23"/>
      <c r="AB1337" s="23"/>
      <c r="AC1337" s="23"/>
      <c r="AD1337" s="23"/>
      <c r="AE1337" s="23"/>
      <c r="AF1337" s="23"/>
      <c r="AG1337" s="23"/>
      <c r="AH1337" s="23"/>
      <c r="AI1337" s="23"/>
      <c r="AJ1337" s="23"/>
      <c r="AK1337" s="23"/>
      <c r="AL1337" s="23"/>
      <c r="AM1337" s="23"/>
      <c r="AN1337" s="23"/>
      <c r="AO1337" s="23"/>
      <c r="AP1337" s="23"/>
      <c r="AQ1337" s="23"/>
      <c r="AR1337" s="23"/>
      <c r="AS1337" s="23"/>
      <c r="AT1337" s="23"/>
      <c r="AU1337" s="23"/>
      <c r="AV1337" s="23"/>
      <c r="AW1337" s="23"/>
      <c r="AX1337" s="23"/>
      <c r="AY1337" s="23"/>
      <c r="AZ1337" s="23"/>
      <c r="BA1337" s="23"/>
      <c r="BB1337" s="23"/>
    </row>
    <row r="1338" spans="5:54" x14ac:dyDescent="0.35"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  <c r="AA1338" s="23"/>
      <c r="AB1338" s="23"/>
      <c r="AC1338" s="23"/>
      <c r="AD1338" s="23"/>
      <c r="AE1338" s="23"/>
      <c r="AF1338" s="23"/>
      <c r="AG1338" s="23"/>
      <c r="AH1338" s="23"/>
      <c r="AI1338" s="23"/>
      <c r="AJ1338" s="23"/>
      <c r="AK1338" s="23"/>
      <c r="AL1338" s="23"/>
      <c r="AM1338" s="23"/>
      <c r="AN1338" s="23"/>
      <c r="AO1338" s="23"/>
      <c r="AP1338" s="23"/>
      <c r="AQ1338" s="23"/>
      <c r="AR1338" s="23"/>
      <c r="AS1338" s="23"/>
      <c r="AT1338" s="23"/>
      <c r="AU1338" s="23"/>
      <c r="AV1338" s="23"/>
      <c r="AW1338" s="23"/>
      <c r="AX1338" s="23"/>
      <c r="AY1338" s="23"/>
      <c r="AZ1338" s="23"/>
      <c r="BA1338" s="23"/>
      <c r="BB1338" s="23"/>
    </row>
    <row r="1339" spans="5:54" x14ac:dyDescent="0.35"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  <c r="AA1339" s="23"/>
      <c r="AB1339" s="23"/>
      <c r="AC1339" s="23"/>
      <c r="AD1339" s="23"/>
      <c r="AE1339" s="23"/>
      <c r="AF1339" s="23"/>
      <c r="AG1339" s="23"/>
      <c r="AH1339" s="23"/>
      <c r="AI1339" s="23"/>
      <c r="AJ1339" s="23"/>
      <c r="AK1339" s="23"/>
      <c r="AL1339" s="23"/>
      <c r="AM1339" s="23"/>
      <c r="AN1339" s="23"/>
      <c r="AO1339" s="23"/>
      <c r="AP1339" s="23"/>
      <c r="AQ1339" s="23"/>
      <c r="AR1339" s="23"/>
      <c r="AS1339" s="23"/>
      <c r="AT1339" s="23"/>
      <c r="AU1339" s="23"/>
      <c r="AV1339" s="23"/>
      <c r="AW1339" s="23"/>
      <c r="AX1339" s="23"/>
      <c r="AY1339" s="23"/>
      <c r="AZ1339" s="23"/>
      <c r="BA1339" s="23"/>
      <c r="BB1339" s="23"/>
    </row>
    <row r="1340" spans="5:54" x14ac:dyDescent="0.35"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  <c r="AA1340" s="23"/>
      <c r="AB1340" s="23"/>
      <c r="AC1340" s="23"/>
      <c r="AD1340" s="23"/>
      <c r="AE1340" s="23"/>
      <c r="AF1340" s="23"/>
      <c r="AG1340" s="23"/>
      <c r="AH1340" s="23"/>
      <c r="AI1340" s="23"/>
      <c r="AJ1340" s="23"/>
      <c r="AK1340" s="23"/>
      <c r="AL1340" s="23"/>
      <c r="AM1340" s="23"/>
      <c r="AN1340" s="23"/>
      <c r="AO1340" s="23"/>
      <c r="AP1340" s="23"/>
      <c r="AQ1340" s="23"/>
      <c r="AR1340" s="23"/>
      <c r="AS1340" s="23"/>
      <c r="AT1340" s="23"/>
      <c r="AU1340" s="23"/>
      <c r="AV1340" s="23"/>
      <c r="AW1340" s="23"/>
      <c r="AX1340" s="23"/>
      <c r="AY1340" s="23"/>
      <c r="AZ1340" s="23"/>
      <c r="BA1340" s="23"/>
      <c r="BB1340" s="23"/>
    </row>
    <row r="1341" spans="5:54" x14ac:dyDescent="0.35"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  <c r="AA1341" s="23"/>
      <c r="AB1341" s="23"/>
      <c r="AC1341" s="23"/>
      <c r="AD1341" s="23"/>
      <c r="AE1341" s="23"/>
      <c r="AF1341" s="23"/>
      <c r="AG1341" s="23"/>
      <c r="AH1341" s="23"/>
      <c r="AI1341" s="23"/>
      <c r="AJ1341" s="23"/>
      <c r="AK1341" s="23"/>
      <c r="AL1341" s="23"/>
      <c r="AM1341" s="23"/>
      <c r="AN1341" s="23"/>
      <c r="AO1341" s="23"/>
      <c r="AP1341" s="23"/>
      <c r="AQ1341" s="23"/>
      <c r="AR1341" s="23"/>
      <c r="AS1341" s="23"/>
      <c r="AT1341" s="23"/>
      <c r="AU1341" s="23"/>
      <c r="AV1341" s="23"/>
      <c r="AW1341" s="23"/>
      <c r="AX1341" s="23"/>
      <c r="AY1341" s="23"/>
      <c r="AZ1341" s="23"/>
      <c r="BA1341" s="23"/>
      <c r="BB1341" s="23"/>
    </row>
    <row r="1342" spans="5:54" x14ac:dyDescent="0.35"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  <c r="AA1342" s="23"/>
      <c r="AB1342" s="23"/>
      <c r="AC1342" s="23"/>
      <c r="AD1342" s="23"/>
      <c r="AE1342" s="23"/>
      <c r="AF1342" s="23"/>
      <c r="AG1342" s="23"/>
      <c r="AH1342" s="23"/>
      <c r="AI1342" s="23"/>
      <c r="AJ1342" s="23"/>
      <c r="AK1342" s="23"/>
      <c r="AL1342" s="23"/>
      <c r="AM1342" s="23"/>
      <c r="AN1342" s="23"/>
      <c r="AO1342" s="23"/>
      <c r="AP1342" s="23"/>
      <c r="AQ1342" s="23"/>
      <c r="AR1342" s="23"/>
      <c r="AS1342" s="23"/>
      <c r="AT1342" s="23"/>
      <c r="AU1342" s="23"/>
      <c r="AV1342" s="23"/>
      <c r="AW1342" s="23"/>
      <c r="AX1342" s="23"/>
      <c r="AY1342" s="23"/>
      <c r="AZ1342" s="23"/>
      <c r="BA1342" s="23"/>
      <c r="BB1342" s="23"/>
    </row>
    <row r="1343" spans="5:54" x14ac:dyDescent="0.35"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  <c r="AA1343" s="23"/>
      <c r="AB1343" s="23"/>
      <c r="AC1343" s="23"/>
      <c r="AD1343" s="23"/>
      <c r="AE1343" s="23"/>
      <c r="AF1343" s="23"/>
      <c r="AG1343" s="23"/>
      <c r="AH1343" s="23"/>
      <c r="AI1343" s="23"/>
      <c r="AJ1343" s="23"/>
      <c r="AK1343" s="23"/>
      <c r="AL1343" s="23"/>
      <c r="AM1343" s="23"/>
      <c r="AN1343" s="23"/>
      <c r="AO1343" s="23"/>
      <c r="AP1343" s="23"/>
      <c r="AQ1343" s="23"/>
      <c r="AR1343" s="23"/>
      <c r="AS1343" s="23"/>
      <c r="AT1343" s="23"/>
      <c r="AU1343" s="23"/>
      <c r="AV1343" s="23"/>
      <c r="AW1343" s="23"/>
      <c r="AX1343" s="23"/>
      <c r="AY1343" s="23"/>
      <c r="AZ1343" s="23"/>
      <c r="BA1343" s="23"/>
      <c r="BB1343" s="23"/>
    </row>
    <row r="1344" spans="5:54" x14ac:dyDescent="0.35"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  <c r="AA1344" s="23"/>
      <c r="AB1344" s="23"/>
      <c r="AC1344" s="23"/>
      <c r="AD1344" s="23"/>
      <c r="AE1344" s="23"/>
      <c r="AF1344" s="23"/>
      <c r="AG1344" s="23"/>
      <c r="AH1344" s="23"/>
      <c r="AI1344" s="23"/>
      <c r="AJ1344" s="23"/>
      <c r="AK1344" s="23"/>
      <c r="AL1344" s="23"/>
      <c r="AM1344" s="23"/>
      <c r="AN1344" s="23"/>
      <c r="AO1344" s="23"/>
      <c r="AP1344" s="23"/>
      <c r="AQ1344" s="23"/>
      <c r="AR1344" s="23"/>
      <c r="AS1344" s="23"/>
      <c r="AT1344" s="23"/>
      <c r="AU1344" s="23"/>
      <c r="AV1344" s="23"/>
      <c r="AW1344" s="23"/>
      <c r="AX1344" s="23"/>
      <c r="AY1344" s="23"/>
      <c r="AZ1344" s="23"/>
      <c r="BA1344" s="23"/>
      <c r="BB1344" s="23"/>
    </row>
    <row r="1345" spans="5:54" x14ac:dyDescent="0.35"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  <c r="AA1345" s="23"/>
      <c r="AB1345" s="23"/>
      <c r="AC1345" s="23"/>
      <c r="AD1345" s="23"/>
      <c r="AE1345" s="23"/>
      <c r="AF1345" s="23"/>
      <c r="AG1345" s="23"/>
      <c r="AH1345" s="23"/>
      <c r="AI1345" s="23"/>
      <c r="AJ1345" s="23"/>
      <c r="AK1345" s="23"/>
      <c r="AL1345" s="23"/>
      <c r="AM1345" s="23"/>
      <c r="AN1345" s="23"/>
      <c r="AO1345" s="23"/>
      <c r="AP1345" s="23"/>
      <c r="AQ1345" s="23"/>
      <c r="AR1345" s="23"/>
      <c r="AS1345" s="23"/>
      <c r="AT1345" s="23"/>
      <c r="AU1345" s="23"/>
      <c r="AV1345" s="23"/>
      <c r="AW1345" s="23"/>
      <c r="AX1345" s="23"/>
      <c r="AY1345" s="23"/>
      <c r="AZ1345" s="23"/>
      <c r="BA1345" s="23"/>
      <c r="BB1345" s="23"/>
    </row>
    <row r="1346" spans="5:54" x14ac:dyDescent="0.35"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  <c r="AA1346" s="23"/>
      <c r="AB1346" s="23"/>
      <c r="AC1346" s="23"/>
      <c r="AD1346" s="23"/>
      <c r="AE1346" s="23"/>
      <c r="AF1346" s="23"/>
      <c r="AG1346" s="23"/>
      <c r="AH1346" s="23"/>
      <c r="AI1346" s="23"/>
      <c r="AJ1346" s="23"/>
      <c r="AK1346" s="23"/>
      <c r="AL1346" s="23"/>
      <c r="AM1346" s="23"/>
      <c r="AN1346" s="23"/>
      <c r="AO1346" s="23"/>
      <c r="AP1346" s="23"/>
      <c r="AQ1346" s="23"/>
      <c r="AR1346" s="23"/>
      <c r="AS1346" s="23"/>
      <c r="AT1346" s="23"/>
      <c r="AU1346" s="23"/>
      <c r="AV1346" s="23"/>
      <c r="AW1346" s="23"/>
      <c r="AX1346" s="23"/>
      <c r="AY1346" s="23"/>
      <c r="AZ1346" s="23"/>
      <c r="BA1346" s="23"/>
      <c r="BB1346" s="23"/>
    </row>
    <row r="1347" spans="5:54" x14ac:dyDescent="0.35"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  <c r="AA1347" s="23"/>
      <c r="AB1347" s="23"/>
      <c r="AC1347" s="23"/>
      <c r="AD1347" s="23"/>
      <c r="AE1347" s="23"/>
      <c r="AF1347" s="23"/>
      <c r="AG1347" s="23"/>
      <c r="AH1347" s="23"/>
      <c r="AI1347" s="23"/>
      <c r="AJ1347" s="23"/>
      <c r="AK1347" s="23"/>
      <c r="AL1347" s="23"/>
      <c r="AM1347" s="23"/>
      <c r="AN1347" s="23"/>
      <c r="AO1347" s="23"/>
      <c r="AP1347" s="23"/>
      <c r="AQ1347" s="23"/>
      <c r="AR1347" s="23"/>
      <c r="AS1347" s="23"/>
      <c r="AT1347" s="23"/>
      <c r="AU1347" s="23"/>
      <c r="AV1347" s="23"/>
      <c r="AW1347" s="23"/>
      <c r="AX1347" s="23"/>
      <c r="AY1347" s="23"/>
      <c r="AZ1347" s="23"/>
      <c r="BA1347" s="23"/>
      <c r="BB1347" s="23"/>
    </row>
    <row r="1348" spans="5:54" x14ac:dyDescent="0.35"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  <c r="AA1348" s="23"/>
      <c r="AB1348" s="23"/>
      <c r="AC1348" s="23"/>
      <c r="AD1348" s="23"/>
      <c r="AE1348" s="23"/>
      <c r="AF1348" s="23"/>
      <c r="AG1348" s="23"/>
      <c r="AH1348" s="23"/>
      <c r="AI1348" s="23"/>
      <c r="AJ1348" s="23"/>
      <c r="AK1348" s="23"/>
      <c r="AL1348" s="23"/>
      <c r="AM1348" s="23"/>
      <c r="AN1348" s="23"/>
      <c r="AO1348" s="23"/>
      <c r="AP1348" s="23"/>
      <c r="AQ1348" s="23"/>
      <c r="AR1348" s="23"/>
      <c r="AS1348" s="23"/>
      <c r="AT1348" s="23"/>
      <c r="AU1348" s="23"/>
      <c r="AV1348" s="23"/>
      <c r="AW1348" s="23"/>
      <c r="AX1348" s="23"/>
      <c r="AY1348" s="23"/>
      <c r="AZ1348" s="23"/>
      <c r="BA1348" s="23"/>
      <c r="BB1348" s="23"/>
    </row>
    <row r="1349" spans="5:54" x14ac:dyDescent="0.35"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  <c r="AA1349" s="23"/>
      <c r="AB1349" s="23"/>
      <c r="AC1349" s="23"/>
      <c r="AD1349" s="23"/>
      <c r="AE1349" s="23"/>
      <c r="AF1349" s="23"/>
      <c r="AG1349" s="23"/>
      <c r="AH1349" s="23"/>
      <c r="AI1349" s="23"/>
      <c r="AJ1349" s="23"/>
      <c r="AK1349" s="23"/>
      <c r="AL1349" s="23"/>
      <c r="AM1349" s="23"/>
      <c r="AN1349" s="23"/>
      <c r="AO1349" s="23"/>
      <c r="AP1349" s="23"/>
      <c r="AQ1349" s="23"/>
      <c r="AR1349" s="23"/>
      <c r="AS1349" s="23"/>
      <c r="AT1349" s="23"/>
      <c r="AU1349" s="23"/>
      <c r="AV1349" s="23"/>
      <c r="AW1349" s="23"/>
      <c r="AX1349" s="23"/>
      <c r="AY1349" s="23"/>
      <c r="AZ1349" s="23"/>
      <c r="BA1349" s="23"/>
      <c r="BB1349" s="23"/>
    </row>
    <row r="1350" spans="5:54" x14ac:dyDescent="0.35"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  <c r="AA1350" s="23"/>
      <c r="AB1350" s="23"/>
      <c r="AC1350" s="23"/>
      <c r="AD1350" s="23"/>
      <c r="AE1350" s="23"/>
      <c r="AF1350" s="23"/>
      <c r="AG1350" s="23"/>
      <c r="AH1350" s="23"/>
      <c r="AI1350" s="23"/>
      <c r="AJ1350" s="23"/>
      <c r="AK1350" s="23"/>
      <c r="AL1350" s="23"/>
      <c r="AM1350" s="23"/>
      <c r="AN1350" s="23"/>
      <c r="AO1350" s="23"/>
      <c r="AP1350" s="23"/>
      <c r="AQ1350" s="23"/>
      <c r="AR1350" s="23"/>
      <c r="AS1350" s="23"/>
      <c r="AT1350" s="23"/>
      <c r="AU1350" s="23"/>
      <c r="AV1350" s="23"/>
      <c r="AW1350" s="23"/>
      <c r="AX1350" s="23"/>
      <c r="AY1350" s="23"/>
      <c r="AZ1350" s="23"/>
      <c r="BA1350" s="23"/>
      <c r="BB1350" s="23"/>
    </row>
    <row r="1351" spans="5:54" x14ac:dyDescent="0.35"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  <c r="AA1351" s="23"/>
      <c r="AB1351" s="23"/>
      <c r="AC1351" s="23"/>
      <c r="AD1351" s="23"/>
      <c r="AE1351" s="23"/>
      <c r="AF1351" s="23"/>
      <c r="AG1351" s="23"/>
      <c r="AH1351" s="23"/>
      <c r="AI1351" s="23"/>
      <c r="AJ1351" s="23"/>
      <c r="AK1351" s="23"/>
      <c r="AL1351" s="23"/>
      <c r="AM1351" s="23"/>
      <c r="AN1351" s="23"/>
      <c r="AO1351" s="23"/>
      <c r="AP1351" s="23"/>
      <c r="AQ1351" s="23"/>
      <c r="AR1351" s="23"/>
      <c r="AS1351" s="23"/>
      <c r="AT1351" s="23"/>
      <c r="AU1351" s="23"/>
      <c r="AV1351" s="23"/>
      <c r="AW1351" s="23"/>
      <c r="AX1351" s="23"/>
      <c r="AY1351" s="23"/>
      <c r="AZ1351" s="23"/>
      <c r="BA1351" s="23"/>
      <c r="BB1351" s="23"/>
    </row>
    <row r="1352" spans="5:54" x14ac:dyDescent="0.35"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  <c r="AA1352" s="23"/>
      <c r="AB1352" s="23"/>
      <c r="AC1352" s="23"/>
      <c r="AD1352" s="23"/>
      <c r="AE1352" s="23"/>
      <c r="AF1352" s="23"/>
      <c r="AG1352" s="23"/>
      <c r="AH1352" s="23"/>
      <c r="AI1352" s="23"/>
      <c r="AJ1352" s="23"/>
      <c r="AK1352" s="23"/>
      <c r="AL1352" s="23"/>
      <c r="AM1352" s="23"/>
      <c r="AN1352" s="23"/>
      <c r="AO1352" s="23"/>
      <c r="AP1352" s="23"/>
      <c r="AQ1352" s="23"/>
      <c r="AR1352" s="23"/>
      <c r="AS1352" s="23"/>
      <c r="AT1352" s="23"/>
      <c r="AU1352" s="23"/>
      <c r="AV1352" s="23"/>
      <c r="AW1352" s="23"/>
      <c r="AX1352" s="23"/>
      <c r="AY1352" s="23"/>
      <c r="AZ1352" s="23"/>
      <c r="BA1352" s="23"/>
      <c r="BB1352" s="23"/>
    </row>
    <row r="1353" spans="5:54" x14ac:dyDescent="0.35"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  <c r="AA1353" s="23"/>
      <c r="AB1353" s="23"/>
      <c r="AC1353" s="23"/>
      <c r="AD1353" s="23"/>
      <c r="AE1353" s="23"/>
      <c r="AF1353" s="23"/>
      <c r="AG1353" s="23"/>
      <c r="AH1353" s="23"/>
      <c r="AI1353" s="23"/>
      <c r="AJ1353" s="23"/>
      <c r="AK1353" s="23"/>
      <c r="AL1353" s="23"/>
      <c r="AM1353" s="23"/>
      <c r="AN1353" s="23"/>
      <c r="AO1353" s="23"/>
      <c r="AP1353" s="23"/>
      <c r="AQ1353" s="23"/>
      <c r="AR1353" s="23"/>
      <c r="AS1353" s="23"/>
      <c r="AT1353" s="23"/>
      <c r="AU1353" s="23"/>
      <c r="AV1353" s="23"/>
      <c r="AW1353" s="23"/>
      <c r="AX1353" s="23"/>
      <c r="AY1353" s="23"/>
      <c r="AZ1353" s="23"/>
      <c r="BA1353" s="23"/>
      <c r="BB1353" s="23"/>
    </row>
    <row r="1354" spans="5:54" x14ac:dyDescent="0.35"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  <c r="AA1354" s="23"/>
      <c r="AB1354" s="23"/>
      <c r="AC1354" s="23"/>
      <c r="AD1354" s="23"/>
      <c r="AE1354" s="23"/>
      <c r="AF1354" s="23"/>
      <c r="AG1354" s="23"/>
      <c r="AH1354" s="23"/>
      <c r="AI1354" s="23"/>
      <c r="AJ1354" s="23"/>
      <c r="AK1354" s="23"/>
      <c r="AL1354" s="23"/>
      <c r="AM1354" s="23"/>
      <c r="AN1354" s="23"/>
      <c r="AO1354" s="23"/>
      <c r="AP1354" s="23"/>
      <c r="AQ1354" s="23"/>
      <c r="AR1354" s="23"/>
      <c r="AS1354" s="23"/>
      <c r="AT1354" s="23"/>
      <c r="AU1354" s="23"/>
      <c r="AV1354" s="23"/>
      <c r="AW1354" s="23"/>
      <c r="AX1354" s="23"/>
      <c r="AY1354" s="23"/>
      <c r="AZ1354" s="23"/>
      <c r="BA1354" s="23"/>
      <c r="BB1354" s="23"/>
    </row>
    <row r="1355" spans="5:54" x14ac:dyDescent="0.35"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  <c r="AA1355" s="23"/>
      <c r="AB1355" s="23"/>
      <c r="AC1355" s="23"/>
      <c r="AD1355" s="23"/>
      <c r="AE1355" s="23"/>
      <c r="AF1355" s="23"/>
      <c r="AG1355" s="23"/>
      <c r="AH1355" s="23"/>
      <c r="AI1355" s="23"/>
      <c r="AJ1355" s="23"/>
      <c r="AK1355" s="23"/>
      <c r="AL1355" s="23"/>
      <c r="AM1355" s="23"/>
      <c r="AN1355" s="23"/>
      <c r="AO1355" s="23"/>
      <c r="AP1355" s="23"/>
      <c r="AQ1355" s="23"/>
      <c r="AR1355" s="23"/>
      <c r="AS1355" s="23"/>
      <c r="AT1355" s="23"/>
      <c r="AU1355" s="23"/>
      <c r="AV1355" s="23"/>
      <c r="AW1355" s="23"/>
      <c r="AX1355" s="23"/>
      <c r="AY1355" s="23"/>
      <c r="AZ1355" s="23"/>
      <c r="BA1355" s="23"/>
      <c r="BB1355" s="23"/>
    </row>
    <row r="1356" spans="5:54" x14ac:dyDescent="0.35"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  <c r="AA1356" s="23"/>
      <c r="AB1356" s="23"/>
      <c r="AC1356" s="23"/>
      <c r="AD1356" s="23"/>
      <c r="AE1356" s="23"/>
      <c r="AF1356" s="23"/>
      <c r="AG1356" s="23"/>
      <c r="AH1356" s="23"/>
      <c r="AI1356" s="23"/>
      <c r="AJ1356" s="23"/>
      <c r="AK1356" s="23"/>
      <c r="AL1356" s="23"/>
      <c r="AM1356" s="23"/>
      <c r="AN1356" s="23"/>
      <c r="AO1356" s="23"/>
      <c r="AP1356" s="23"/>
      <c r="AQ1356" s="23"/>
      <c r="AR1356" s="23"/>
      <c r="AS1356" s="23"/>
      <c r="AT1356" s="23"/>
      <c r="AU1356" s="23"/>
      <c r="AV1356" s="23"/>
      <c r="AW1356" s="23"/>
      <c r="AX1356" s="23"/>
      <c r="AY1356" s="23"/>
      <c r="AZ1356" s="23"/>
      <c r="BA1356" s="23"/>
      <c r="BB1356" s="23"/>
    </row>
    <row r="1357" spans="5:54" x14ac:dyDescent="0.35"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  <c r="AA1357" s="23"/>
      <c r="AB1357" s="23"/>
      <c r="AC1357" s="23"/>
      <c r="AD1357" s="23"/>
      <c r="AE1357" s="23"/>
      <c r="AF1357" s="23"/>
      <c r="AG1357" s="23"/>
      <c r="AH1357" s="23"/>
      <c r="AI1357" s="23"/>
      <c r="AJ1357" s="23"/>
      <c r="AK1357" s="23"/>
      <c r="AL1357" s="23"/>
      <c r="AM1357" s="23"/>
      <c r="AN1357" s="23"/>
      <c r="AO1357" s="23"/>
      <c r="AP1357" s="23"/>
      <c r="AQ1357" s="23"/>
      <c r="AR1357" s="23"/>
      <c r="AS1357" s="23"/>
      <c r="AT1357" s="23"/>
      <c r="AU1357" s="23"/>
      <c r="AV1357" s="23"/>
      <c r="AW1357" s="23"/>
      <c r="AX1357" s="23"/>
      <c r="AY1357" s="23"/>
      <c r="AZ1357" s="23"/>
      <c r="BA1357" s="23"/>
      <c r="BB1357" s="23"/>
    </row>
    <row r="1358" spans="5:54" x14ac:dyDescent="0.35"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  <c r="AA1358" s="23"/>
      <c r="AB1358" s="23"/>
      <c r="AC1358" s="23"/>
      <c r="AD1358" s="23"/>
      <c r="AE1358" s="23"/>
      <c r="AF1358" s="23"/>
      <c r="AG1358" s="23"/>
      <c r="AH1358" s="23"/>
      <c r="AI1358" s="23"/>
      <c r="AJ1358" s="23"/>
      <c r="AK1358" s="23"/>
      <c r="AL1358" s="23"/>
      <c r="AM1358" s="23"/>
      <c r="AN1358" s="23"/>
      <c r="AO1358" s="23"/>
      <c r="AP1358" s="23"/>
      <c r="AQ1358" s="23"/>
      <c r="AR1358" s="23"/>
      <c r="AS1358" s="23"/>
      <c r="AT1358" s="23"/>
      <c r="AU1358" s="23"/>
      <c r="AV1358" s="23"/>
      <c r="AW1358" s="23"/>
      <c r="AX1358" s="23"/>
      <c r="AY1358" s="23"/>
      <c r="AZ1358" s="23"/>
      <c r="BA1358" s="23"/>
      <c r="BB1358" s="23"/>
    </row>
    <row r="1359" spans="5:54" x14ac:dyDescent="0.35"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  <c r="AA1359" s="23"/>
      <c r="AB1359" s="23"/>
      <c r="AC1359" s="23"/>
      <c r="AD1359" s="23"/>
      <c r="AE1359" s="23"/>
      <c r="AF1359" s="23"/>
      <c r="AG1359" s="23"/>
      <c r="AH1359" s="23"/>
      <c r="AI1359" s="23"/>
      <c r="AJ1359" s="23"/>
      <c r="AK1359" s="23"/>
      <c r="AL1359" s="23"/>
      <c r="AM1359" s="23"/>
      <c r="AN1359" s="23"/>
      <c r="AO1359" s="23"/>
      <c r="AP1359" s="23"/>
      <c r="AQ1359" s="23"/>
      <c r="AR1359" s="23"/>
      <c r="AS1359" s="23"/>
      <c r="AT1359" s="23"/>
      <c r="AU1359" s="23"/>
      <c r="AV1359" s="23"/>
      <c r="AW1359" s="23"/>
      <c r="AX1359" s="23"/>
      <c r="AY1359" s="23"/>
      <c r="AZ1359" s="23"/>
      <c r="BA1359" s="23"/>
      <c r="BB1359" s="23"/>
    </row>
    <row r="1360" spans="5:54" x14ac:dyDescent="0.35"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  <c r="AA1360" s="23"/>
      <c r="AB1360" s="23"/>
      <c r="AC1360" s="23"/>
      <c r="AD1360" s="23"/>
      <c r="AE1360" s="23"/>
      <c r="AF1360" s="23"/>
      <c r="AG1360" s="23"/>
      <c r="AH1360" s="23"/>
      <c r="AI1360" s="23"/>
      <c r="AJ1360" s="23"/>
      <c r="AK1360" s="23"/>
      <c r="AL1360" s="23"/>
      <c r="AM1360" s="23"/>
      <c r="AN1360" s="23"/>
      <c r="AO1360" s="23"/>
      <c r="AP1360" s="23"/>
      <c r="AQ1360" s="23"/>
      <c r="AR1360" s="23"/>
      <c r="AS1360" s="23"/>
      <c r="AT1360" s="23"/>
      <c r="AU1360" s="23"/>
      <c r="AV1360" s="23"/>
      <c r="AW1360" s="23"/>
      <c r="AX1360" s="23"/>
      <c r="AY1360" s="23"/>
      <c r="AZ1360" s="23"/>
      <c r="BA1360" s="23"/>
      <c r="BB1360" s="23"/>
    </row>
    <row r="1361" spans="5:54" x14ac:dyDescent="0.35"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  <c r="AA1361" s="23"/>
      <c r="AB1361" s="23"/>
      <c r="AC1361" s="23"/>
      <c r="AD1361" s="23"/>
      <c r="AE1361" s="23"/>
      <c r="AF1361" s="23"/>
      <c r="AG1361" s="23"/>
      <c r="AH1361" s="23"/>
      <c r="AI1361" s="23"/>
      <c r="AJ1361" s="23"/>
      <c r="AK1361" s="23"/>
      <c r="AL1361" s="23"/>
      <c r="AM1361" s="23"/>
      <c r="AN1361" s="23"/>
      <c r="AO1361" s="23"/>
      <c r="AP1361" s="23"/>
      <c r="AQ1361" s="23"/>
      <c r="AR1361" s="23"/>
      <c r="AS1361" s="23"/>
      <c r="AT1361" s="23"/>
      <c r="AU1361" s="23"/>
      <c r="AV1361" s="23"/>
      <c r="AW1361" s="23"/>
      <c r="AX1361" s="23"/>
      <c r="AY1361" s="23"/>
      <c r="AZ1361" s="23"/>
      <c r="BA1361" s="23"/>
      <c r="BB1361" s="23"/>
    </row>
    <row r="1362" spans="5:54" x14ac:dyDescent="0.35"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  <c r="AA1362" s="23"/>
      <c r="AB1362" s="23"/>
      <c r="AC1362" s="23"/>
      <c r="AD1362" s="23"/>
      <c r="AE1362" s="23"/>
      <c r="AF1362" s="23"/>
      <c r="AG1362" s="23"/>
      <c r="AH1362" s="23"/>
      <c r="AI1362" s="23"/>
      <c r="AJ1362" s="23"/>
      <c r="AK1362" s="23"/>
      <c r="AL1362" s="23"/>
      <c r="AM1362" s="23"/>
      <c r="AN1362" s="23"/>
      <c r="AO1362" s="23"/>
      <c r="AP1362" s="23"/>
      <c r="AQ1362" s="23"/>
      <c r="AR1362" s="23"/>
      <c r="AS1362" s="23"/>
      <c r="AT1362" s="23"/>
      <c r="AU1362" s="23"/>
      <c r="AV1362" s="23"/>
      <c r="AW1362" s="23"/>
      <c r="AX1362" s="23"/>
      <c r="AY1362" s="23"/>
      <c r="AZ1362" s="23"/>
      <c r="BA1362" s="23"/>
      <c r="BB1362" s="23"/>
    </row>
    <row r="1363" spans="5:54" x14ac:dyDescent="0.35"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  <c r="AA1363" s="23"/>
      <c r="AB1363" s="23"/>
      <c r="AC1363" s="23"/>
      <c r="AD1363" s="23"/>
      <c r="AE1363" s="23"/>
      <c r="AF1363" s="23"/>
      <c r="AG1363" s="23"/>
      <c r="AH1363" s="23"/>
      <c r="AI1363" s="23"/>
      <c r="AJ1363" s="23"/>
      <c r="AK1363" s="23"/>
      <c r="AL1363" s="23"/>
      <c r="AM1363" s="23"/>
      <c r="AN1363" s="23"/>
      <c r="AO1363" s="23"/>
      <c r="AP1363" s="23"/>
      <c r="AQ1363" s="23"/>
      <c r="AR1363" s="23"/>
      <c r="AS1363" s="23"/>
      <c r="AT1363" s="23"/>
      <c r="AU1363" s="23"/>
      <c r="AV1363" s="23"/>
      <c r="AW1363" s="23"/>
      <c r="AX1363" s="23"/>
      <c r="AY1363" s="23"/>
      <c r="AZ1363" s="23"/>
      <c r="BA1363" s="23"/>
      <c r="BB1363" s="23"/>
    </row>
    <row r="1364" spans="5:54" x14ac:dyDescent="0.35"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  <c r="AA1364" s="23"/>
      <c r="AB1364" s="23"/>
      <c r="AC1364" s="23"/>
      <c r="AD1364" s="23"/>
      <c r="AE1364" s="23"/>
      <c r="AF1364" s="23"/>
      <c r="AG1364" s="23"/>
      <c r="AH1364" s="23"/>
      <c r="AI1364" s="23"/>
      <c r="AJ1364" s="23"/>
      <c r="AK1364" s="23"/>
      <c r="AL1364" s="23"/>
      <c r="AM1364" s="23"/>
      <c r="AN1364" s="23"/>
      <c r="AO1364" s="23"/>
      <c r="AP1364" s="23"/>
      <c r="AQ1364" s="23"/>
      <c r="AR1364" s="23"/>
      <c r="AS1364" s="23"/>
      <c r="AT1364" s="23"/>
      <c r="AU1364" s="23"/>
      <c r="AV1364" s="23"/>
      <c r="AW1364" s="23"/>
      <c r="AX1364" s="23"/>
      <c r="AY1364" s="23"/>
      <c r="AZ1364" s="23"/>
      <c r="BA1364" s="23"/>
      <c r="BB1364" s="23"/>
    </row>
    <row r="1365" spans="5:54" x14ac:dyDescent="0.35"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  <c r="AA1365" s="23"/>
      <c r="AB1365" s="23"/>
      <c r="AC1365" s="23"/>
      <c r="AD1365" s="23"/>
      <c r="AE1365" s="23"/>
      <c r="AF1365" s="23"/>
      <c r="AG1365" s="23"/>
      <c r="AH1365" s="23"/>
      <c r="AI1365" s="23"/>
      <c r="AJ1365" s="23"/>
      <c r="AK1365" s="23"/>
      <c r="AL1365" s="23"/>
      <c r="AM1365" s="23"/>
      <c r="AN1365" s="23"/>
      <c r="AO1365" s="23"/>
      <c r="AP1365" s="23"/>
      <c r="AQ1365" s="23"/>
      <c r="AR1365" s="23"/>
      <c r="AS1365" s="23"/>
      <c r="AT1365" s="23"/>
      <c r="AU1365" s="23"/>
      <c r="AV1365" s="23"/>
      <c r="AW1365" s="23"/>
      <c r="AX1365" s="23"/>
      <c r="AY1365" s="23"/>
      <c r="AZ1365" s="23"/>
      <c r="BA1365" s="23"/>
      <c r="BB1365" s="23"/>
    </row>
    <row r="1366" spans="5:54" x14ac:dyDescent="0.35"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  <c r="AA1366" s="23"/>
      <c r="AB1366" s="23"/>
      <c r="AC1366" s="23"/>
      <c r="AD1366" s="23"/>
      <c r="AE1366" s="23"/>
      <c r="AF1366" s="23"/>
      <c r="AG1366" s="23"/>
      <c r="AH1366" s="23"/>
      <c r="AI1366" s="23"/>
      <c r="AJ1366" s="23"/>
      <c r="AK1366" s="23"/>
      <c r="AL1366" s="23"/>
      <c r="AM1366" s="23"/>
      <c r="AN1366" s="23"/>
      <c r="AO1366" s="23"/>
      <c r="AP1366" s="23"/>
      <c r="AQ1366" s="23"/>
      <c r="AR1366" s="23"/>
      <c r="AS1366" s="23"/>
      <c r="AT1366" s="23"/>
      <c r="AU1366" s="23"/>
      <c r="AV1366" s="23"/>
      <c r="AW1366" s="23"/>
      <c r="AX1366" s="23"/>
      <c r="AY1366" s="23"/>
      <c r="AZ1366" s="23"/>
      <c r="BA1366" s="23"/>
      <c r="BB1366" s="23"/>
    </row>
    <row r="1367" spans="5:54" x14ac:dyDescent="0.35"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  <c r="AA1367" s="23"/>
      <c r="AB1367" s="23"/>
      <c r="AC1367" s="23"/>
      <c r="AD1367" s="23"/>
      <c r="AE1367" s="23"/>
      <c r="AF1367" s="23"/>
      <c r="AG1367" s="23"/>
      <c r="AH1367" s="23"/>
      <c r="AI1367" s="23"/>
      <c r="AJ1367" s="23"/>
      <c r="AK1367" s="23"/>
      <c r="AL1367" s="23"/>
      <c r="AM1367" s="23"/>
      <c r="AN1367" s="23"/>
      <c r="AO1367" s="23"/>
      <c r="AP1367" s="23"/>
      <c r="AQ1367" s="23"/>
      <c r="AR1367" s="23"/>
      <c r="AS1367" s="23"/>
      <c r="AT1367" s="23"/>
      <c r="AU1367" s="23"/>
      <c r="AV1367" s="23"/>
      <c r="AW1367" s="23"/>
      <c r="AX1367" s="23"/>
      <c r="AY1367" s="23"/>
      <c r="AZ1367" s="23"/>
      <c r="BA1367" s="23"/>
      <c r="BB1367" s="23"/>
    </row>
    <row r="1368" spans="5:54" x14ac:dyDescent="0.35"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  <c r="AA1368" s="23"/>
      <c r="AB1368" s="23"/>
      <c r="AC1368" s="23"/>
      <c r="AD1368" s="23"/>
      <c r="AE1368" s="23"/>
      <c r="AF1368" s="23"/>
      <c r="AG1368" s="23"/>
      <c r="AH1368" s="23"/>
      <c r="AI1368" s="23"/>
      <c r="AJ1368" s="23"/>
      <c r="AK1368" s="23"/>
      <c r="AL1368" s="23"/>
      <c r="AM1368" s="23"/>
      <c r="AN1368" s="23"/>
      <c r="AO1368" s="23"/>
      <c r="AP1368" s="23"/>
      <c r="AQ1368" s="23"/>
      <c r="AR1368" s="23"/>
      <c r="AS1368" s="23"/>
      <c r="AT1368" s="23"/>
      <c r="AU1368" s="23"/>
      <c r="AV1368" s="23"/>
      <c r="AW1368" s="23"/>
      <c r="AX1368" s="23"/>
      <c r="AY1368" s="23"/>
      <c r="AZ1368" s="23"/>
      <c r="BA1368" s="23"/>
      <c r="BB1368" s="23"/>
    </row>
    <row r="1369" spans="5:54" x14ac:dyDescent="0.35"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  <c r="AA1369" s="23"/>
      <c r="AB1369" s="23"/>
      <c r="AC1369" s="23"/>
      <c r="AD1369" s="23"/>
      <c r="AE1369" s="23"/>
      <c r="AF1369" s="23"/>
      <c r="AG1369" s="23"/>
      <c r="AH1369" s="23"/>
      <c r="AI1369" s="23"/>
      <c r="AJ1369" s="23"/>
      <c r="AK1369" s="23"/>
      <c r="AL1369" s="23"/>
      <c r="AM1369" s="23"/>
      <c r="AN1369" s="23"/>
      <c r="AO1369" s="23"/>
      <c r="AP1369" s="23"/>
      <c r="AQ1369" s="23"/>
      <c r="AR1369" s="23"/>
      <c r="AS1369" s="23"/>
      <c r="AT1369" s="23"/>
      <c r="AU1369" s="23"/>
      <c r="AV1369" s="23"/>
      <c r="AW1369" s="23"/>
      <c r="AX1369" s="23"/>
      <c r="AY1369" s="23"/>
      <c r="AZ1369" s="23"/>
      <c r="BA1369" s="23"/>
      <c r="BB1369" s="23"/>
    </row>
    <row r="1370" spans="5:54" x14ac:dyDescent="0.35"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  <c r="AA1370" s="23"/>
      <c r="AB1370" s="23"/>
      <c r="AC1370" s="23"/>
      <c r="AD1370" s="23"/>
      <c r="AE1370" s="23"/>
      <c r="AF1370" s="23"/>
      <c r="AG1370" s="23"/>
      <c r="AH1370" s="23"/>
      <c r="AI1370" s="23"/>
      <c r="AJ1370" s="23"/>
      <c r="AK1370" s="23"/>
      <c r="AL1370" s="23"/>
      <c r="AM1370" s="23"/>
      <c r="AN1370" s="23"/>
      <c r="AO1370" s="23"/>
      <c r="AP1370" s="23"/>
      <c r="AQ1370" s="23"/>
      <c r="AR1370" s="23"/>
      <c r="AS1370" s="23"/>
      <c r="AT1370" s="23"/>
      <c r="AU1370" s="23"/>
      <c r="AV1370" s="23"/>
      <c r="AW1370" s="23"/>
      <c r="AX1370" s="23"/>
      <c r="AY1370" s="23"/>
      <c r="AZ1370" s="23"/>
      <c r="BA1370" s="23"/>
      <c r="BB1370" s="23"/>
    </row>
    <row r="1371" spans="5:54" x14ac:dyDescent="0.35"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  <c r="AA1371" s="23"/>
      <c r="AB1371" s="23"/>
      <c r="AC1371" s="23"/>
      <c r="AD1371" s="23"/>
      <c r="AE1371" s="23"/>
      <c r="AF1371" s="23"/>
      <c r="AG1371" s="23"/>
      <c r="AH1371" s="23"/>
      <c r="AI1371" s="23"/>
      <c r="AJ1371" s="23"/>
      <c r="AK1371" s="23"/>
      <c r="AL1371" s="23"/>
      <c r="AM1371" s="23"/>
      <c r="AN1371" s="23"/>
      <c r="AO1371" s="23"/>
      <c r="AP1371" s="23"/>
      <c r="AQ1371" s="23"/>
      <c r="AR1371" s="23"/>
      <c r="AS1371" s="23"/>
      <c r="AT1371" s="23"/>
      <c r="AU1371" s="23"/>
      <c r="AV1371" s="23"/>
      <c r="AW1371" s="23"/>
      <c r="AX1371" s="23"/>
      <c r="AY1371" s="23"/>
      <c r="AZ1371" s="23"/>
      <c r="BA1371" s="23"/>
      <c r="BB1371" s="23"/>
    </row>
    <row r="1372" spans="5:54" x14ac:dyDescent="0.35"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  <c r="AA1372" s="23"/>
      <c r="AB1372" s="23"/>
      <c r="AC1372" s="23"/>
      <c r="AD1372" s="23"/>
      <c r="AE1372" s="23"/>
      <c r="AF1372" s="23"/>
      <c r="AG1372" s="23"/>
      <c r="AH1372" s="23"/>
      <c r="AI1372" s="23"/>
      <c r="AJ1372" s="23"/>
      <c r="AK1372" s="23"/>
      <c r="AL1372" s="23"/>
      <c r="AM1372" s="23"/>
      <c r="AN1372" s="23"/>
      <c r="AO1372" s="23"/>
      <c r="AP1372" s="23"/>
      <c r="AQ1372" s="23"/>
      <c r="AR1372" s="23"/>
      <c r="AS1372" s="23"/>
      <c r="AT1372" s="23"/>
      <c r="AU1372" s="23"/>
      <c r="AV1372" s="23"/>
      <c r="AW1372" s="23"/>
      <c r="AX1372" s="23"/>
      <c r="AY1372" s="23"/>
      <c r="AZ1372" s="23"/>
      <c r="BA1372" s="23"/>
      <c r="BB1372" s="23"/>
    </row>
    <row r="1373" spans="5:54" x14ac:dyDescent="0.35"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  <c r="AA1373" s="23"/>
      <c r="AB1373" s="23"/>
      <c r="AC1373" s="23"/>
      <c r="AD1373" s="23"/>
      <c r="AE1373" s="23"/>
      <c r="AF1373" s="23"/>
      <c r="AG1373" s="23"/>
      <c r="AH1373" s="23"/>
      <c r="AI1373" s="23"/>
      <c r="AJ1373" s="23"/>
      <c r="AK1373" s="23"/>
      <c r="AL1373" s="23"/>
      <c r="AM1373" s="23"/>
      <c r="AN1373" s="23"/>
      <c r="AO1373" s="23"/>
      <c r="AP1373" s="23"/>
      <c r="AQ1373" s="23"/>
      <c r="AR1373" s="23"/>
      <c r="AS1373" s="23"/>
      <c r="AT1373" s="23"/>
      <c r="AU1373" s="23"/>
      <c r="AV1373" s="23"/>
      <c r="AW1373" s="23"/>
      <c r="AX1373" s="23"/>
      <c r="AY1373" s="23"/>
      <c r="AZ1373" s="23"/>
      <c r="BA1373" s="23"/>
      <c r="BB1373" s="23"/>
    </row>
    <row r="1374" spans="5:54" x14ac:dyDescent="0.35"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  <c r="AA1374" s="23"/>
      <c r="AB1374" s="23"/>
      <c r="AC1374" s="23"/>
      <c r="AD1374" s="23"/>
      <c r="AE1374" s="23"/>
      <c r="AF1374" s="23"/>
      <c r="AG1374" s="23"/>
      <c r="AH1374" s="23"/>
      <c r="AI1374" s="23"/>
      <c r="AJ1374" s="23"/>
      <c r="AK1374" s="23"/>
      <c r="AL1374" s="23"/>
      <c r="AM1374" s="23"/>
      <c r="AN1374" s="23"/>
      <c r="AO1374" s="23"/>
      <c r="AP1374" s="23"/>
      <c r="AQ1374" s="23"/>
      <c r="AR1374" s="23"/>
      <c r="AS1374" s="23"/>
      <c r="AT1374" s="23"/>
      <c r="AU1374" s="23"/>
      <c r="AV1374" s="23"/>
      <c r="AW1374" s="23"/>
      <c r="AX1374" s="23"/>
      <c r="AY1374" s="23"/>
      <c r="AZ1374" s="23"/>
      <c r="BA1374" s="23"/>
      <c r="BB1374" s="23"/>
    </row>
    <row r="1375" spans="5:54" x14ac:dyDescent="0.35"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  <c r="AA1375" s="23"/>
      <c r="AB1375" s="23"/>
      <c r="AC1375" s="23"/>
      <c r="AD1375" s="23"/>
      <c r="AE1375" s="23"/>
      <c r="AF1375" s="23"/>
      <c r="AG1375" s="23"/>
      <c r="AH1375" s="23"/>
      <c r="AI1375" s="23"/>
      <c r="AJ1375" s="23"/>
      <c r="AK1375" s="23"/>
      <c r="AL1375" s="23"/>
      <c r="AM1375" s="23"/>
      <c r="AN1375" s="23"/>
      <c r="AO1375" s="23"/>
      <c r="AP1375" s="23"/>
      <c r="AQ1375" s="23"/>
      <c r="AR1375" s="23"/>
      <c r="AS1375" s="23"/>
      <c r="AT1375" s="23"/>
      <c r="AU1375" s="23"/>
      <c r="AV1375" s="23"/>
      <c r="AW1375" s="23"/>
      <c r="AX1375" s="23"/>
      <c r="AY1375" s="23"/>
      <c r="AZ1375" s="23"/>
      <c r="BA1375" s="23"/>
      <c r="BB1375" s="23"/>
    </row>
    <row r="1376" spans="5:54" x14ac:dyDescent="0.35"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  <c r="AA1376" s="23"/>
      <c r="AB1376" s="23"/>
      <c r="AC1376" s="23"/>
      <c r="AD1376" s="23"/>
      <c r="AE1376" s="23"/>
      <c r="AF1376" s="23"/>
      <c r="AG1376" s="23"/>
      <c r="AH1376" s="23"/>
      <c r="AI1376" s="23"/>
      <c r="AJ1376" s="23"/>
      <c r="AK1376" s="23"/>
      <c r="AL1376" s="23"/>
      <c r="AM1376" s="23"/>
      <c r="AN1376" s="23"/>
      <c r="AO1376" s="23"/>
      <c r="AP1376" s="23"/>
      <c r="AQ1376" s="23"/>
      <c r="AR1376" s="23"/>
      <c r="AS1376" s="23"/>
      <c r="AT1376" s="23"/>
      <c r="AU1376" s="23"/>
      <c r="AV1376" s="23"/>
      <c r="AW1376" s="23"/>
      <c r="AX1376" s="23"/>
      <c r="AY1376" s="23"/>
      <c r="AZ1376" s="23"/>
      <c r="BA1376" s="23"/>
      <c r="BB1376" s="23"/>
    </row>
    <row r="1377" spans="5:54" x14ac:dyDescent="0.35"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  <c r="AA1377" s="23"/>
      <c r="AB1377" s="23"/>
      <c r="AC1377" s="23"/>
      <c r="AD1377" s="23"/>
      <c r="AE1377" s="23"/>
      <c r="AF1377" s="23"/>
      <c r="AG1377" s="23"/>
      <c r="AH1377" s="23"/>
      <c r="AI1377" s="23"/>
      <c r="AJ1377" s="23"/>
      <c r="AK1377" s="23"/>
      <c r="AL1377" s="23"/>
      <c r="AM1377" s="23"/>
      <c r="AN1377" s="23"/>
      <c r="AO1377" s="23"/>
      <c r="AP1377" s="23"/>
      <c r="AQ1377" s="23"/>
      <c r="AR1377" s="23"/>
      <c r="AS1377" s="23"/>
      <c r="AT1377" s="23"/>
      <c r="AU1377" s="23"/>
      <c r="AV1377" s="23"/>
      <c r="AW1377" s="23"/>
      <c r="AX1377" s="23"/>
      <c r="AY1377" s="23"/>
      <c r="AZ1377" s="23"/>
      <c r="BA1377" s="23"/>
      <c r="BB1377" s="23"/>
    </row>
    <row r="1378" spans="5:54" x14ac:dyDescent="0.35"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  <c r="AA1378" s="23"/>
      <c r="AB1378" s="23"/>
      <c r="AC1378" s="23"/>
      <c r="AD1378" s="23"/>
      <c r="AE1378" s="23"/>
      <c r="AF1378" s="23"/>
      <c r="AG1378" s="23"/>
      <c r="AH1378" s="23"/>
      <c r="AI1378" s="23"/>
      <c r="AJ1378" s="23"/>
      <c r="AK1378" s="23"/>
      <c r="AL1378" s="23"/>
      <c r="AM1378" s="23"/>
      <c r="AN1378" s="23"/>
      <c r="AO1378" s="23"/>
      <c r="AP1378" s="23"/>
      <c r="AQ1378" s="23"/>
      <c r="AR1378" s="23"/>
      <c r="AS1378" s="23"/>
      <c r="AT1378" s="23"/>
      <c r="AU1378" s="23"/>
      <c r="AV1378" s="23"/>
      <c r="AW1378" s="23"/>
      <c r="AX1378" s="23"/>
      <c r="AY1378" s="23"/>
      <c r="AZ1378" s="23"/>
      <c r="BA1378" s="23"/>
      <c r="BB1378" s="23"/>
    </row>
    <row r="1379" spans="5:54" x14ac:dyDescent="0.35"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  <c r="AA1379" s="23"/>
      <c r="AB1379" s="23"/>
      <c r="AC1379" s="23"/>
      <c r="AD1379" s="23"/>
      <c r="AE1379" s="23"/>
      <c r="AF1379" s="23"/>
      <c r="AG1379" s="23"/>
      <c r="AH1379" s="23"/>
      <c r="AI1379" s="23"/>
      <c r="AJ1379" s="23"/>
      <c r="AK1379" s="23"/>
      <c r="AL1379" s="23"/>
      <c r="AM1379" s="23"/>
      <c r="AN1379" s="23"/>
      <c r="AO1379" s="23"/>
      <c r="AP1379" s="23"/>
      <c r="AQ1379" s="23"/>
      <c r="AR1379" s="23"/>
      <c r="AS1379" s="23"/>
      <c r="AT1379" s="23"/>
      <c r="AU1379" s="23"/>
      <c r="AV1379" s="23"/>
      <c r="AW1379" s="23"/>
      <c r="AX1379" s="23"/>
      <c r="AY1379" s="23"/>
      <c r="AZ1379" s="23"/>
      <c r="BA1379" s="23"/>
      <c r="BB1379" s="23"/>
    </row>
    <row r="1380" spans="5:54" x14ac:dyDescent="0.35"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  <c r="AA1380" s="23"/>
      <c r="AB1380" s="23"/>
      <c r="AC1380" s="23"/>
      <c r="AD1380" s="23"/>
      <c r="AE1380" s="23"/>
      <c r="AF1380" s="23"/>
      <c r="AG1380" s="23"/>
      <c r="AH1380" s="23"/>
      <c r="AI1380" s="23"/>
      <c r="AJ1380" s="23"/>
      <c r="AK1380" s="23"/>
      <c r="AL1380" s="23"/>
      <c r="AM1380" s="23"/>
      <c r="AN1380" s="23"/>
      <c r="AO1380" s="23"/>
      <c r="AP1380" s="23"/>
      <c r="AQ1380" s="23"/>
      <c r="AR1380" s="23"/>
      <c r="AS1380" s="23"/>
      <c r="AT1380" s="23"/>
      <c r="AU1380" s="23"/>
      <c r="AV1380" s="23"/>
      <c r="AW1380" s="23"/>
      <c r="AX1380" s="23"/>
      <c r="AY1380" s="23"/>
      <c r="AZ1380" s="23"/>
      <c r="BA1380" s="23"/>
      <c r="BB1380" s="23"/>
    </row>
    <row r="1381" spans="5:54" x14ac:dyDescent="0.35"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  <c r="AA1381" s="23"/>
      <c r="AB1381" s="23"/>
      <c r="AC1381" s="23"/>
      <c r="AD1381" s="23"/>
      <c r="AE1381" s="23"/>
      <c r="AF1381" s="23"/>
      <c r="AG1381" s="23"/>
      <c r="AH1381" s="23"/>
      <c r="AI1381" s="23"/>
      <c r="AJ1381" s="23"/>
      <c r="AK1381" s="23"/>
      <c r="AL1381" s="23"/>
      <c r="AM1381" s="23"/>
      <c r="AN1381" s="23"/>
      <c r="AO1381" s="23"/>
      <c r="AP1381" s="23"/>
      <c r="AQ1381" s="23"/>
      <c r="AR1381" s="23"/>
      <c r="AS1381" s="23"/>
      <c r="AT1381" s="23"/>
      <c r="AU1381" s="23"/>
      <c r="AV1381" s="23"/>
      <c r="AW1381" s="23"/>
      <c r="AX1381" s="23"/>
      <c r="AY1381" s="23"/>
      <c r="AZ1381" s="23"/>
      <c r="BA1381" s="23"/>
      <c r="BB1381" s="23"/>
    </row>
    <row r="1382" spans="5:54" x14ac:dyDescent="0.35"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  <c r="AA1382" s="23"/>
      <c r="AB1382" s="23"/>
      <c r="AC1382" s="23"/>
      <c r="AD1382" s="23"/>
      <c r="AE1382" s="23"/>
      <c r="AF1382" s="23"/>
      <c r="AG1382" s="23"/>
      <c r="AH1382" s="23"/>
      <c r="AI1382" s="23"/>
      <c r="AJ1382" s="23"/>
      <c r="AK1382" s="23"/>
      <c r="AL1382" s="23"/>
      <c r="AM1382" s="23"/>
      <c r="AN1382" s="23"/>
      <c r="AO1382" s="23"/>
      <c r="AP1382" s="23"/>
      <c r="AQ1382" s="23"/>
      <c r="AR1382" s="23"/>
      <c r="AS1382" s="23"/>
      <c r="AT1382" s="23"/>
      <c r="AU1382" s="23"/>
      <c r="AV1382" s="23"/>
      <c r="AW1382" s="23"/>
      <c r="AX1382" s="23"/>
      <c r="AY1382" s="23"/>
      <c r="AZ1382" s="23"/>
      <c r="BA1382" s="23"/>
      <c r="BB1382" s="23"/>
    </row>
    <row r="1383" spans="5:54" x14ac:dyDescent="0.35"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  <c r="AA1383" s="23"/>
      <c r="AB1383" s="23"/>
      <c r="AC1383" s="23"/>
      <c r="AD1383" s="23"/>
      <c r="AE1383" s="23"/>
      <c r="AF1383" s="23"/>
      <c r="AG1383" s="23"/>
      <c r="AH1383" s="23"/>
      <c r="AI1383" s="23"/>
      <c r="AJ1383" s="23"/>
      <c r="AK1383" s="23"/>
      <c r="AL1383" s="23"/>
      <c r="AM1383" s="23"/>
      <c r="AN1383" s="23"/>
      <c r="AO1383" s="23"/>
      <c r="AP1383" s="23"/>
      <c r="AQ1383" s="23"/>
      <c r="AR1383" s="23"/>
      <c r="AS1383" s="23"/>
      <c r="AT1383" s="23"/>
      <c r="AU1383" s="23"/>
      <c r="AV1383" s="23"/>
      <c r="AW1383" s="23"/>
      <c r="AX1383" s="23"/>
      <c r="AY1383" s="23"/>
      <c r="AZ1383" s="23"/>
      <c r="BA1383" s="23"/>
      <c r="BB1383" s="23"/>
    </row>
    <row r="1384" spans="5:54" x14ac:dyDescent="0.35"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  <c r="AA1384" s="23"/>
      <c r="AB1384" s="23"/>
      <c r="AC1384" s="23"/>
      <c r="AD1384" s="23"/>
      <c r="AE1384" s="23"/>
      <c r="AF1384" s="23"/>
      <c r="AG1384" s="23"/>
      <c r="AH1384" s="23"/>
      <c r="AI1384" s="23"/>
      <c r="AJ1384" s="23"/>
      <c r="AK1384" s="23"/>
      <c r="AL1384" s="23"/>
      <c r="AM1384" s="23"/>
      <c r="AN1384" s="23"/>
      <c r="AO1384" s="23"/>
      <c r="AP1384" s="23"/>
      <c r="AQ1384" s="23"/>
      <c r="AR1384" s="23"/>
      <c r="AS1384" s="23"/>
      <c r="AT1384" s="23"/>
      <c r="AU1384" s="23"/>
      <c r="AV1384" s="23"/>
      <c r="AW1384" s="23"/>
      <c r="AX1384" s="23"/>
      <c r="AY1384" s="23"/>
      <c r="AZ1384" s="23"/>
      <c r="BA1384" s="23"/>
      <c r="BB1384" s="23"/>
    </row>
    <row r="1385" spans="5:54" x14ac:dyDescent="0.35"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  <c r="AA1385" s="23"/>
      <c r="AB1385" s="23"/>
      <c r="AC1385" s="23"/>
      <c r="AD1385" s="23"/>
      <c r="AE1385" s="23"/>
      <c r="AF1385" s="23"/>
      <c r="AG1385" s="23"/>
      <c r="AH1385" s="23"/>
      <c r="AI1385" s="23"/>
      <c r="AJ1385" s="23"/>
      <c r="AK1385" s="23"/>
      <c r="AL1385" s="23"/>
      <c r="AM1385" s="23"/>
      <c r="AN1385" s="23"/>
      <c r="AO1385" s="23"/>
      <c r="AP1385" s="23"/>
      <c r="AQ1385" s="23"/>
      <c r="AR1385" s="23"/>
      <c r="AS1385" s="23"/>
      <c r="AT1385" s="23"/>
      <c r="AU1385" s="23"/>
      <c r="AV1385" s="23"/>
      <c r="AW1385" s="23"/>
      <c r="AX1385" s="23"/>
      <c r="AY1385" s="23"/>
      <c r="AZ1385" s="23"/>
      <c r="BA1385" s="23"/>
      <c r="BB1385" s="23"/>
    </row>
    <row r="1386" spans="5:54" x14ac:dyDescent="0.35"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  <c r="AA1386" s="23"/>
      <c r="AB1386" s="23"/>
      <c r="AC1386" s="23"/>
      <c r="AD1386" s="23"/>
      <c r="AE1386" s="23"/>
      <c r="AF1386" s="23"/>
      <c r="AG1386" s="23"/>
      <c r="AH1386" s="23"/>
      <c r="AI1386" s="23"/>
      <c r="AJ1386" s="23"/>
      <c r="AK1386" s="23"/>
      <c r="AL1386" s="23"/>
      <c r="AM1386" s="23"/>
      <c r="AN1386" s="23"/>
      <c r="AO1386" s="23"/>
      <c r="AP1386" s="23"/>
      <c r="AQ1386" s="23"/>
      <c r="AR1386" s="23"/>
      <c r="AS1386" s="23"/>
      <c r="AT1386" s="23"/>
      <c r="AU1386" s="23"/>
      <c r="AV1386" s="23"/>
      <c r="AW1386" s="23"/>
      <c r="AX1386" s="23"/>
      <c r="AY1386" s="23"/>
      <c r="AZ1386" s="23"/>
      <c r="BA1386" s="23"/>
      <c r="BB1386" s="23"/>
    </row>
    <row r="1387" spans="5:54" x14ac:dyDescent="0.35"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  <c r="AA1387" s="23"/>
      <c r="AB1387" s="23"/>
      <c r="AC1387" s="23"/>
      <c r="AD1387" s="23"/>
      <c r="AE1387" s="23"/>
      <c r="AF1387" s="23"/>
      <c r="AG1387" s="23"/>
      <c r="AH1387" s="23"/>
      <c r="AI1387" s="23"/>
      <c r="AJ1387" s="23"/>
      <c r="AK1387" s="23"/>
      <c r="AL1387" s="23"/>
      <c r="AM1387" s="23"/>
      <c r="AN1387" s="23"/>
      <c r="AO1387" s="23"/>
      <c r="AP1387" s="23"/>
      <c r="AQ1387" s="23"/>
      <c r="AR1387" s="23"/>
      <c r="AS1387" s="23"/>
      <c r="AT1387" s="23"/>
      <c r="AU1387" s="23"/>
      <c r="AV1387" s="23"/>
      <c r="AW1387" s="23"/>
      <c r="AX1387" s="23"/>
      <c r="AY1387" s="23"/>
      <c r="AZ1387" s="23"/>
      <c r="BA1387" s="23"/>
      <c r="BB1387" s="23"/>
    </row>
    <row r="1388" spans="5:54" x14ac:dyDescent="0.35"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  <c r="AA1388" s="23"/>
      <c r="AB1388" s="23"/>
      <c r="AC1388" s="23"/>
      <c r="AD1388" s="23"/>
      <c r="AE1388" s="23"/>
      <c r="AF1388" s="23"/>
      <c r="AG1388" s="23"/>
      <c r="AH1388" s="23"/>
      <c r="AI1388" s="23"/>
      <c r="AJ1388" s="23"/>
      <c r="AK1388" s="23"/>
      <c r="AL1388" s="23"/>
      <c r="AM1388" s="23"/>
      <c r="AN1388" s="23"/>
      <c r="AO1388" s="23"/>
      <c r="AP1388" s="23"/>
      <c r="AQ1388" s="23"/>
      <c r="AR1388" s="23"/>
      <c r="AS1388" s="23"/>
      <c r="AT1388" s="23"/>
      <c r="AU1388" s="23"/>
      <c r="AV1388" s="23"/>
      <c r="AW1388" s="23"/>
      <c r="AX1388" s="23"/>
      <c r="AY1388" s="23"/>
      <c r="AZ1388" s="23"/>
      <c r="BA1388" s="23"/>
      <c r="BB1388" s="23"/>
    </row>
    <row r="1389" spans="5:54" x14ac:dyDescent="0.35"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  <c r="AA1389" s="23"/>
      <c r="AB1389" s="23"/>
      <c r="AC1389" s="23"/>
      <c r="AD1389" s="23"/>
      <c r="AE1389" s="23"/>
      <c r="AF1389" s="23"/>
      <c r="AG1389" s="23"/>
      <c r="AH1389" s="23"/>
      <c r="AI1389" s="23"/>
      <c r="AJ1389" s="23"/>
      <c r="AK1389" s="23"/>
      <c r="AL1389" s="23"/>
      <c r="AM1389" s="23"/>
      <c r="AN1389" s="23"/>
      <c r="AO1389" s="23"/>
      <c r="AP1389" s="23"/>
      <c r="AQ1389" s="23"/>
      <c r="AR1389" s="23"/>
      <c r="AS1389" s="23"/>
      <c r="AT1389" s="23"/>
      <c r="AU1389" s="23"/>
      <c r="AV1389" s="23"/>
      <c r="AW1389" s="23"/>
      <c r="AX1389" s="23"/>
      <c r="AY1389" s="23"/>
      <c r="AZ1389" s="23"/>
      <c r="BA1389" s="23"/>
      <c r="BB1389" s="23"/>
    </row>
    <row r="1390" spans="5:54" x14ac:dyDescent="0.35"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  <c r="AA1390" s="23"/>
      <c r="AB1390" s="23"/>
      <c r="AC1390" s="23"/>
      <c r="AD1390" s="23"/>
      <c r="AE1390" s="23"/>
      <c r="AF1390" s="23"/>
      <c r="AG1390" s="23"/>
      <c r="AH1390" s="23"/>
      <c r="AI1390" s="23"/>
      <c r="AJ1390" s="23"/>
      <c r="AK1390" s="23"/>
      <c r="AL1390" s="23"/>
      <c r="AM1390" s="23"/>
      <c r="AN1390" s="23"/>
      <c r="AO1390" s="23"/>
      <c r="AP1390" s="23"/>
      <c r="AQ1390" s="23"/>
      <c r="AR1390" s="23"/>
      <c r="AS1390" s="23"/>
      <c r="AT1390" s="23"/>
      <c r="AU1390" s="23"/>
      <c r="AV1390" s="23"/>
      <c r="AW1390" s="23"/>
      <c r="AX1390" s="23"/>
      <c r="AY1390" s="23"/>
      <c r="AZ1390" s="23"/>
      <c r="BA1390" s="23"/>
      <c r="BB1390" s="23"/>
    </row>
    <row r="1391" spans="5:54" x14ac:dyDescent="0.35"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  <c r="AA1391" s="23"/>
      <c r="AB1391" s="23"/>
      <c r="AC1391" s="23"/>
      <c r="AD1391" s="23"/>
      <c r="AE1391" s="23"/>
      <c r="AF1391" s="23"/>
      <c r="AG1391" s="23"/>
      <c r="AH1391" s="23"/>
      <c r="AI1391" s="23"/>
      <c r="AJ1391" s="23"/>
      <c r="AK1391" s="23"/>
      <c r="AL1391" s="23"/>
      <c r="AM1391" s="23"/>
      <c r="AN1391" s="23"/>
      <c r="AO1391" s="23"/>
      <c r="AP1391" s="23"/>
      <c r="AQ1391" s="23"/>
      <c r="AR1391" s="23"/>
      <c r="AS1391" s="23"/>
      <c r="AT1391" s="23"/>
      <c r="AU1391" s="23"/>
      <c r="AV1391" s="23"/>
      <c r="AW1391" s="23"/>
      <c r="AX1391" s="23"/>
      <c r="AY1391" s="23"/>
      <c r="AZ1391" s="23"/>
      <c r="BA1391" s="23"/>
      <c r="BB1391" s="23"/>
    </row>
    <row r="1392" spans="5:54" x14ac:dyDescent="0.35"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  <c r="AA1392" s="23"/>
      <c r="AB1392" s="23"/>
      <c r="AC1392" s="23"/>
      <c r="AD1392" s="23"/>
      <c r="AE1392" s="23"/>
      <c r="AF1392" s="23"/>
      <c r="AG1392" s="23"/>
      <c r="AH1392" s="23"/>
      <c r="AI1392" s="23"/>
      <c r="AJ1392" s="23"/>
      <c r="AK1392" s="23"/>
      <c r="AL1392" s="23"/>
      <c r="AM1392" s="23"/>
      <c r="AN1392" s="23"/>
      <c r="AO1392" s="23"/>
      <c r="AP1392" s="23"/>
      <c r="AQ1392" s="23"/>
      <c r="AR1392" s="23"/>
      <c r="AS1392" s="23"/>
      <c r="AT1392" s="23"/>
      <c r="AU1392" s="23"/>
      <c r="AV1392" s="23"/>
      <c r="AW1392" s="23"/>
      <c r="AX1392" s="23"/>
      <c r="AY1392" s="23"/>
      <c r="AZ1392" s="23"/>
      <c r="BA1392" s="23"/>
      <c r="BB1392" s="23"/>
    </row>
    <row r="1393" spans="5:54" x14ac:dyDescent="0.35"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  <c r="AA1393" s="23"/>
      <c r="AB1393" s="23"/>
      <c r="AC1393" s="23"/>
      <c r="AD1393" s="23"/>
      <c r="AE1393" s="23"/>
      <c r="AF1393" s="23"/>
      <c r="AG1393" s="23"/>
      <c r="AH1393" s="23"/>
      <c r="AI1393" s="23"/>
      <c r="AJ1393" s="23"/>
      <c r="AK1393" s="23"/>
      <c r="AL1393" s="23"/>
      <c r="AM1393" s="23"/>
      <c r="AN1393" s="23"/>
      <c r="AO1393" s="23"/>
      <c r="AP1393" s="23"/>
      <c r="AQ1393" s="23"/>
      <c r="AR1393" s="23"/>
      <c r="AS1393" s="23"/>
      <c r="AT1393" s="23"/>
      <c r="AU1393" s="23"/>
      <c r="AV1393" s="23"/>
      <c r="AW1393" s="23"/>
      <c r="AX1393" s="23"/>
      <c r="AY1393" s="23"/>
      <c r="AZ1393" s="23"/>
      <c r="BA1393" s="23"/>
      <c r="BB1393" s="23"/>
    </row>
    <row r="1394" spans="5:54" x14ac:dyDescent="0.35"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  <c r="AA1394" s="23"/>
      <c r="AB1394" s="23"/>
      <c r="AC1394" s="23"/>
      <c r="AD1394" s="23"/>
      <c r="AE1394" s="23"/>
      <c r="AF1394" s="23"/>
      <c r="AG1394" s="23"/>
      <c r="AH1394" s="23"/>
      <c r="AI1394" s="23"/>
      <c r="AJ1394" s="23"/>
      <c r="AK1394" s="23"/>
      <c r="AL1394" s="23"/>
      <c r="AM1394" s="23"/>
      <c r="AN1394" s="23"/>
      <c r="AO1394" s="23"/>
      <c r="AP1394" s="23"/>
      <c r="AQ1394" s="23"/>
      <c r="AR1394" s="23"/>
      <c r="AS1394" s="23"/>
      <c r="AT1394" s="23"/>
      <c r="AU1394" s="23"/>
      <c r="AV1394" s="23"/>
      <c r="AW1394" s="23"/>
      <c r="AX1394" s="23"/>
      <c r="AY1394" s="23"/>
      <c r="AZ1394" s="23"/>
      <c r="BA1394" s="23"/>
      <c r="BB1394" s="23"/>
    </row>
    <row r="1395" spans="5:54" x14ac:dyDescent="0.35"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  <c r="AA1395" s="23"/>
      <c r="AB1395" s="23"/>
      <c r="AC1395" s="23"/>
      <c r="AD1395" s="23"/>
      <c r="AE1395" s="23"/>
      <c r="AF1395" s="23"/>
      <c r="AG1395" s="23"/>
      <c r="AH1395" s="23"/>
      <c r="AI1395" s="23"/>
      <c r="AJ1395" s="23"/>
      <c r="AK1395" s="23"/>
      <c r="AL1395" s="23"/>
      <c r="AM1395" s="23"/>
      <c r="AN1395" s="23"/>
      <c r="AO1395" s="23"/>
      <c r="AP1395" s="23"/>
      <c r="AQ1395" s="23"/>
      <c r="AR1395" s="23"/>
      <c r="AS1395" s="23"/>
      <c r="AT1395" s="23"/>
      <c r="AU1395" s="23"/>
      <c r="AV1395" s="23"/>
      <c r="AW1395" s="23"/>
      <c r="AX1395" s="23"/>
      <c r="AY1395" s="23"/>
      <c r="AZ1395" s="23"/>
      <c r="BA1395" s="23"/>
      <c r="BB1395" s="23"/>
    </row>
    <row r="1396" spans="5:54" x14ac:dyDescent="0.35"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  <c r="AA1396" s="23"/>
      <c r="AB1396" s="23"/>
      <c r="AC1396" s="23"/>
      <c r="AD1396" s="23"/>
      <c r="AE1396" s="23"/>
      <c r="AF1396" s="23"/>
      <c r="AG1396" s="23"/>
      <c r="AH1396" s="23"/>
      <c r="AI1396" s="23"/>
      <c r="AJ1396" s="23"/>
      <c r="AK1396" s="23"/>
      <c r="AL1396" s="23"/>
      <c r="AM1396" s="23"/>
      <c r="AN1396" s="23"/>
      <c r="AO1396" s="23"/>
      <c r="AP1396" s="23"/>
      <c r="AQ1396" s="23"/>
      <c r="AR1396" s="23"/>
      <c r="AS1396" s="23"/>
      <c r="AT1396" s="23"/>
      <c r="AU1396" s="23"/>
      <c r="AV1396" s="23"/>
      <c r="AW1396" s="23"/>
      <c r="AX1396" s="23"/>
      <c r="AY1396" s="23"/>
      <c r="AZ1396" s="23"/>
      <c r="BA1396" s="23"/>
      <c r="BB1396" s="23"/>
    </row>
    <row r="1397" spans="5:54" x14ac:dyDescent="0.35"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  <c r="AA1397" s="23"/>
      <c r="AB1397" s="23"/>
      <c r="AC1397" s="23"/>
      <c r="AD1397" s="23"/>
      <c r="AE1397" s="23"/>
      <c r="AF1397" s="23"/>
      <c r="AG1397" s="23"/>
      <c r="AH1397" s="23"/>
      <c r="AI1397" s="23"/>
      <c r="AJ1397" s="23"/>
      <c r="AK1397" s="23"/>
      <c r="AL1397" s="23"/>
      <c r="AM1397" s="23"/>
      <c r="AN1397" s="23"/>
      <c r="AO1397" s="23"/>
      <c r="AP1397" s="23"/>
      <c r="AQ1397" s="23"/>
      <c r="AR1397" s="23"/>
      <c r="AS1397" s="23"/>
      <c r="AT1397" s="23"/>
      <c r="AU1397" s="23"/>
      <c r="AV1397" s="23"/>
      <c r="AW1397" s="23"/>
      <c r="AX1397" s="23"/>
      <c r="AY1397" s="23"/>
      <c r="AZ1397" s="23"/>
      <c r="BA1397" s="23"/>
      <c r="BB1397" s="23"/>
    </row>
    <row r="1398" spans="5:54" x14ac:dyDescent="0.35"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  <c r="AA1398" s="23"/>
      <c r="AB1398" s="23"/>
      <c r="AC1398" s="23"/>
      <c r="AD1398" s="23"/>
      <c r="AE1398" s="23"/>
      <c r="AF1398" s="23"/>
      <c r="AG1398" s="23"/>
      <c r="AH1398" s="23"/>
      <c r="AI1398" s="23"/>
      <c r="AJ1398" s="23"/>
      <c r="AK1398" s="23"/>
      <c r="AL1398" s="23"/>
      <c r="AM1398" s="23"/>
      <c r="AN1398" s="23"/>
      <c r="AO1398" s="23"/>
      <c r="AP1398" s="23"/>
      <c r="AQ1398" s="23"/>
      <c r="AR1398" s="23"/>
      <c r="AS1398" s="23"/>
      <c r="AT1398" s="23"/>
      <c r="AU1398" s="23"/>
      <c r="AV1398" s="23"/>
      <c r="AW1398" s="23"/>
      <c r="AX1398" s="23"/>
      <c r="AY1398" s="23"/>
      <c r="AZ1398" s="23"/>
      <c r="BA1398" s="23"/>
      <c r="BB1398" s="23"/>
    </row>
    <row r="1399" spans="5:54" x14ac:dyDescent="0.35"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  <c r="AA1399" s="23"/>
      <c r="AB1399" s="23"/>
      <c r="AC1399" s="23"/>
      <c r="AD1399" s="23"/>
      <c r="AE1399" s="23"/>
      <c r="AF1399" s="23"/>
      <c r="AG1399" s="23"/>
      <c r="AH1399" s="23"/>
      <c r="AI1399" s="23"/>
      <c r="AJ1399" s="23"/>
      <c r="AK1399" s="23"/>
      <c r="AL1399" s="23"/>
      <c r="AM1399" s="23"/>
      <c r="AN1399" s="23"/>
      <c r="AO1399" s="23"/>
      <c r="AP1399" s="23"/>
      <c r="AQ1399" s="23"/>
      <c r="AR1399" s="23"/>
      <c r="AS1399" s="23"/>
      <c r="AT1399" s="23"/>
      <c r="AU1399" s="23"/>
      <c r="AV1399" s="23"/>
      <c r="AW1399" s="23"/>
      <c r="AX1399" s="23"/>
      <c r="AY1399" s="23"/>
      <c r="AZ1399" s="23"/>
      <c r="BA1399" s="23"/>
      <c r="BB1399" s="23"/>
    </row>
    <row r="1400" spans="5:54" x14ac:dyDescent="0.35"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  <c r="AA1400" s="23"/>
      <c r="AB1400" s="23"/>
      <c r="AC1400" s="23"/>
      <c r="AD1400" s="23"/>
      <c r="AE1400" s="23"/>
      <c r="AF1400" s="23"/>
      <c r="AG1400" s="23"/>
      <c r="AH1400" s="23"/>
      <c r="AI1400" s="23"/>
      <c r="AJ1400" s="23"/>
      <c r="AK1400" s="23"/>
      <c r="AL1400" s="23"/>
      <c r="AM1400" s="23"/>
      <c r="AN1400" s="23"/>
      <c r="AO1400" s="23"/>
      <c r="AP1400" s="23"/>
      <c r="AQ1400" s="23"/>
      <c r="AR1400" s="23"/>
      <c r="AS1400" s="23"/>
      <c r="AT1400" s="23"/>
      <c r="AU1400" s="23"/>
      <c r="AV1400" s="23"/>
      <c r="AW1400" s="23"/>
      <c r="AX1400" s="23"/>
      <c r="AY1400" s="23"/>
      <c r="AZ1400" s="23"/>
      <c r="BA1400" s="23"/>
      <c r="BB1400" s="23"/>
    </row>
    <row r="1401" spans="5:54" x14ac:dyDescent="0.35"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  <c r="AA1401" s="23"/>
      <c r="AB1401" s="23"/>
      <c r="AC1401" s="23"/>
      <c r="AD1401" s="23"/>
      <c r="AE1401" s="23"/>
      <c r="AF1401" s="23"/>
      <c r="AG1401" s="23"/>
      <c r="AH1401" s="23"/>
      <c r="AI1401" s="23"/>
      <c r="AJ1401" s="23"/>
      <c r="AK1401" s="23"/>
      <c r="AL1401" s="23"/>
      <c r="AM1401" s="23"/>
      <c r="AN1401" s="23"/>
      <c r="AO1401" s="23"/>
      <c r="AP1401" s="23"/>
      <c r="AQ1401" s="23"/>
      <c r="AR1401" s="23"/>
      <c r="AS1401" s="23"/>
      <c r="AT1401" s="23"/>
      <c r="AU1401" s="23"/>
      <c r="AV1401" s="23"/>
      <c r="AW1401" s="23"/>
      <c r="AX1401" s="23"/>
      <c r="AY1401" s="23"/>
      <c r="AZ1401" s="23"/>
      <c r="BA1401" s="23"/>
      <c r="BB1401" s="23"/>
    </row>
    <row r="1402" spans="5:54" x14ac:dyDescent="0.35"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  <c r="AA1402" s="23"/>
      <c r="AB1402" s="23"/>
      <c r="AC1402" s="23"/>
      <c r="AD1402" s="23"/>
      <c r="AE1402" s="23"/>
      <c r="AF1402" s="23"/>
      <c r="AG1402" s="23"/>
      <c r="AH1402" s="23"/>
      <c r="AI1402" s="23"/>
      <c r="AJ1402" s="23"/>
      <c r="AK1402" s="23"/>
      <c r="AL1402" s="23"/>
      <c r="AM1402" s="23"/>
      <c r="AN1402" s="23"/>
      <c r="AO1402" s="23"/>
      <c r="AP1402" s="23"/>
      <c r="AQ1402" s="23"/>
      <c r="AR1402" s="23"/>
      <c r="AS1402" s="23"/>
      <c r="AT1402" s="23"/>
      <c r="AU1402" s="23"/>
      <c r="AV1402" s="23"/>
      <c r="AW1402" s="23"/>
      <c r="AX1402" s="23"/>
      <c r="AY1402" s="23"/>
      <c r="AZ1402" s="23"/>
      <c r="BA1402" s="23"/>
      <c r="BB1402" s="23"/>
    </row>
    <row r="1403" spans="5:54" x14ac:dyDescent="0.35"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  <c r="AA1403" s="23"/>
      <c r="AB1403" s="23"/>
      <c r="AC1403" s="23"/>
      <c r="AD1403" s="23"/>
      <c r="AE1403" s="23"/>
      <c r="AF1403" s="23"/>
      <c r="AG1403" s="23"/>
      <c r="AH1403" s="23"/>
      <c r="AI1403" s="23"/>
      <c r="AJ1403" s="23"/>
      <c r="AK1403" s="23"/>
      <c r="AL1403" s="23"/>
      <c r="AM1403" s="23"/>
      <c r="AN1403" s="23"/>
      <c r="AO1403" s="23"/>
      <c r="AP1403" s="23"/>
      <c r="AQ1403" s="23"/>
      <c r="AR1403" s="23"/>
      <c r="AS1403" s="23"/>
      <c r="AT1403" s="23"/>
      <c r="AU1403" s="23"/>
      <c r="AV1403" s="23"/>
      <c r="AW1403" s="23"/>
      <c r="AX1403" s="23"/>
      <c r="AY1403" s="23"/>
      <c r="AZ1403" s="23"/>
      <c r="BA1403" s="23"/>
      <c r="BB1403" s="23"/>
    </row>
    <row r="1404" spans="5:54" x14ac:dyDescent="0.35"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3"/>
      <c r="AB1404" s="23"/>
      <c r="AC1404" s="23"/>
      <c r="AD1404" s="23"/>
      <c r="AE1404" s="23"/>
      <c r="AF1404" s="23"/>
      <c r="AG1404" s="23"/>
      <c r="AH1404" s="23"/>
      <c r="AI1404" s="23"/>
      <c r="AJ1404" s="23"/>
      <c r="AK1404" s="23"/>
      <c r="AL1404" s="23"/>
      <c r="AM1404" s="23"/>
      <c r="AN1404" s="23"/>
      <c r="AO1404" s="23"/>
      <c r="AP1404" s="23"/>
      <c r="AQ1404" s="23"/>
      <c r="AR1404" s="23"/>
      <c r="AS1404" s="23"/>
      <c r="AT1404" s="23"/>
      <c r="AU1404" s="23"/>
      <c r="AV1404" s="23"/>
      <c r="AW1404" s="23"/>
      <c r="AX1404" s="23"/>
      <c r="AY1404" s="23"/>
      <c r="AZ1404" s="23"/>
      <c r="BA1404" s="23"/>
      <c r="BB1404" s="23"/>
    </row>
    <row r="1405" spans="5:54" x14ac:dyDescent="0.35"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  <c r="AA1405" s="23"/>
      <c r="AB1405" s="23"/>
      <c r="AC1405" s="23"/>
      <c r="AD1405" s="23"/>
      <c r="AE1405" s="23"/>
      <c r="AF1405" s="23"/>
      <c r="AG1405" s="23"/>
      <c r="AH1405" s="23"/>
      <c r="AI1405" s="23"/>
      <c r="AJ1405" s="23"/>
      <c r="AK1405" s="23"/>
      <c r="AL1405" s="23"/>
      <c r="AM1405" s="23"/>
      <c r="AN1405" s="23"/>
      <c r="AO1405" s="23"/>
      <c r="AP1405" s="23"/>
      <c r="AQ1405" s="23"/>
      <c r="AR1405" s="23"/>
      <c r="AS1405" s="23"/>
      <c r="AT1405" s="23"/>
      <c r="AU1405" s="23"/>
      <c r="AV1405" s="23"/>
      <c r="AW1405" s="23"/>
      <c r="AX1405" s="23"/>
      <c r="AY1405" s="23"/>
      <c r="AZ1405" s="23"/>
      <c r="BA1405" s="23"/>
      <c r="BB1405" s="23"/>
    </row>
    <row r="1406" spans="5:54" x14ac:dyDescent="0.35"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  <c r="AA1406" s="23"/>
      <c r="AB1406" s="23"/>
      <c r="AC1406" s="23"/>
      <c r="AD1406" s="23"/>
      <c r="AE1406" s="23"/>
      <c r="AF1406" s="23"/>
      <c r="AG1406" s="23"/>
      <c r="AH1406" s="23"/>
      <c r="AI1406" s="23"/>
      <c r="AJ1406" s="23"/>
      <c r="AK1406" s="23"/>
      <c r="AL1406" s="23"/>
      <c r="AM1406" s="23"/>
      <c r="AN1406" s="23"/>
      <c r="AO1406" s="23"/>
      <c r="AP1406" s="23"/>
      <c r="AQ1406" s="23"/>
      <c r="AR1406" s="23"/>
      <c r="AS1406" s="23"/>
      <c r="AT1406" s="23"/>
      <c r="AU1406" s="23"/>
      <c r="AV1406" s="23"/>
      <c r="AW1406" s="23"/>
      <c r="AX1406" s="23"/>
      <c r="AY1406" s="23"/>
      <c r="AZ1406" s="23"/>
      <c r="BA1406" s="23"/>
      <c r="BB1406" s="23"/>
    </row>
    <row r="1407" spans="5:54" x14ac:dyDescent="0.35"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  <c r="AA1407" s="23"/>
      <c r="AB1407" s="23"/>
      <c r="AC1407" s="23"/>
      <c r="AD1407" s="23"/>
      <c r="AE1407" s="23"/>
      <c r="AF1407" s="23"/>
      <c r="AG1407" s="23"/>
      <c r="AH1407" s="23"/>
      <c r="AI1407" s="23"/>
      <c r="AJ1407" s="23"/>
      <c r="AK1407" s="23"/>
      <c r="AL1407" s="23"/>
      <c r="AM1407" s="23"/>
      <c r="AN1407" s="23"/>
      <c r="AO1407" s="23"/>
      <c r="AP1407" s="23"/>
      <c r="AQ1407" s="23"/>
      <c r="AR1407" s="23"/>
      <c r="AS1407" s="23"/>
      <c r="AT1407" s="23"/>
      <c r="AU1407" s="23"/>
      <c r="AV1407" s="23"/>
      <c r="AW1407" s="23"/>
      <c r="AX1407" s="23"/>
      <c r="AY1407" s="23"/>
      <c r="AZ1407" s="23"/>
      <c r="BA1407" s="23"/>
      <c r="BB1407" s="23"/>
    </row>
    <row r="1408" spans="5:54" x14ac:dyDescent="0.35"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  <c r="AA1408" s="23"/>
      <c r="AB1408" s="23"/>
      <c r="AC1408" s="23"/>
      <c r="AD1408" s="23"/>
      <c r="AE1408" s="23"/>
      <c r="AF1408" s="23"/>
      <c r="AG1408" s="23"/>
      <c r="AH1408" s="23"/>
      <c r="AI1408" s="23"/>
      <c r="AJ1408" s="23"/>
      <c r="AK1408" s="23"/>
      <c r="AL1408" s="23"/>
      <c r="AM1408" s="23"/>
      <c r="AN1408" s="23"/>
      <c r="AO1408" s="23"/>
      <c r="AP1408" s="23"/>
      <c r="AQ1408" s="23"/>
      <c r="AR1408" s="23"/>
      <c r="AS1408" s="23"/>
      <c r="AT1408" s="23"/>
      <c r="AU1408" s="23"/>
      <c r="AV1408" s="23"/>
      <c r="AW1408" s="23"/>
      <c r="AX1408" s="23"/>
      <c r="AY1408" s="23"/>
      <c r="AZ1408" s="23"/>
      <c r="BA1408" s="23"/>
      <c r="BB1408" s="23"/>
    </row>
    <row r="1409" spans="5:54" x14ac:dyDescent="0.35"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  <c r="AA1409" s="23"/>
      <c r="AB1409" s="23"/>
      <c r="AC1409" s="23"/>
      <c r="AD1409" s="23"/>
      <c r="AE1409" s="23"/>
      <c r="AF1409" s="23"/>
      <c r="AG1409" s="23"/>
      <c r="AH1409" s="23"/>
      <c r="AI1409" s="23"/>
      <c r="AJ1409" s="23"/>
      <c r="AK1409" s="23"/>
      <c r="AL1409" s="23"/>
      <c r="AM1409" s="23"/>
      <c r="AN1409" s="23"/>
      <c r="AO1409" s="23"/>
      <c r="AP1409" s="23"/>
      <c r="AQ1409" s="23"/>
      <c r="AR1409" s="23"/>
      <c r="AS1409" s="23"/>
      <c r="AT1409" s="23"/>
      <c r="AU1409" s="23"/>
      <c r="AV1409" s="23"/>
      <c r="AW1409" s="23"/>
      <c r="AX1409" s="23"/>
      <c r="AY1409" s="23"/>
      <c r="AZ1409" s="23"/>
      <c r="BA1409" s="23"/>
      <c r="BB1409" s="23"/>
    </row>
    <row r="1410" spans="5:54" x14ac:dyDescent="0.35"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  <c r="AA1410" s="23"/>
      <c r="AB1410" s="23"/>
      <c r="AC1410" s="23"/>
      <c r="AD1410" s="23"/>
      <c r="AE1410" s="23"/>
      <c r="AF1410" s="23"/>
      <c r="AG1410" s="23"/>
      <c r="AH1410" s="23"/>
      <c r="AI1410" s="23"/>
      <c r="AJ1410" s="23"/>
      <c r="AK1410" s="23"/>
      <c r="AL1410" s="23"/>
      <c r="AM1410" s="23"/>
      <c r="AN1410" s="23"/>
      <c r="AO1410" s="23"/>
      <c r="AP1410" s="23"/>
      <c r="AQ1410" s="23"/>
      <c r="AR1410" s="23"/>
      <c r="AS1410" s="23"/>
      <c r="AT1410" s="23"/>
      <c r="AU1410" s="23"/>
      <c r="AV1410" s="23"/>
      <c r="AW1410" s="23"/>
      <c r="AX1410" s="23"/>
      <c r="AY1410" s="23"/>
      <c r="AZ1410" s="23"/>
      <c r="BA1410" s="23"/>
      <c r="BB1410" s="23"/>
    </row>
    <row r="1411" spans="5:54" x14ac:dyDescent="0.35"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  <c r="AA1411" s="23"/>
      <c r="AB1411" s="23"/>
      <c r="AC1411" s="23"/>
      <c r="AD1411" s="23"/>
      <c r="AE1411" s="23"/>
      <c r="AF1411" s="23"/>
      <c r="AG1411" s="23"/>
      <c r="AH1411" s="23"/>
      <c r="AI1411" s="23"/>
      <c r="AJ1411" s="23"/>
      <c r="AK1411" s="23"/>
      <c r="AL1411" s="23"/>
      <c r="AM1411" s="23"/>
      <c r="AN1411" s="23"/>
      <c r="AO1411" s="23"/>
      <c r="AP1411" s="23"/>
      <c r="AQ1411" s="23"/>
      <c r="AR1411" s="23"/>
      <c r="AS1411" s="23"/>
      <c r="AT1411" s="23"/>
      <c r="AU1411" s="23"/>
      <c r="AV1411" s="23"/>
      <c r="AW1411" s="23"/>
      <c r="AX1411" s="23"/>
      <c r="AY1411" s="23"/>
      <c r="AZ1411" s="23"/>
      <c r="BA1411" s="23"/>
      <c r="BB1411" s="23"/>
    </row>
    <row r="1412" spans="5:54" x14ac:dyDescent="0.35"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  <c r="AA1412" s="23"/>
      <c r="AB1412" s="23"/>
      <c r="AC1412" s="23"/>
      <c r="AD1412" s="23"/>
      <c r="AE1412" s="23"/>
      <c r="AF1412" s="23"/>
      <c r="AG1412" s="23"/>
      <c r="AH1412" s="23"/>
      <c r="AI1412" s="23"/>
      <c r="AJ1412" s="23"/>
      <c r="AK1412" s="23"/>
      <c r="AL1412" s="23"/>
      <c r="AM1412" s="23"/>
      <c r="AN1412" s="23"/>
      <c r="AO1412" s="23"/>
      <c r="AP1412" s="23"/>
      <c r="AQ1412" s="23"/>
      <c r="AR1412" s="23"/>
      <c r="AS1412" s="23"/>
      <c r="AT1412" s="23"/>
      <c r="AU1412" s="23"/>
      <c r="AV1412" s="23"/>
      <c r="AW1412" s="23"/>
      <c r="AX1412" s="23"/>
      <c r="AY1412" s="23"/>
      <c r="AZ1412" s="23"/>
      <c r="BA1412" s="23"/>
      <c r="BB1412" s="23"/>
    </row>
    <row r="1413" spans="5:54" x14ac:dyDescent="0.35"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  <c r="AA1413" s="23"/>
      <c r="AB1413" s="23"/>
      <c r="AC1413" s="23"/>
      <c r="AD1413" s="23"/>
      <c r="AE1413" s="23"/>
      <c r="AF1413" s="23"/>
      <c r="AG1413" s="23"/>
      <c r="AH1413" s="23"/>
      <c r="AI1413" s="23"/>
      <c r="AJ1413" s="23"/>
      <c r="AK1413" s="23"/>
      <c r="AL1413" s="23"/>
      <c r="AM1413" s="23"/>
      <c r="AN1413" s="23"/>
      <c r="AO1413" s="23"/>
      <c r="AP1413" s="23"/>
      <c r="AQ1413" s="23"/>
      <c r="AR1413" s="23"/>
      <c r="AS1413" s="23"/>
      <c r="AT1413" s="23"/>
      <c r="AU1413" s="23"/>
      <c r="AV1413" s="23"/>
      <c r="AW1413" s="23"/>
      <c r="AX1413" s="23"/>
      <c r="AY1413" s="23"/>
      <c r="AZ1413" s="23"/>
      <c r="BA1413" s="23"/>
      <c r="BB1413" s="23"/>
    </row>
    <row r="1414" spans="5:54" x14ac:dyDescent="0.35"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  <c r="AA1414" s="23"/>
      <c r="AB1414" s="23"/>
      <c r="AC1414" s="23"/>
      <c r="AD1414" s="23"/>
      <c r="AE1414" s="23"/>
      <c r="AF1414" s="23"/>
      <c r="AG1414" s="23"/>
      <c r="AH1414" s="23"/>
      <c r="AI1414" s="23"/>
      <c r="AJ1414" s="23"/>
      <c r="AK1414" s="23"/>
      <c r="AL1414" s="23"/>
      <c r="AM1414" s="23"/>
      <c r="AN1414" s="23"/>
      <c r="AO1414" s="23"/>
      <c r="AP1414" s="23"/>
      <c r="AQ1414" s="23"/>
      <c r="AR1414" s="23"/>
      <c r="AS1414" s="23"/>
      <c r="AT1414" s="23"/>
      <c r="AU1414" s="23"/>
      <c r="AV1414" s="23"/>
      <c r="AW1414" s="23"/>
      <c r="AX1414" s="23"/>
      <c r="AY1414" s="23"/>
      <c r="AZ1414" s="23"/>
      <c r="BA1414" s="23"/>
      <c r="BB1414" s="23"/>
    </row>
    <row r="1415" spans="5:54" x14ac:dyDescent="0.35"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  <c r="AA1415" s="23"/>
      <c r="AB1415" s="23"/>
      <c r="AC1415" s="23"/>
      <c r="AD1415" s="23"/>
      <c r="AE1415" s="23"/>
      <c r="AF1415" s="23"/>
      <c r="AG1415" s="23"/>
      <c r="AH1415" s="23"/>
      <c r="AI1415" s="23"/>
      <c r="AJ1415" s="23"/>
      <c r="AK1415" s="23"/>
      <c r="AL1415" s="23"/>
      <c r="AM1415" s="23"/>
      <c r="AN1415" s="23"/>
      <c r="AO1415" s="23"/>
      <c r="AP1415" s="23"/>
      <c r="AQ1415" s="23"/>
      <c r="AR1415" s="23"/>
      <c r="AS1415" s="23"/>
      <c r="AT1415" s="23"/>
      <c r="AU1415" s="23"/>
      <c r="AV1415" s="23"/>
      <c r="AW1415" s="23"/>
      <c r="AX1415" s="23"/>
      <c r="AY1415" s="23"/>
      <c r="AZ1415" s="23"/>
      <c r="BA1415" s="23"/>
      <c r="BB1415" s="23"/>
    </row>
    <row r="1416" spans="5:54" x14ac:dyDescent="0.35"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  <c r="AA1416" s="23"/>
      <c r="AB1416" s="23"/>
      <c r="AC1416" s="23"/>
      <c r="AD1416" s="23"/>
      <c r="AE1416" s="23"/>
      <c r="AF1416" s="23"/>
      <c r="AG1416" s="23"/>
      <c r="AH1416" s="23"/>
      <c r="AI1416" s="23"/>
      <c r="AJ1416" s="23"/>
      <c r="AK1416" s="23"/>
      <c r="AL1416" s="23"/>
      <c r="AM1416" s="23"/>
      <c r="AN1416" s="23"/>
      <c r="AO1416" s="23"/>
      <c r="AP1416" s="23"/>
      <c r="AQ1416" s="23"/>
      <c r="AR1416" s="23"/>
      <c r="AS1416" s="23"/>
      <c r="AT1416" s="23"/>
      <c r="AU1416" s="23"/>
      <c r="AV1416" s="23"/>
      <c r="AW1416" s="23"/>
      <c r="AX1416" s="23"/>
      <c r="AY1416" s="23"/>
      <c r="AZ1416" s="23"/>
      <c r="BA1416" s="23"/>
      <c r="BB1416" s="23"/>
    </row>
    <row r="1417" spans="5:54" x14ac:dyDescent="0.35"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  <c r="AA1417" s="23"/>
      <c r="AB1417" s="23"/>
      <c r="AC1417" s="23"/>
      <c r="AD1417" s="23"/>
      <c r="AE1417" s="23"/>
      <c r="AF1417" s="23"/>
      <c r="AG1417" s="23"/>
      <c r="AH1417" s="23"/>
      <c r="AI1417" s="23"/>
      <c r="AJ1417" s="23"/>
      <c r="AK1417" s="23"/>
      <c r="AL1417" s="23"/>
      <c r="AM1417" s="23"/>
      <c r="AN1417" s="23"/>
      <c r="AO1417" s="23"/>
      <c r="AP1417" s="23"/>
      <c r="AQ1417" s="23"/>
      <c r="AR1417" s="23"/>
      <c r="AS1417" s="23"/>
      <c r="AT1417" s="23"/>
      <c r="AU1417" s="23"/>
      <c r="AV1417" s="23"/>
      <c r="AW1417" s="23"/>
      <c r="AX1417" s="23"/>
      <c r="AY1417" s="23"/>
      <c r="AZ1417" s="23"/>
      <c r="BA1417" s="23"/>
      <c r="BB1417" s="23"/>
    </row>
    <row r="1418" spans="5:54" x14ac:dyDescent="0.35"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  <c r="AA1418" s="23"/>
      <c r="AB1418" s="23"/>
      <c r="AC1418" s="23"/>
      <c r="AD1418" s="23"/>
      <c r="AE1418" s="23"/>
      <c r="AF1418" s="23"/>
      <c r="AG1418" s="23"/>
      <c r="AH1418" s="23"/>
      <c r="AI1418" s="23"/>
      <c r="AJ1418" s="23"/>
      <c r="AK1418" s="23"/>
      <c r="AL1418" s="23"/>
      <c r="AM1418" s="23"/>
      <c r="AN1418" s="23"/>
      <c r="AO1418" s="23"/>
      <c r="AP1418" s="23"/>
      <c r="AQ1418" s="23"/>
      <c r="AR1418" s="23"/>
      <c r="AS1418" s="23"/>
      <c r="AT1418" s="23"/>
      <c r="AU1418" s="23"/>
      <c r="AV1418" s="23"/>
      <c r="AW1418" s="23"/>
      <c r="AX1418" s="23"/>
      <c r="AY1418" s="23"/>
      <c r="AZ1418" s="23"/>
      <c r="BA1418" s="23"/>
      <c r="BB1418" s="23"/>
    </row>
    <row r="1419" spans="5:54" x14ac:dyDescent="0.35"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  <c r="AA1419" s="23"/>
      <c r="AB1419" s="23"/>
      <c r="AC1419" s="23"/>
      <c r="AD1419" s="23"/>
      <c r="AE1419" s="23"/>
      <c r="AF1419" s="23"/>
      <c r="AG1419" s="23"/>
      <c r="AH1419" s="23"/>
      <c r="AI1419" s="23"/>
      <c r="AJ1419" s="23"/>
      <c r="AK1419" s="23"/>
      <c r="AL1419" s="23"/>
      <c r="AM1419" s="23"/>
      <c r="AN1419" s="23"/>
      <c r="AO1419" s="23"/>
      <c r="AP1419" s="23"/>
      <c r="AQ1419" s="23"/>
      <c r="AR1419" s="23"/>
      <c r="AS1419" s="23"/>
      <c r="AT1419" s="23"/>
      <c r="AU1419" s="23"/>
      <c r="AV1419" s="23"/>
      <c r="AW1419" s="23"/>
      <c r="AX1419" s="23"/>
      <c r="AY1419" s="23"/>
      <c r="AZ1419" s="23"/>
      <c r="BA1419" s="23"/>
      <c r="BB1419" s="23"/>
    </row>
    <row r="1420" spans="5:54" x14ac:dyDescent="0.35"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  <c r="AA1420" s="23"/>
      <c r="AB1420" s="23"/>
      <c r="AC1420" s="23"/>
      <c r="AD1420" s="23"/>
      <c r="AE1420" s="23"/>
      <c r="AF1420" s="23"/>
      <c r="AG1420" s="23"/>
      <c r="AH1420" s="23"/>
      <c r="AI1420" s="23"/>
      <c r="AJ1420" s="23"/>
      <c r="AK1420" s="23"/>
      <c r="AL1420" s="23"/>
      <c r="AM1420" s="23"/>
      <c r="AN1420" s="23"/>
      <c r="AO1420" s="23"/>
      <c r="AP1420" s="23"/>
      <c r="AQ1420" s="23"/>
      <c r="AR1420" s="23"/>
      <c r="AS1420" s="23"/>
      <c r="AT1420" s="23"/>
      <c r="AU1420" s="23"/>
      <c r="AV1420" s="23"/>
      <c r="AW1420" s="23"/>
      <c r="AX1420" s="23"/>
      <c r="AY1420" s="23"/>
      <c r="AZ1420" s="23"/>
      <c r="BA1420" s="23"/>
      <c r="BB1420" s="23"/>
    </row>
    <row r="1421" spans="5:54" x14ac:dyDescent="0.35"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  <c r="AA1421" s="23"/>
      <c r="AB1421" s="23"/>
      <c r="AC1421" s="23"/>
      <c r="AD1421" s="23"/>
      <c r="AE1421" s="23"/>
      <c r="AF1421" s="23"/>
      <c r="AG1421" s="23"/>
      <c r="AH1421" s="23"/>
      <c r="AI1421" s="23"/>
      <c r="AJ1421" s="23"/>
      <c r="AK1421" s="23"/>
      <c r="AL1421" s="23"/>
      <c r="AM1421" s="23"/>
      <c r="AN1421" s="23"/>
      <c r="AO1421" s="23"/>
      <c r="AP1421" s="23"/>
      <c r="AQ1421" s="23"/>
      <c r="AR1421" s="23"/>
      <c r="AS1421" s="23"/>
      <c r="AT1421" s="23"/>
      <c r="AU1421" s="23"/>
      <c r="AV1421" s="23"/>
      <c r="AW1421" s="23"/>
      <c r="AX1421" s="23"/>
      <c r="AY1421" s="23"/>
      <c r="AZ1421" s="23"/>
      <c r="BA1421" s="23"/>
      <c r="BB1421" s="23"/>
    </row>
    <row r="1422" spans="5:54" x14ac:dyDescent="0.35"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  <c r="AA1422" s="23"/>
      <c r="AB1422" s="23"/>
      <c r="AC1422" s="23"/>
      <c r="AD1422" s="23"/>
      <c r="AE1422" s="23"/>
      <c r="AF1422" s="23"/>
      <c r="AG1422" s="23"/>
      <c r="AH1422" s="23"/>
      <c r="AI1422" s="23"/>
      <c r="AJ1422" s="23"/>
      <c r="AK1422" s="23"/>
      <c r="AL1422" s="23"/>
      <c r="AM1422" s="23"/>
      <c r="AN1422" s="23"/>
      <c r="AO1422" s="23"/>
      <c r="AP1422" s="23"/>
      <c r="AQ1422" s="23"/>
      <c r="AR1422" s="23"/>
      <c r="AS1422" s="23"/>
      <c r="AT1422" s="23"/>
      <c r="AU1422" s="23"/>
      <c r="AV1422" s="23"/>
      <c r="AW1422" s="23"/>
      <c r="AX1422" s="23"/>
      <c r="AY1422" s="23"/>
      <c r="AZ1422" s="23"/>
      <c r="BA1422" s="23"/>
      <c r="BB1422" s="23"/>
    </row>
    <row r="1423" spans="5:54" x14ac:dyDescent="0.35"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  <c r="AA1423" s="23"/>
      <c r="AB1423" s="23"/>
      <c r="AC1423" s="23"/>
      <c r="AD1423" s="23"/>
      <c r="AE1423" s="23"/>
      <c r="AF1423" s="23"/>
      <c r="AG1423" s="23"/>
      <c r="AH1423" s="23"/>
      <c r="AI1423" s="23"/>
      <c r="AJ1423" s="23"/>
      <c r="AK1423" s="23"/>
      <c r="AL1423" s="23"/>
      <c r="AM1423" s="23"/>
      <c r="AN1423" s="23"/>
      <c r="AO1423" s="23"/>
      <c r="AP1423" s="23"/>
      <c r="AQ1423" s="23"/>
      <c r="AR1423" s="23"/>
      <c r="AS1423" s="23"/>
      <c r="AT1423" s="23"/>
      <c r="AU1423" s="23"/>
      <c r="AV1423" s="23"/>
      <c r="AW1423" s="23"/>
      <c r="AX1423" s="23"/>
      <c r="AY1423" s="23"/>
      <c r="AZ1423" s="23"/>
      <c r="BA1423" s="23"/>
      <c r="BB1423" s="23"/>
    </row>
    <row r="1424" spans="5:54" x14ac:dyDescent="0.35"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  <c r="AA1424" s="23"/>
      <c r="AB1424" s="23"/>
      <c r="AC1424" s="23"/>
      <c r="AD1424" s="23"/>
      <c r="AE1424" s="23"/>
      <c r="AF1424" s="23"/>
      <c r="AG1424" s="23"/>
      <c r="AH1424" s="23"/>
      <c r="AI1424" s="23"/>
      <c r="AJ1424" s="23"/>
      <c r="AK1424" s="23"/>
      <c r="AL1424" s="23"/>
      <c r="AM1424" s="23"/>
      <c r="AN1424" s="23"/>
      <c r="AO1424" s="23"/>
      <c r="AP1424" s="23"/>
      <c r="AQ1424" s="23"/>
      <c r="AR1424" s="23"/>
      <c r="AS1424" s="23"/>
      <c r="AT1424" s="23"/>
      <c r="AU1424" s="23"/>
      <c r="AV1424" s="23"/>
      <c r="AW1424" s="23"/>
      <c r="AX1424" s="23"/>
      <c r="AY1424" s="23"/>
      <c r="AZ1424" s="23"/>
      <c r="BA1424" s="23"/>
      <c r="BB1424" s="23"/>
    </row>
    <row r="1425" spans="5:54" x14ac:dyDescent="0.35"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  <c r="AA1425" s="23"/>
      <c r="AB1425" s="23"/>
      <c r="AC1425" s="23"/>
      <c r="AD1425" s="23"/>
      <c r="AE1425" s="23"/>
      <c r="AF1425" s="23"/>
      <c r="AG1425" s="23"/>
      <c r="AH1425" s="23"/>
      <c r="AI1425" s="23"/>
      <c r="AJ1425" s="23"/>
      <c r="AK1425" s="23"/>
      <c r="AL1425" s="23"/>
      <c r="AM1425" s="23"/>
      <c r="AN1425" s="23"/>
      <c r="AO1425" s="23"/>
      <c r="AP1425" s="23"/>
      <c r="AQ1425" s="23"/>
      <c r="AR1425" s="23"/>
      <c r="AS1425" s="23"/>
      <c r="AT1425" s="23"/>
      <c r="AU1425" s="23"/>
      <c r="AV1425" s="23"/>
      <c r="AW1425" s="23"/>
      <c r="AX1425" s="23"/>
      <c r="AY1425" s="23"/>
      <c r="AZ1425" s="23"/>
      <c r="BA1425" s="23"/>
      <c r="BB1425" s="23"/>
    </row>
    <row r="1426" spans="5:54" x14ac:dyDescent="0.35"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  <c r="AA1426" s="23"/>
      <c r="AB1426" s="23"/>
      <c r="AC1426" s="23"/>
      <c r="AD1426" s="23"/>
      <c r="AE1426" s="23"/>
      <c r="AF1426" s="23"/>
      <c r="AG1426" s="23"/>
      <c r="AH1426" s="23"/>
      <c r="AI1426" s="23"/>
      <c r="AJ1426" s="23"/>
      <c r="AK1426" s="23"/>
      <c r="AL1426" s="23"/>
      <c r="AM1426" s="23"/>
      <c r="AN1426" s="23"/>
      <c r="AO1426" s="23"/>
      <c r="AP1426" s="23"/>
      <c r="AQ1426" s="23"/>
      <c r="AR1426" s="23"/>
      <c r="AS1426" s="23"/>
      <c r="AT1426" s="23"/>
      <c r="AU1426" s="23"/>
      <c r="AV1426" s="23"/>
      <c r="AW1426" s="23"/>
      <c r="AX1426" s="23"/>
      <c r="AY1426" s="23"/>
      <c r="AZ1426" s="23"/>
      <c r="BA1426" s="23"/>
      <c r="BB1426" s="23"/>
    </row>
    <row r="1427" spans="5:54" x14ac:dyDescent="0.35"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  <c r="AA1427" s="23"/>
      <c r="AB1427" s="23"/>
      <c r="AC1427" s="23"/>
      <c r="AD1427" s="23"/>
      <c r="AE1427" s="23"/>
      <c r="AF1427" s="23"/>
      <c r="AG1427" s="23"/>
      <c r="AH1427" s="23"/>
      <c r="AI1427" s="23"/>
      <c r="AJ1427" s="23"/>
      <c r="AK1427" s="23"/>
      <c r="AL1427" s="23"/>
      <c r="AM1427" s="23"/>
      <c r="AN1427" s="23"/>
      <c r="AO1427" s="23"/>
      <c r="AP1427" s="23"/>
      <c r="AQ1427" s="23"/>
      <c r="AR1427" s="23"/>
      <c r="AS1427" s="23"/>
      <c r="AT1427" s="23"/>
      <c r="AU1427" s="23"/>
      <c r="AV1427" s="23"/>
      <c r="AW1427" s="23"/>
      <c r="AX1427" s="23"/>
      <c r="AY1427" s="23"/>
      <c r="AZ1427" s="23"/>
      <c r="BA1427" s="23"/>
      <c r="BB1427" s="23"/>
    </row>
    <row r="1428" spans="5:54" x14ac:dyDescent="0.35"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  <c r="AA1428" s="23"/>
      <c r="AB1428" s="23"/>
      <c r="AC1428" s="23"/>
      <c r="AD1428" s="23"/>
      <c r="AE1428" s="23"/>
      <c r="AF1428" s="23"/>
      <c r="AG1428" s="23"/>
      <c r="AH1428" s="23"/>
      <c r="AI1428" s="23"/>
      <c r="AJ1428" s="23"/>
      <c r="AK1428" s="23"/>
      <c r="AL1428" s="23"/>
      <c r="AM1428" s="23"/>
      <c r="AN1428" s="23"/>
      <c r="AO1428" s="23"/>
      <c r="AP1428" s="23"/>
      <c r="AQ1428" s="23"/>
      <c r="AR1428" s="23"/>
      <c r="AS1428" s="23"/>
      <c r="AT1428" s="23"/>
      <c r="AU1428" s="23"/>
      <c r="AV1428" s="23"/>
      <c r="AW1428" s="23"/>
      <c r="AX1428" s="23"/>
      <c r="AY1428" s="23"/>
      <c r="AZ1428" s="23"/>
      <c r="BA1428" s="23"/>
      <c r="BB1428" s="23"/>
    </row>
    <row r="1429" spans="5:54" x14ac:dyDescent="0.35"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  <c r="AA1429" s="23"/>
      <c r="AB1429" s="23"/>
      <c r="AC1429" s="23"/>
      <c r="AD1429" s="23"/>
      <c r="AE1429" s="23"/>
      <c r="AF1429" s="23"/>
      <c r="AG1429" s="23"/>
      <c r="AH1429" s="23"/>
      <c r="AI1429" s="23"/>
      <c r="AJ1429" s="23"/>
      <c r="AK1429" s="23"/>
      <c r="AL1429" s="23"/>
      <c r="AM1429" s="23"/>
      <c r="AN1429" s="23"/>
      <c r="AO1429" s="23"/>
      <c r="AP1429" s="23"/>
      <c r="AQ1429" s="23"/>
      <c r="AR1429" s="23"/>
      <c r="AS1429" s="23"/>
      <c r="AT1429" s="23"/>
      <c r="AU1429" s="23"/>
      <c r="AV1429" s="23"/>
      <c r="AW1429" s="23"/>
      <c r="AX1429" s="23"/>
      <c r="AY1429" s="23"/>
      <c r="AZ1429" s="23"/>
      <c r="BA1429" s="23"/>
      <c r="BB1429" s="23"/>
    </row>
    <row r="1430" spans="5:54" x14ac:dyDescent="0.35"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  <c r="AA1430" s="23"/>
      <c r="AB1430" s="23"/>
      <c r="AC1430" s="23"/>
      <c r="AD1430" s="23"/>
      <c r="AE1430" s="23"/>
      <c r="AF1430" s="23"/>
      <c r="AG1430" s="23"/>
      <c r="AH1430" s="23"/>
      <c r="AI1430" s="23"/>
      <c r="AJ1430" s="23"/>
      <c r="AK1430" s="23"/>
      <c r="AL1430" s="23"/>
      <c r="AM1430" s="23"/>
      <c r="AN1430" s="23"/>
      <c r="AO1430" s="23"/>
      <c r="AP1430" s="23"/>
      <c r="AQ1430" s="23"/>
      <c r="AR1430" s="23"/>
      <c r="AS1430" s="23"/>
      <c r="AT1430" s="23"/>
      <c r="AU1430" s="23"/>
      <c r="AV1430" s="23"/>
      <c r="AW1430" s="23"/>
      <c r="AX1430" s="23"/>
      <c r="AY1430" s="23"/>
      <c r="AZ1430" s="23"/>
      <c r="BA1430" s="23"/>
      <c r="BB1430" s="23"/>
    </row>
    <row r="1431" spans="5:54" x14ac:dyDescent="0.35"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  <c r="AA1431" s="23"/>
      <c r="AB1431" s="23"/>
      <c r="AC1431" s="23"/>
      <c r="AD1431" s="23"/>
      <c r="AE1431" s="23"/>
      <c r="AF1431" s="23"/>
      <c r="AG1431" s="23"/>
      <c r="AH1431" s="23"/>
      <c r="AI1431" s="23"/>
      <c r="AJ1431" s="23"/>
      <c r="AK1431" s="23"/>
      <c r="AL1431" s="23"/>
      <c r="AM1431" s="23"/>
      <c r="AN1431" s="23"/>
      <c r="AO1431" s="23"/>
      <c r="AP1431" s="23"/>
      <c r="AQ1431" s="23"/>
      <c r="AR1431" s="23"/>
      <c r="AS1431" s="23"/>
      <c r="AT1431" s="23"/>
      <c r="AU1431" s="23"/>
      <c r="AV1431" s="23"/>
      <c r="AW1431" s="23"/>
      <c r="AX1431" s="23"/>
      <c r="AY1431" s="23"/>
      <c r="AZ1431" s="23"/>
      <c r="BA1431" s="23"/>
      <c r="BB1431" s="23"/>
    </row>
    <row r="1432" spans="5:54" x14ac:dyDescent="0.35"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  <c r="AA1432" s="23"/>
      <c r="AB1432" s="23"/>
      <c r="AC1432" s="23"/>
      <c r="AD1432" s="23"/>
      <c r="AE1432" s="23"/>
      <c r="AF1432" s="23"/>
      <c r="AG1432" s="23"/>
      <c r="AH1432" s="23"/>
      <c r="AI1432" s="23"/>
      <c r="AJ1432" s="23"/>
      <c r="AK1432" s="23"/>
      <c r="AL1432" s="23"/>
      <c r="AM1432" s="23"/>
      <c r="AN1432" s="23"/>
      <c r="AO1432" s="23"/>
      <c r="AP1432" s="23"/>
      <c r="AQ1432" s="23"/>
      <c r="AR1432" s="23"/>
      <c r="AS1432" s="23"/>
      <c r="AT1432" s="23"/>
      <c r="AU1432" s="23"/>
      <c r="AV1432" s="23"/>
      <c r="AW1432" s="23"/>
      <c r="AX1432" s="23"/>
      <c r="AY1432" s="23"/>
      <c r="AZ1432" s="23"/>
      <c r="BA1432" s="23"/>
      <c r="BB1432" s="23"/>
    </row>
    <row r="1433" spans="5:54" x14ac:dyDescent="0.35"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  <c r="AA1433" s="23"/>
      <c r="AB1433" s="23"/>
      <c r="AC1433" s="23"/>
      <c r="AD1433" s="23"/>
      <c r="AE1433" s="23"/>
      <c r="AF1433" s="23"/>
      <c r="AG1433" s="23"/>
      <c r="AH1433" s="23"/>
      <c r="AI1433" s="23"/>
      <c r="AJ1433" s="23"/>
      <c r="AK1433" s="23"/>
      <c r="AL1433" s="23"/>
      <c r="AM1433" s="23"/>
      <c r="AN1433" s="23"/>
      <c r="AO1433" s="23"/>
      <c r="AP1433" s="23"/>
      <c r="AQ1433" s="23"/>
      <c r="AR1433" s="23"/>
      <c r="AS1433" s="23"/>
      <c r="AT1433" s="23"/>
      <c r="AU1433" s="23"/>
      <c r="AV1433" s="23"/>
      <c r="AW1433" s="23"/>
      <c r="AX1433" s="23"/>
      <c r="AY1433" s="23"/>
      <c r="AZ1433" s="23"/>
      <c r="BA1433" s="23"/>
      <c r="BB1433" s="23"/>
    </row>
    <row r="1434" spans="5:54" x14ac:dyDescent="0.35"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  <c r="AA1434" s="23"/>
      <c r="AB1434" s="23"/>
      <c r="AC1434" s="23"/>
      <c r="AD1434" s="23"/>
      <c r="AE1434" s="23"/>
      <c r="AF1434" s="23"/>
      <c r="AG1434" s="23"/>
      <c r="AH1434" s="23"/>
      <c r="AI1434" s="23"/>
      <c r="AJ1434" s="23"/>
      <c r="AK1434" s="23"/>
      <c r="AL1434" s="23"/>
      <c r="AM1434" s="23"/>
      <c r="AN1434" s="23"/>
      <c r="AO1434" s="23"/>
      <c r="AP1434" s="23"/>
      <c r="AQ1434" s="23"/>
      <c r="AR1434" s="23"/>
      <c r="AS1434" s="23"/>
      <c r="AT1434" s="23"/>
      <c r="AU1434" s="23"/>
      <c r="AV1434" s="23"/>
      <c r="AW1434" s="23"/>
      <c r="AX1434" s="23"/>
      <c r="AY1434" s="23"/>
      <c r="AZ1434" s="23"/>
      <c r="BA1434" s="23"/>
      <c r="BB1434" s="23"/>
    </row>
    <row r="1435" spans="5:54" x14ac:dyDescent="0.35"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  <c r="AA1435" s="23"/>
      <c r="AB1435" s="23"/>
      <c r="AC1435" s="23"/>
      <c r="AD1435" s="23"/>
      <c r="AE1435" s="23"/>
      <c r="AF1435" s="23"/>
      <c r="AG1435" s="23"/>
      <c r="AH1435" s="23"/>
      <c r="AI1435" s="23"/>
      <c r="AJ1435" s="23"/>
      <c r="AK1435" s="23"/>
      <c r="AL1435" s="23"/>
      <c r="AM1435" s="23"/>
      <c r="AN1435" s="23"/>
      <c r="AO1435" s="23"/>
      <c r="AP1435" s="23"/>
      <c r="AQ1435" s="23"/>
      <c r="AR1435" s="23"/>
      <c r="AS1435" s="23"/>
      <c r="AT1435" s="23"/>
      <c r="AU1435" s="23"/>
      <c r="AV1435" s="23"/>
      <c r="AW1435" s="23"/>
      <c r="AX1435" s="23"/>
      <c r="AY1435" s="23"/>
      <c r="AZ1435" s="23"/>
      <c r="BA1435" s="23"/>
      <c r="BB1435" s="23"/>
    </row>
    <row r="1436" spans="5:54" x14ac:dyDescent="0.35"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  <c r="AA1436" s="23"/>
      <c r="AB1436" s="23"/>
      <c r="AC1436" s="23"/>
      <c r="AD1436" s="23"/>
      <c r="AE1436" s="23"/>
      <c r="AF1436" s="23"/>
      <c r="AG1436" s="23"/>
      <c r="AH1436" s="23"/>
      <c r="AI1436" s="23"/>
      <c r="AJ1436" s="23"/>
      <c r="AK1436" s="23"/>
      <c r="AL1436" s="23"/>
      <c r="AM1436" s="23"/>
      <c r="AN1436" s="23"/>
      <c r="AO1436" s="23"/>
      <c r="AP1436" s="23"/>
      <c r="AQ1436" s="23"/>
      <c r="AR1436" s="23"/>
      <c r="AS1436" s="23"/>
      <c r="AT1436" s="23"/>
      <c r="AU1436" s="23"/>
      <c r="AV1436" s="23"/>
      <c r="AW1436" s="23"/>
      <c r="AX1436" s="23"/>
      <c r="AY1436" s="23"/>
      <c r="AZ1436" s="23"/>
      <c r="BA1436" s="23"/>
      <c r="BB1436" s="23"/>
    </row>
    <row r="1437" spans="5:54" x14ac:dyDescent="0.35"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  <c r="AA1437" s="23"/>
      <c r="AB1437" s="23"/>
      <c r="AC1437" s="23"/>
      <c r="AD1437" s="23"/>
      <c r="AE1437" s="23"/>
      <c r="AF1437" s="23"/>
      <c r="AG1437" s="23"/>
      <c r="AH1437" s="23"/>
      <c r="AI1437" s="23"/>
      <c r="AJ1437" s="23"/>
      <c r="AK1437" s="23"/>
      <c r="AL1437" s="23"/>
      <c r="AM1437" s="23"/>
      <c r="AN1437" s="23"/>
      <c r="AO1437" s="23"/>
      <c r="AP1437" s="23"/>
      <c r="AQ1437" s="23"/>
      <c r="AR1437" s="23"/>
      <c r="AS1437" s="23"/>
      <c r="AT1437" s="23"/>
      <c r="AU1437" s="23"/>
      <c r="AV1437" s="23"/>
      <c r="AW1437" s="23"/>
      <c r="AX1437" s="23"/>
      <c r="AY1437" s="23"/>
      <c r="AZ1437" s="23"/>
      <c r="BA1437" s="23"/>
      <c r="BB1437" s="23"/>
    </row>
    <row r="1438" spans="5:54" x14ac:dyDescent="0.35"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  <c r="AA1438" s="23"/>
      <c r="AB1438" s="23"/>
      <c r="AC1438" s="23"/>
      <c r="AD1438" s="23"/>
      <c r="AE1438" s="23"/>
      <c r="AF1438" s="23"/>
      <c r="AG1438" s="23"/>
      <c r="AH1438" s="23"/>
      <c r="AI1438" s="23"/>
      <c r="AJ1438" s="23"/>
      <c r="AK1438" s="23"/>
      <c r="AL1438" s="23"/>
      <c r="AM1438" s="23"/>
      <c r="AN1438" s="23"/>
      <c r="AO1438" s="23"/>
      <c r="AP1438" s="23"/>
      <c r="AQ1438" s="23"/>
      <c r="AR1438" s="23"/>
      <c r="AS1438" s="23"/>
      <c r="AT1438" s="23"/>
      <c r="AU1438" s="23"/>
      <c r="AV1438" s="23"/>
      <c r="AW1438" s="23"/>
      <c r="AX1438" s="23"/>
      <c r="AY1438" s="23"/>
      <c r="AZ1438" s="23"/>
      <c r="BA1438" s="23"/>
      <c r="BB1438" s="23"/>
    </row>
    <row r="1439" spans="5:54" x14ac:dyDescent="0.35"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  <c r="AA1439" s="23"/>
      <c r="AB1439" s="23"/>
      <c r="AC1439" s="23"/>
      <c r="AD1439" s="23"/>
      <c r="AE1439" s="23"/>
      <c r="AF1439" s="23"/>
      <c r="AG1439" s="23"/>
      <c r="AH1439" s="23"/>
      <c r="AI1439" s="23"/>
      <c r="AJ1439" s="23"/>
      <c r="AK1439" s="23"/>
      <c r="AL1439" s="23"/>
      <c r="AM1439" s="23"/>
      <c r="AN1439" s="23"/>
      <c r="AO1439" s="23"/>
      <c r="AP1439" s="23"/>
      <c r="AQ1439" s="23"/>
      <c r="AR1439" s="23"/>
      <c r="AS1439" s="23"/>
      <c r="AT1439" s="23"/>
      <c r="AU1439" s="23"/>
      <c r="AV1439" s="23"/>
      <c r="AW1439" s="23"/>
      <c r="AX1439" s="23"/>
      <c r="AY1439" s="23"/>
      <c r="AZ1439" s="23"/>
      <c r="BA1439" s="23"/>
      <c r="BB1439" s="23"/>
    </row>
    <row r="1440" spans="5:54" x14ac:dyDescent="0.35"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  <c r="AA1440" s="23"/>
      <c r="AB1440" s="23"/>
      <c r="AC1440" s="23"/>
      <c r="AD1440" s="23"/>
      <c r="AE1440" s="23"/>
      <c r="AF1440" s="23"/>
      <c r="AG1440" s="23"/>
      <c r="AH1440" s="23"/>
      <c r="AI1440" s="23"/>
      <c r="AJ1440" s="23"/>
      <c r="AK1440" s="23"/>
      <c r="AL1440" s="23"/>
      <c r="AM1440" s="23"/>
      <c r="AN1440" s="23"/>
      <c r="AO1440" s="23"/>
      <c r="AP1440" s="23"/>
      <c r="AQ1440" s="23"/>
      <c r="AR1440" s="23"/>
      <c r="AS1440" s="23"/>
      <c r="AT1440" s="23"/>
      <c r="AU1440" s="23"/>
      <c r="AV1440" s="23"/>
      <c r="AW1440" s="23"/>
      <c r="AX1440" s="23"/>
      <c r="AY1440" s="23"/>
      <c r="AZ1440" s="23"/>
      <c r="BA1440" s="23"/>
      <c r="BB1440" s="23"/>
    </row>
    <row r="1441" spans="5:54" x14ac:dyDescent="0.35"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  <c r="AA1441" s="23"/>
      <c r="AB1441" s="23"/>
      <c r="AC1441" s="23"/>
      <c r="AD1441" s="23"/>
      <c r="AE1441" s="23"/>
      <c r="AF1441" s="23"/>
      <c r="AG1441" s="23"/>
      <c r="AH1441" s="23"/>
      <c r="AI1441" s="23"/>
      <c r="AJ1441" s="23"/>
      <c r="AK1441" s="23"/>
      <c r="AL1441" s="23"/>
      <c r="AM1441" s="23"/>
      <c r="AN1441" s="23"/>
      <c r="AO1441" s="23"/>
      <c r="AP1441" s="23"/>
      <c r="AQ1441" s="23"/>
      <c r="AR1441" s="23"/>
      <c r="AS1441" s="23"/>
      <c r="AT1441" s="23"/>
      <c r="AU1441" s="23"/>
      <c r="AV1441" s="23"/>
      <c r="AW1441" s="23"/>
      <c r="AX1441" s="23"/>
      <c r="AY1441" s="23"/>
      <c r="AZ1441" s="23"/>
      <c r="BA1441" s="23"/>
      <c r="BB1441" s="23"/>
    </row>
    <row r="1442" spans="5:54" x14ac:dyDescent="0.35"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  <c r="AA1442" s="23"/>
      <c r="AB1442" s="23"/>
      <c r="AC1442" s="23"/>
      <c r="AD1442" s="23"/>
      <c r="AE1442" s="23"/>
      <c r="AF1442" s="23"/>
      <c r="AG1442" s="23"/>
      <c r="AH1442" s="23"/>
      <c r="AI1442" s="23"/>
      <c r="AJ1442" s="23"/>
      <c r="AK1442" s="23"/>
      <c r="AL1442" s="23"/>
      <c r="AM1442" s="23"/>
      <c r="AN1442" s="23"/>
      <c r="AO1442" s="23"/>
      <c r="AP1442" s="23"/>
      <c r="AQ1442" s="23"/>
      <c r="AR1442" s="23"/>
      <c r="AS1442" s="23"/>
      <c r="AT1442" s="23"/>
      <c r="AU1442" s="23"/>
      <c r="AV1442" s="23"/>
      <c r="AW1442" s="23"/>
      <c r="AX1442" s="23"/>
      <c r="AY1442" s="23"/>
      <c r="AZ1442" s="23"/>
      <c r="BA1442" s="23"/>
      <c r="BB1442" s="23"/>
    </row>
    <row r="1443" spans="5:54" x14ac:dyDescent="0.35"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  <c r="AA1443" s="23"/>
      <c r="AB1443" s="23"/>
      <c r="AC1443" s="23"/>
      <c r="AD1443" s="23"/>
      <c r="AE1443" s="23"/>
      <c r="AF1443" s="23"/>
      <c r="AG1443" s="23"/>
      <c r="AH1443" s="23"/>
      <c r="AI1443" s="23"/>
      <c r="AJ1443" s="23"/>
      <c r="AK1443" s="23"/>
      <c r="AL1443" s="23"/>
      <c r="AM1443" s="23"/>
      <c r="AN1443" s="23"/>
      <c r="AO1443" s="23"/>
      <c r="AP1443" s="23"/>
      <c r="AQ1443" s="23"/>
      <c r="AR1443" s="23"/>
      <c r="AS1443" s="23"/>
      <c r="AT1443" s="23"/>
      <c r="AU1443" s="23"/>
      <c r="AV1443" s="23"/>
      <c r="AW1443" s="23"/>
      <c r="AX1443" s="23"/>
      <c r="AY1443" s="23"/>
      <c r="AZ1443" s="23"/>
      <c r="BA1443" s="23"/>
      <c r="BB1443" s="23"/>
    </row>
    <row r="1444" spans="5:54" x14ac:dyDescent="0.35"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  <c r="AA1444" s="23"/>
      <c r="AB1444" s="23"/>
      <c r="AC1444" s="23"/>
      <c r="AD1444" s="23"/>
      <c r="AE1444" s="23"/>
      <c r="AF1444" s="23"/>
      <c r="AG1444" s="23"/>
      <c r="AH1444" s="23"/>
      <c r="AI1444" s="23"/>
      <c r="AJ1444" s="23"/>
      <c r="AK1444" s="23"/>
      <c r="AL1444" s="23"/>
      <c r="AM1444" s="23"/>
      <c r="AN1444" s="23"/>
      <c r="AO1444" s="23"/>
      <c r="AP1444" s="23"/>
      <c r="AQ1444" s="23"/>
      <c r="AR1444" s="23"/>
      <c r="AS1444" s="23"/>
      <c r="AT1444" s="23"/>
      <c r="AU1444" s="23"/>
      <c r="AV1444" s="23"/>
      <c r="AW1444" s="23"/>
      <c r="AX1444" s="23"/>
      <c r="AY1444" s="23"/>
      <c r="AZ1444" s="23"/>
      <c r="BA1444" s="23"/>
      <c r="BB1444" s="23"/>
    </row>
    <row r="1445" spans="5:54" x14ac:dyDescent="0.35"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  <c r="AA1445" s="23"/>
      <c r="AB1445" s="23"/>
      <c r="AC1445" s="23"/>
      <c r="AD1445" s="23"/>
      <c r="AE1445" s="23"/>
      <c r="AF1445" s="23"/>
      <c r="AG1445" s="23"/>
      <c r="AH1445" s="23"/>
      <c r="AI1445" s="23"/>
      <c r="AJ1445" s="23"/>
      <c r="AK1445" s="23"/>
      <c r="AL1445" s="23"/>
      <c r="AM1445" s="23"/>
      <c r="AN1445" s="23"/>
      <c r="AO1445" s="23"/>
      <c r="AP1445" s="23"/>
      <c r="AQ1445" s="23"/>
      <c r="AR1445" s="23"/>
      <c r="AS1445" s="23"/>
      <c r="AT1445" s="23"/>
      <c r="AU1445" s="23"/>
      <c r="AV1445" s="23"/>
      <c r="AW1445" s="23"/>
      <c r="AX1445" s="23"/>
      <c r="AY1445" s="23"/>
      <c r="AZ1445" s="23"/>
      <c r="BA1445" s="23"/>
      <c r="BB1445" s="23"/>
    </row>
    <row r="1446" spans="5:54" x14ac:dyDescent="0.35"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  <c r="AA1446" s="23"/>
      <c r="AB1446" s="23"/>
      <c r="AC1446" s="23"/>
      <c r="AD1446" s="23"/>
      <c r="AE1446" s="23"/>
      <c r="AF1446" s="23"/>
      <c r="AG1446" s="23"/>
      <c r="AH1446" s="23"/>
      <c r="AI1446" s="23"/>
      <c r="AJ1446" s="23"/>
      <c r="AK1446" s="23"/>
      <c r="AL1446" s="23"/>
      <c r="AM1446" s="23"/>
      <c r="AN1446" s="23"/>
      <c r="AO1446" s="23"/>
      <c r="AP1446" s="23"/>
      <c r="AQ1446" s="23"/>
      <c r="AR1446" s="23"/>
      <c r="AS1446" s="23"/>
      <c r="AT1446" s="23"/>
      <c r="AU1446" s="23"/>
      <c r="AV1446" s="23"/>
      <c r="AW1446" s="23"/>
      <c r="AX1446" s="23"/>
      <c r="AY1446" s="23"/>
      <c r="AZ1446" s="23"/>
      <c r="BA1446" s="23"/>
      <c r="BB1446" s="23"/>
    </row>
    <row r="1447" spans="5:54" x14ac:dyDescent="0.35"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  <c r="AA1447" s="23"/>
      <c r="AB1447" s="23"/>
      <c r="AC1447" s="23"/>
      <c r="AD1447" s="23"/>
      <c r="AE1447" s="23"/>
      <c r="AF1447" s="23"/>
      <c r="AG1447" s="23"/>
      <c r="AH1447" s="23"/>
      <c r="AI1447" s="23"/>
      <c r="AJ1447" s="23"/>
      <c r="AK1447" s="23"/>
      <c r="AL1447" s="23"/>
      <c r="AM1447" s="23"/>
      <c r="AN1447" s="23"/>
      <c r="AO1447" s="23"/>
      <c r="AP1447" s="23"/>
      <c r="AQ1447" s="23"/>
      <c r="AR1447" s="23"/>
      <c r="AS1447" s="23"/>
      <c r="AT1447" s="23"/>
      <c r="AU1447" s="23"/>
      <c r="AV1447" s="23"/>
      <c r="AW1447" s="23"/>
      <c r="AX1447" s="23"/>
      <c r="AY1447" s="23"/>
      <c r="AZ1447" s="23"/>
      <c r="BA1447" s="23"/>
      <c r="BB1447" s="23"/>
    </row>
    <row r="1448" spans="5:54" x14ac:dyDescent="0.35"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  <c r="AA1448" s="23"/>
      <c r="AB1448" s="23"/>
      <c r="AC1448" s="23"/>
      <c r="AD1448" s="23"/>
      <c r="AE1448" s="23"/>
      <c r="AF1448" s="23"/>
      <c r="AG1448" s="23"/>
      <c r="AH1448" s="23"/>
      <c r="AI1448" s="23"/>
      <c r="AJ1448" s="23"/>
      <c r="AK1448" s="23"/>
      <c r="AL1448" s="23"/>
      <c r="AM1448" s="23"/>
      <c r="AN1448" s="23"/>
      <c r="AO1448" s="23"/>
      <c r="AP1448" s="23"/>
      <c r="AQ1448" s="23"/>
      <c r="AR1448" s="23"/>
      <c r="AS1448" s="23"/>
      <c r="AT1448" s="23"/>
      <c r="AU1448" s="23"/>
      <c r="AV1448" s="23"/>
      <c r="AW1448" s="23"/>
      <c r="AX1448" s="23"/>
      <c r="AY1448" s="23"/>
      <c r="AZ1448" s="23"/>
      <c r="BA1448" s="23"/>
      <c r="BB1448" s="23"/>
    </row>
    <row r="1449" spans="5:54" x14ac:dyDescent="0.35"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  <c r="AA1449" s="23"/>
      <c r="AB1449" s="23"/>
      <c r="AC1449" s="23"/>
      <c r="AD1449" s="23"/>
      <c r="AE1449" s="23"/>
      <c r="AF1449" s="23"/>
      <c r="AG1449" s="23"/>
      <c r="AH1449" s="23"/>
      <c r="AI1449" s="23"/>
      <c r="AJ1449" s="23"/>
      <c r="AK1449" s="23"/>
      <c r="AL1449" s="23"/>
      <c r="AM1449" s="23"/>
      <c r="AN1449" s="23"/>
      <c r="AO1449" s="23"/>
      <c r="AP1449" s="23"/>
      <c r="AQ1449" s="23"/>
      <c r="AR1449" s="23"/>
      <c r="AS1449" s="23"/>
      <c r="AT1449" s="23"/>
      <c r="AU1449" s="23"/>
      <c r="AV1449" s="23"/>
      <c r="AW1449" s="23"/>
      <c r="AX1449" s="23"/>
      <c r="AY1449" s="23"/>
      <c r="AZ1449" s="23"/>
      <c r="BA1449" s="23"/>
      <c r="BB1449" s="23"/>
    </row>
    <row r="1450" spans="5:54" x14ac:dyDescent="0.35"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  <c r="AA1450" s="23"/>
      <c r="AB1450" s="23"/>
      <c r="AC1450" s="23"/>
      <c r="AD1450" s="23"/>
      <c r="AE1450" s="23"/>
      <c r="AF1450" s="23"/>
      <c r="AG1450" s="23"/>
      <c r="AH1450" s="23"/>
      <c r="AI1450" s="23"/>
      <c r="AJ1450" s="23"/>
      <c r="AK1450" s="23"/>
      <c r="AL1450" s="23"/>
      <c r="AM1450" s="23"/>
      <c r="AN1450" s="23"/>
      <c r="AO1450" s="23"/>
      <c r="AP1450" s="23"/>
      <c r="AQ1450" s="23"/>
      <c r="AR1450" s="23"/>
      <c r="AS1450" s="23"/>
      <c r="AT1450" s="23"/>
      <c r="AU1450" s="23"/>
      <c r="AV1450" s="23"/>
      <c r="AW1450" s="23"/>
      <c r="AX1450" s="23"/>
      <c r="AY1450" s="23"/>
      <c r="AZ1450" s="23"/>
      <c r="BA1450" s="23"/>
      <c r="BB1450" s="23"/>
    </row>
    <row r="1451" spans="5:54" x14ac:dyDescent="0.35"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  <c r="AA1451" s="23"/>
      <c r="AB1451" s="23"/>
      <c r="AC1451" s="23"/>
      <c r="AD1451" s="23"/>
      <c r="AE1451" s="23"/>
      <c r="AF1451" s="23"/>
      <c r="AG1451" s="23"/>
      <c r="AH1451" s="23"/>
      <c r="AI1451" s="23"/>
      <c r="AJ1451" s="23"/>
      <c r="AK1451" s="23"/>
      <c r="AL1451" s="23"/>
      <c r="AM1451" s="23"/>
      <c r="AN1451" s="23"/>
      <c r="AO1451" s="23"/>
      <c r="AP1451" s="23"/>
      <c r="AQ1451" s="23"/>
      <c r="AR1451" s="23"/>
      <c r="AS1451" s="23"/>
      <c r="AT1451" s="23"/>
      <c r="AU1451" s="23"/>
      <c r="AV1451" s="23"/>
      <c r="AW1451" s="23"/>
      <c r="AX1451" s="23"/>
      <c r="AY1451" s="23"/>
      <c r="AZ1451" s="23"/>
      <c r="BA1451" s="23"/>
      <c r="BB1451" s="23"/>
    </row>
    <row r="1452" spans="5:54" x14ac:dyDescent="0.35"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  <c r="AA1452" s="23"/>
      <c r="AB1452" s="23"/>
      <c r="AC1452" s="23"/>
      <c r="AD1452" s="23"/>
      <c r="AE1452" s="23"/>
      <c r="AF1452" s="23"/>
      <c r="AG1452" s="23"/>
      <c r="AH1452" s="23"/>
      <c r="AI1452" s="23"/>
      <c r="AJ1452" s="23"/>
      <c r="AK1452" s="23"/>
      <c r="AL1452" s="23"/>
      <c r="AM1452" s="23"/>
      <c r="AN1452" s="23"/>
      <c r="AO1452" s="23"/>
      <c r="AP1452" s="23"/>
      <c r="AQ1452" s="23"/>
      <c r="AR1452" s="23"/>
      <c r="AS1452" s="23"/>
      <c r="AT1452" s="23"/>
      <c r="AU1452" s="23"/>
      <c r="AV1452" s="23"/>
      <c r="AW1452" s="23"/>
      <c r="AX1452" s="23"/>
      <c r="AY1452" s="23"/>
      <c r="AZ1452" s="23"/>
      <c r="BA1452" s="23"/>
      <c r="BB1452" s="23"/>
    </row>
    <row r="1453" spans="5:54" x14ac:dyDescent="0.35"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  <c r="AA1453" s="23"/>
      <c r="AB1453" s="23"/>
      <c r="AC1453" s="23"/>
      <c r="AD1453" s="23"/>
      <c r="AE1453" s="23"/>
      <c r="AF1453" s="23"/>
      <c r="AG1453" s="23"/>
      <c r="AH1453" s="23"/>
      <c r="AI1453" s="23"/>
      <c r="AJ1453" s="23"/>
      <c r="AK1453" s="23"/>
      <c r="AL1453" s="23"/>
      <c r="AM1453" s="23"/>
      <c r="AN1453" s="23"/>
      <c r="AO1453" s="23"/>
      <c r="AP1453" s="23"/>
      <c r="AQ1453" s="23"/>
      <c r="AR1453" s="23"/>
      <c r="AS1453" s="23"/>
      <c r="AT1453" s="23"/>
      <c r="AU1453" s="23"/>
      <c r="AV1453" s="23"/>
      <c r="AW1453" s="23"/>
      <c r="AX1453" s="23"/>
      <c r="AY1453" s="23"/>
      <c r="AZ1453" s="23"/>
      <c r="BA1453" s="23"/>
      <c r="BB1453" s="23"/>
    </row>
    <row r="1454" spans="5:54" x14ac:dyDescent="0.35"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  <c r="AA1454" s="23"/>
      <c r="AB1454" s="23"/>
      <c r="AC1454" s="23"/>
      <c r="AD1454" s="23"/>
      <c r="AE1454" s="23"/>
      <c r="AF1454" s="23"/>
      <c r="AG1454" s="23"/>
      <c r="AH1454" s="23"/>
      <c r="AI1454" s="23"/>
      <c r="AJ1454" s="23"/>
      <c r="AK1454" s="23"/>
      <c r="AL1454" s="23"/>
      <c r="AM1454" s="23"/>
      <c r="AN1454" s="23"/>
      <c r="AO1454" s="23"/>
      <c r="AP1454" s="23"/>
      <c r="AQ1454" s="23"/>
      <c r="AR1454" s="23"/>
      <c r="AS1454" s="23"/>
      <c r="AT1454" s="23"/>
      <c r="AU1454" s="23"/>
      <c r="AV1454" s="23"/>
      <c r="AW1454" s="23"/>
      <c r="AX1454" s="23"/>
      <c r="AY1454" s="23"/>
      <c r="AZ1454" s="23"/>
      <c r="BA1454" s="23"/>
      <c r="BB1454" s="23"/>
    </row>
    <row r="1455" spans="5:54" x14ac:dyDescent="0.35"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  <c r="AA1455" s="23"/>
      <c r="AB1455" s="23"/>
      <c r="AC1455" s="23"/>
      <c r="AD1455" s="23"/>
      <c r="AE1455" s="23"/>
      <c r="AF1455" s="23"/>
      <c r="AG1455" s="23"/>
      <c r="AH1455" s="23"/>
      <c r="AI1455" s="23"/>
      <c r="AJ1455" s="23"/>
      <c r="AK1455" s="23"/>
      <c r="AL1455" s="23"/>
      <c r="AM1455" s="23"/>
      <c r="AN1455" s="23"/>
      <c r="AO1455" s="23"/>
      <c r="AP1455" s="23"/>
      <c r="AQ1455" s="23"/>
      <c r="AR1455" s="23"/>
      <c r="AS1455" s="23"/>
      <c r="AT1455" s="23"/>
      <c r="AU1455" s="23"/>
      <c r="AV1455" s="23"/>
      <c r="AW1455" s="23"/>
      <c r="AX1455" s="23"/>
      <c r="AY1455" s="23"/>
      <c r="AZ1455" s="23"/>
      <c r="BA1455" s="23"/>
      <c r="BB1455" s="23"/>
    </row>
    <row r="1456" spans="5:54" x14ac:dyDescent="0.35"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  <c r="AA1456" s="23"/>
      <c r="AB1456" s="23"/>
      <c r="AC1456" s="23"/>
      <c r="AD1456" s="23"/>
      <c r="AE1456" s="23"/>
      <c r="AF1456" s="23"/>
      <c r="AG1456" s="23"/>
      <c r="AH1456" s="23"/>
      <c r="AI1456" s="23"/>
      <c r="AJ1456" s="23"/>
      <c r="AK1456" s="23"/>
      <c r="AL1456" s="23"/>
      <c r="AM1456" s="23"/>
      <c r="AN1456" s="23"/>
      <c r="AO1456" s="23"/>
      <c r="AP1456" s="23"/>
      <c r="AQ1456" s="23"/>
      <c r="AR1456" s="23"/>
      <c r="AS1456" s="23"/>
      <c r="AT1456" s="23"/>
      <c r="AU1456" s="23"/>
      <c r="AV1456" s="23"/>
      <c r="AW1456" s="23"/>
      <c r="AX1456" s="23"/>
      <c r="AY1456" s="23"/>
      <c r="AZ1456" s="23"/>
      <c r="BA1456" s="23"/>
      <c r="BB1456" s="23"/>
    </row>
    <row r="1457" spans="5:54" x14ac:dyDescent="0.35"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  <c r="AA1457" s="23"/>
      <c r="AB1457" s="23"/>
      <c r="AC1457" s="23"/>
      <c r="AD1457" s="23"/>
      <c r="AE1457" s="23"/>
      <c r="AF1457" s="23"/>
      <c r="AG1457" s="23"/>
      <c r="AH1457" s="23"/>
      <c r="AI1457" s="23"/>
      <c r="AJ1457" s="23"/>
      <c r="AK1457" s="23"/>
      <c r="AL1457" s="23"/>
      <c r="AM1457" s="23"/>
      <c r="AN1457" s="23"/>
      <c r="AO1457" s="23"/>
      <c r="AP1457" s="23"/>
      <c r="AQ1457" s="23"/>
      <c r="AR1457" s="23"/>
      <c r="AS1457" s="23"/>
      <c r="AT1457" s="23"/>
      <c r="AU1457" s="23"/>
      <c r="AV1457" s="23"/>
      <c r="AW1457" s="23"/>
      <c r="AX1457" s="23"/>
      <c r="AY1457" s="23"/>
      <c r="AZ1457" s="23"/>
      <c r="BA1457" s="23"/>
      <c r="BB1457" s="23"/>
    </row>
    <row r="1458" spans="5:54" x14ac:dyDescent="0.35"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  <c r="AA1458" s="23"/>
      <c r="AB1458" s="23"/>
      <c r="AC1458" s="23"/>
      <c r="AD1458" s="23"/>
      <c r="AE1458" s="23"/>
      <c r="AF1458" s="23"/>
      <c r="AG1458" s="23"/>
      <c r="AH1458" s="23"/>
      <c r="AI1458" s="23"/>
      <c r="AJ1458" s="23"/>
      <c r="AK1458" s="23"/>
      <c r="AL1458" s="23"/>
      <c r="AM1458" s="23"/>
      <c r="AN1458" s="23"/>
      <c r="AO1458" s="23"/>
      <c r="AP1458" s="23"/>
      <c r="AQ1458" s="23"/>
      <c r="AR1458" s="23"/>
      <c r="AS1458" s="23"/>
      <c r="AT1458" s="23"/>
      <c r="AU1458" s="23"/>
      <c r="AV1458" s="23"/>
      <c r="AW1458" s="23"/>
      <c r="AX1458" s="23"/>
      <c r="AY1458" s="23"/>
      <c r="AZ1458" s="23"/>
      <c r="BA1458" s="23"/>
      <c r="BB1458" s="23"/>
    </row>
    <row r="1459" spans="5:54" x14ac:dyDescent="0.35"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  <c r="AA1459" s="23"/>
      <c r="AB1459" s="23"/>
      <c r="AC1459" s="23"/>
      <c r="AD1459" s="23"/>
      <c r="AE1459" s="23"/>
      <c r="AF1459" s="23"/>
      <c r="AG1459" s="23"/>
      <c r="AH1459" s="23"/>
      <c r="AI1459" s="23"/>
      <c r="AJ1459" s="23"/>
      <c r="AK1459" s="23"/>
      <c r="AL1459" s="23"/>
      <c r="AM1459" s="23"/>
      <c r="AN1459" s="23"/>
      <c r="AO1459" s="23"/>
      <c r="AP1459" s="23"/>
      <c r="AQ1459" s="23"/>
      <c r="AR1459" s="23"/>
      <c r="AS1459" s="23"/>
      <c r="AT1459" s="23"/>
      <c r="AU1459" s="23"/>
      <c r="AV1459" s="23"/>
      <c r="AW1459" s="23"/>
      <c r="AX1459" s="23"/>
      <c r="AY1459" s="23"/>
      <c r="AZ1459" s="23"/>
      <c r="BA1459" s="23"/>
      <c r="BB1459" s="23"/>
    </row>
    <row r="1460" spans="5:54" x14ac:dyDescent="0.35"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  <c r="AA1460" s="23"/>
      <c r="AB1460" s="23"/>
      <c r="AC1460" s="23"/>
      <c r="AD1460" s="23"/>
      <c r="AE1460" s="23"/>
      <c r="AF1460" s="23"/>
      <c r="AG1460" s="23"/>
      <c r="AH1460" s="23"/>
      <c r="AI1460" s="23"/>
      <c r="AJ1460" s="23"/>
      <c r="AK1460" s="23"/>
      <c r="AL1460" s="23"/>
      <c r="AM1460" s="23"/>
      <c r="AN1460" s="23"/>
      <c r="AO1460" s="23"/>
      <c r="AP1460" s="23"/>
      <c r="AQ1460" s="23"/>
      <c r="AR1460" s="23"/>
      <c r="AS1460" s="23"/>
      <c r="AT1460" s="23"/>
      <c r="AU1460" s="23"/>
      <c r="AV1460" s="23"/>
      <c r="AW1460" s="23"/>
      <c r="AX1460" s="23"/>
      <c r="AY1460" s="23"/>
      <c r="AZ1460" s="23"/>
      <c r="BA1460" s="23"/>
      <c r="BB1460" s="23"/>
    </row>
    <row r="1461" spans="5:54" x14ac:dyDescent="0.35"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  <c r="AA1461" s="23"/>
      <c r="AB1461" s="23"/>
      <c r="AC1461" s="23"/>
      <c r="AD1461" s="23"/>
      <c r="AE1461" s="23"/>
      <c r="AF1461" s="23"/>
      <c r="AG1461" s="23"/>
      <c r="AH1461" s="23"/>
      <c r="AI1461" s="23"/>
      <c r="AJ1461" s="23"/>
      <c r="AK1461" s="23"/>
      <c r="AL1461" s="23"/>
      <c r="AM1461" s="23"/>
      <c r="AN1461" s="23"/>
      <c r="AO1461" s="23"/>
      <c r="AP1461" s="23"/>
      <c r="AQ1461" s="23"/>
      <c r="AR1461" s="23"/>
      <c r="AS1461" s="23"/>
      <c r="AT1461" s="23"/>
      <c r="AU1461" s="23"/>
      <c r="AV1461" s="23"/>
      <c r="AW1461" s="23"/>
      <c r="AX1461" s="23"/>
      <c r="AY1461" s="23"/>
      <c r="AZ1461" s="23"/>
      <c r="BA1461" s="23"/>
      <c r="BB1461" s="23"/>
    </row>
    <row r="1462" spans="5:54" x14ac:dyDescent="0.35"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  <c r="AA1462" s="23"/>
      <c r="AB1462" s="23"/>
      <c r="AC1462" s="23"/>
      <c r="AD1462" s="23"/>
      <c r="AE1462" s="23"/>
      <c r="AF1462" s="23"/>
      <c r="AG1462" s="23"/>
      <c r="AH1462" s="23"/>
      <c r="AI1462" s="23"/>
      <c r="AJ1462" s="23"/>
      <c r="AK1462" s="23"/>
      <c r="AL1462" s="23"/>
      <c r="AM1462" s="23"/>
      <c r="AN1462" s="23"/>
      <c r="AO1462" s="23"/>
      <c r="AP1462" s="23"/>
      <c r="AQ1462" s="23"/>
      <c r="AR1462" s="23"/>
      <c r="AS1462" s="23"/>
      <c r="AT1462" s="23"/>
      <c r="AU1462" s="23"/>
      <c r="AV1462" s="23"/>
      <c r="AW1462" s="23"/>
      <c r="AX1462" s="23"/>
      <c r="AY1462" s="23"/>
      <c r="AZ1462" s="23"/>
      <c r="BA1462" s="23"/>
      <c r="BB1462" s="23"/>
    </row>
    <row r="1463" spans="5:54" x14ac:dyDescent="0.35"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  <c r="AA1463" s="23"/>
      <c r="AB1463" s="23"/>
      <c r="AC1463" s="23"/>
      <c r="AD1463" s="23"/>
      <c r="AE1463" s="23"/>
      <c r="AF1463" s="23"/>
      <c r="AG1463" s="23"/>
      <c r="AH1463" s="23"/>
      <c r="AI1463" s="23"/>
      <c r="AJ1463" s="23"/>
      <c r="AK1463" s="23"/>
      <c r="AL1463" s="23"/>
      <c r="AM1463" s="23"/>
      <c r="AN1463" s="23"/>
      <c r="AO1463" s="23"/>
      <c r="AP1463" s="23"/>
      <c r="AQ1463" s="23"/>
      <c r="AR1463" s="23"/>
      <c r="AS1463" s="23"/>
      <c r="AT1463" s="23"/>
      <c r="AU1463" s="23"/>
      <c r="AV1463" s="23"/>
      <c r="AW1463" s="23"/>
      <c r="AX1463" s="23"/>
      <c r="AY1463" s="23"/>
      <c r="AZ1463" s="23"/>
      <c r="BA1463" s="23"/>
      <c r="BB1463" s="23"/>
    </row>
    <row r="1464" spans="5:54" x14ac:dyDescent="0.35"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  <c r="AA1464" s="23"/>
      <c r="AB1464" s="23"/>
      <c r="AC1464" s="23"/>
      <c r="AD1464" s="23"/>
      <c r="AE1464" s="23"/>
      <c r="AF1464" s="23"/>
      <c r="AG1464" s="23"/>
      <c r="AH1464" s="23"/>
      <c r="AI1464" s="23"/>
      <c r="AJ1464" s="23"/>
      <c r="AK1464" s="23"/>
      <c r="AL1464" s="23"/>
      <c r="AM1464" s="23"/>
      <c r="AN1464" s="23"/>
      <c r="AO1464" s="23"/>
      <c r="AP1464" s="23"/>
      <c r="AQ1464" s="23"/>
      <c r="AR1464" s="23"/>
      <c r="AS1464" s="23"/>
      <c r="AT1464" s="23"/>
      <c r="AU1464" s="23"/>
      <c r="AV1464" s="23"/>
      <c r="AW1464" s="23"/>
      <c r="AX1464" s="23"/>
      <c r="AY1464" s="23"/>
      <c r="AZ1464" s="23"/>
      <c r="BA1464" s="23"/>
      <c r="BB1464" s="23"/>
    </row>
    <row r="1465" spans="5:54" x14ac:dyDescent="0.35"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  <c r="AA1465" s="23"/>
      <c r="AB1465" s="23"/>
      <c r="AC1465" s="23"/>
      <c r="AD1465" s="23"/>
      <c r="AE1465" s="23"/>
      <c r="AF1465" s="23"/>
      <c r="AG1465" s="23"/>
      <c r="AH1465" s="23"/>
      <c r="AI1465" s="23"/>
      <c r="AJ1465" s="23"/>
      <c r="AK1465" s="23"/>
      <c r="AL1465" s="23"/>
      <c r="AM1465" s="23"/>
      <c r="AN1465" s="23"/>
      <c r="AO1465" s="23"/>
      <c r="AP1465" s="23"/>
      <c r="AQ1465" s="23"/>
      <c r="AR1465" s="23"/>
      <c r="AS1465" s="23"/>
      <c r="AT1465" s="23"/>
      <c r="AU1465" s="23"/>
      <c r="AV1465" s="23"/>
      <c r="AW1465" s="23"/>
      <c r="AX1465" s="23"/>
      <c r="AY1465" s="23"/>
      <c r="AZ1465" s="23"/>
      <c r="BA1465" s="23"/>
      <c r="BB1465" s="23"/>
    </row>
    <row r="1466" spans="5:54" x14ac:dyDescent="0.35"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  <c r="AA1466" s="23"/>
      <c r="AB1466" s="23"/>
      <c r="AC1466" s="23"/>
      <c r="AD1466" s="23"/>
      <c r="AE1466" s="23"/>
      <c r="AF1466" s="23"/>
      <c r="AG1466" s="23"/>
      <c r="AH1466" s="23"/>
      <c r="AI1466" s="23"/>
      <c r="AJ1466" s="23"/>
      <c r="AK1466" s="23"/>
      <c r="AL1466" s="23"/>
      <c r="AM1466" s="23"/>
      <c r="AN1466" s="23"/>
      <c r="AO1466" s="23"/>
      <c r="AP1466" s="23"/>
      <c r="AQ1466" s="23"/>
      <c r="AR1466" s="23"/>
      <c r="AS1466" s="23"/>
      <c r="AT1466" s="23"/>
      <c r="AU1466" s="23"/>
      <c r="AV1466" s="23"/>
      <c r="AW1466" s="23"/>
      <c r="AX1466" s="23"/>
      <c r="AY1466" s="23"/>
      <c r="AZ1466" s="23"/>
      <c r="BA1466" s="23"/>
      <c r="BB1466" s="23"/>
    </row>
    <row r="1467" spans="5:54" x14ac:dyDescent="0.35"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  <c r="AA1467" s="23"/>
      <c r="AB1467" s="23"/>
      <c r="AC1467" s="23"/>
      <c r="AD1467" s="23"/>
      <c r="AE1467" s="23"/>
      <c r="AF1467" s="23"/>
      <c r="AG1467" s="23"/>
      <c r="AH1467" s="23"/>
      <c r="AI1467" s="23"/>
      <c r="AJ1467" s="23"/>
      <c r="AK1467" s="23"/>
      <c r="AL1467" s="23"/>
      <c r="AM1467" s="23"/>
      <c r="AN1467" s="23"/>
      <c r="AO1467" s="23"/>
      <c r="AP1467" s="23"/>
      <c r="AQ1467" s="23"/>
      <c r="AR1467" s="23"/>
      <c r="AS1467" s="23"/>
      <c r="AT1467" s="23"/>
      <c r="AU1467" s="23"/>
      <c r="AV1467" s="23"/>
      <c r="AW1467" s="23"/>
      <c r="AX1467" s="23"/>
      <c r="AY1467" s="23"/>
      <c r="AZ1467" s="23"/>
      <c r="BA1467" s="23"/>
      <c r="BB1467" s="23"/>
    </row>
    <row r="1468" spans="5:54" x14ac:dyDescent="0.35"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  <c r="AA1468" s="23"/>
      <c r="AB1468" s="23"/>
      <c r="AC1468" s="23"/>
      <c r="AD1468" s="23"/>
      <c r="AE1468" s="23"/>
      <c r="AF1468" s="23"/>
      <c r="AG1468" s="23"/>
      <c r="AH1468" s="23"/>
      <c r="AI1468" s="23"/>
      <c r="AJ1468" s="23"/>
      <c r="AK1468" s="23"/>
      <c r="AL1468" s="23"/>
      <c r="AM1468" s="23"/>
      <c r="AN1468" s="23"/>
      <c r="AO1468" s="23"/>
      <c r="AP1468" s="23"/>
      <c r="AQ1468" s="23"/>
      <c r="AR1468" s="23"/>
      <c r="AS1468" s="23"/>
      <c r="AT1468" s="23"/>
      <c r="AU1468" s="23"/>
      <c r="AV1468" s="23"/>
      <c r="AW1468" s="23"/>
      <c r="AX1468" s="23"/>
      <c r="AY1468" s="23"/>
      <c r="AZ1468" s="23"/>
      <c r="BA1468" s="23"/>
      <c r="BB1468" s="23"/>
    </row>
    <row r="1469" spans="5:54" x14ac:dyDescent="0.35"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  <c r="AA1469" s="23"/>
      <c r="AB1469" s="23"/>
      <c r="AC1469" s="23"/>
      <c r="AD1469" s="23"/>
      <c r="AE1469" s="23"/>
      <c r="AF1469" s="23"/>
      <c r="AG1469" s="23"/>
      <c r="AH1469" s="23"/>
      <c r="AI1469" s="23"/>
      <c r="AJ1469" s="23"/>
      <c r="AK1469" s="23"/>
      <c r="AL1469" s="23"/>
      <c r="AM1469" s="23"/>
      <c r="AN1469" s="23"/>
      <c r="AO1469" s="23"/>
      <c r="AP1469" s="23"/>
      <c r="AQ1469" s="23"/>
      <c r="AR1469" s="23"/>
      <c r="AS1469" s="23"/>
      <c r="AT1469" s="23"/>
      <c r="AU1469" s="23"/>
      <c r="AV1469" s="23"/>
      <c r="AW1469" s="23"/>
      <c r="AX1469" s="23"/>
      <c r="AY1469" s="23"/>
      <c r="AZ1469" s="23"/>
      <c r="BA1469" s="23"/>
      <c r="BB1469" s="23"/>
    </row>
    <row r="1470" spans="5:54" x14ac:dyDescent="0.35"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  <c r="AA1470" s="23"/>
      <c r="AB1470" s="23"/>
      <c r="AC1470" s="23"/>
      <c r="AD1470" s="23"/>
      <c r="AE1470" s="23"/>
      <c r="AF1470" s="23"/>
      <c r="AG1470" s="23"/>
      <c r="AH1470" s="23"/>
      <c r="AI1470" s="23"/>
      <c r="AJ1470" s="23"/>
      <c r="AK1470" s="23"/>
      <c r="AL1470" s="23"/>
      <c r="AM1470" s="23"/>
      <c r="AN1470" s="23"/>
      <c r="AO1470" s="23"/>
      <c r="AP1470" s="23"/>
      <c r="AQ1470" s="23"/>
      <c r="AR1470" s="23"/>
      <c r="AS1470" s="23"/>
      <c r="AT1470" s="23"/>
      <c r="AU1470" s="23"/>
      <c r="AV1470" s="23"/>
      <c r="AW1470" s="23"/>
      <c r="AX1470" s="23"/>
      <c r="AY1470" s="23"/>
      <c r="AZ1470" s="23"/>
      <c r="BA1470" s="23"/>
      <c r="BB1470" s="23"/>
    </row>
    <row r="1471" spans="5:54" x14ac:dyDescent="0.35"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  <c r="AA1471" s="23"/>
      <c r="AB1471" s="23"/>
      <c r="AC1471" s="23"/>
      <c r="AD1471" s="23"/>
      <c r="AE1471" s="23"/>
      <c r="AF1471" s="23"/>
      <c r="AG1471" s="23"/>
      <c r="AH1471" s="23"/>
      <c r="AI1471" s="23"/>
      <c r="AJ1471" s="23"/>
      <c r="AK1471" s="23"/>
      <c r="AL1471" s="23"/>
      <c r="AM1471" s="23"/>
      <c r="AN1471" s="23"/>
      <c r="AO1471" s="23"/>
      <c r="AP1471" s="23"/>
      <c r="AQ1471" s="23"/>
      <c r="AR1471" s="23"/>
      <c r="AS1471" s="23"/>
      <c r="AT1471" s="23"/>
      <c r="AU1471" s="23"/>
      <c r="AV1471" s="23"/>
      <c r="AW1471" s="23"/>
      <c r="AX1471" s="23"/>
      <c r="AY1471" s="23"/>
      <c r="AZ1471" s="23"/>
      <c r="BA1471" s="23"/>
      <c r="BB1471" s="23"/>
    </row>
    <row r="1472" spans="5:54" x14ac:dyDescent="0.35"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  <c r="AA1472" s="23"/>
      <c r="AB1472" s="23"/>
      <c r="AC1472" s="23"/>
      <c r="AD1472" s="23"/>
      <c r="AE1472" s="23"/>
      <c r="AF1472" s="23"/>
      <c r="AG1472" s="23"/>
      <c r="AH1472" s="23"/>
      <c r="AI1472" s="23"/>
      <c r="AJ1472" s="23"/>
      <c r="AK1472" s="23"/>
      <c r="AL1472" s="23"/>
      <c r="AM1472" s="23"/>
      <c r="AN1472" s="23"/>
      <c r="AO1472" s="23"/>
      <c r="AP1472" s="23"/>
      <c r="AQ1472" s="23"/>
      <c r="AR1472" s="23"/>
      <c r="AS1472" s="23"/>
      <c r="AT1472" s="23"/>
      <c r="AU1472" s="23"/>
      <c r="AV1472" s="23"/>
      <c r="AW1472" s="23"/>
      <c r="AX1472" s="23"/>
      <c r="AY1472" s="23"/>
      <c r="AZ1472" s="23"/>
      <c r="BA1472" s="23"/>
      <c r="BB1472" s="23"/>
    </row>
    <row r="1473" spans="5:54" x14ac:dyDescent="0.35"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  <c r="AA1473" s="23"/>
      <c r="AB1473" s="23"/>
      <c r="AC1473" s="23"/>
      <c r="AD1473" s="23"/>
      <c r="AE1473" s="23"/>
      <c r="AF1473" s="23"/>
      <c r="AG1473" s="23"/>
      <c r="AH1473" s="23"/>
      <c r="AI1473" s="23"/>
      <c r="AJ1473" s="23"/>
      <c r="AK1473" s="23"/>
      <c r="AL1473" s="23"/>
      <c r="AM1473" s="23"/>
      <c r="AN1473" s="23"/>
      <c r="AO1473" s="23"/>
      <c r="AP1473" s="23"/>
      <c r="AQ1473" s="23"/>
      <c r="AR1473" s="23"/>
      <c r="AS1473" s="23"/>
      <c r="AT1473" s="23"/>
      <c r="AU1473" s="23"/>
      <c r="AV1473" s="23"/>
      <c r="AW1473" s="23"/>
      <c r="AX1473" s="23"/>
      <c r="AY1473" s="23"/>
      <c r="AZ1473" s="23"/>
      <c r="BA1473" s="23"/>
      <c r="BB1473" s="23"/>
    </row>
    <row r="1474" spans="5:54" x14ac:dyDescent="0.35"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  <c r="AA1474" s="23"/>
      <c r="AB1474" s="23"/>
      <c r="AC1474" s="23"/>
      <c r="AD1474" s="23"/>
      <c r="AE1474" s="23"/>
      <c r="AF1474" s="23"/>
      <c r="AG1474" s="23"/>
      <c r="AH1474" s="23"/>
      <c r="AI1474" s="23"/>
      <c r="AJ1474" s="23"/>
      <c r="AK1474" s="23"/>
      <c r="AL1474" s="23"/>
      <c r="AM1474" s="23"/>
      <c r="AN1474" s="23"/>
      <c r="AO1474" s="23"/>
      <c r="AP1474" s="23"/>
      <c r="AQ1474" s="23"/>
      <c r="AR1474" s="23"/>
      <c r="AS1474" s="23"/>
      <c r="AT1474" s="23"/>
      <c r="AU1474" s="23"/>
      <c r="AV1474" s="23"/>
      <c r="AW1474" s="23"/>
      <c r="AX1474" s="23"/>
      <c r="AY1474" s="23"/>
      <c r="AZ1474" s="23"/>
      <c r="BA1474" s="23"/>
      <c r="BB1474" s="23"/>
    </row>
    <row r="1475" spans="5:54" x14ac:dyDescent="0.35"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  <c r="AA1475" s="23"/>
      <c r="AB1475" s="23"/>
      <c r="AC1475" s="23"/>
      <c r="AD1475" s="23"/>
      <c r="AE1475" s="23"/>
      <c r="AF1475" s="23"/>
      <c r="AG1475" s="23"/>
      <c r="AH1475" s="23"/>
      <c r="AI1475" s="23"/>
      <c r="AJ1475" s="23"/>
      <c r="AK1475" s="23"/>
      <c r="AL1475" s="23"/>
      <c r="AM1475" s="23"/>
      <c r="AN1475" s="23"/>
      <c r="AO1475" s="23"/>
      <c r="AP1475" s="23"/>
      <c r="AQ1475" s="23"/>
      <c r="AR1475" s="23"/>
      <c r="AS1475" s="23"/>
      <c r="AT1475" s="23"/>
      <c r="AU1475" s="23"/>
      <c r="AV1475" s="23"/>
      <c r="AW1475" s="23"/>
      <c r="AX1475" s="23"/>
      <c r="AY1475" s="23"/>
      <c r="AZ1475" s="23"/>
      <c r="BA1475" s="23"/>
      <c r="BB1475" s="23"/>
    </row>
    <row r="1476" spans="5:54" x14ac:dyDescent="0.35"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  <c r="AA1476" s="23"/>
      <c r="AB1476" s="23"/>
      <c r="AC1476" s="23"/>
      <c r="AD1476" s="23"/>
      <c r="AE1476" s="23"/>
      <c r="AF1476" s="23"/>
      <c r="AG1476" s="23"/>
      <c r="AH1476" s="23"/>
      <c r="AI1476" s="23"/>
      <c r="AJ1476" s="23"/>
      <c r="AK1476" s="23"/>
      <c r="AL1476" s="23"/>
      <c r="AM1476" s="23"/>
      <c r="AN1476" s="23"/>
      <c r="AO1476" s="23"/>
      <c r="AP1476" s="23"/>
      <c r="AQ1476" s="23"/>
      <c r="AR1476" s="23"/>
      <c r="AS1476" s="23"/>
      <c r="AT1476" s="23"/>
      <c r="AU1476" s="23"/>
      <c r="AV1476" s="23"/>
      <c r="AW1476" s="23"/>
      <c r="AX1476" s="23"/>
      <c r="AY1476" s="23"/>
      <c r="AZ1476" s="23"/>
      <c r="BA1476" s="23"/>
      <c r="BB1476" s="23"/>
    </row>
    <row r="1477" spans="5:54" x14ac:dyDescent="0.35"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  <c r="AA1477" s="23"/>
      <c r="AB1477" s="23"/>
      <c r="AC1477" s="23"/>
      <c r="AD1477" s="23"/>
      <c r="AE1477" s="23"/>
      <c r="AF1477" s="23"/>
      <c r="AG1477" s="23"/>
      <c r="AH1477" s="23"/>
      <c r="AI1477" s="23"/>
      <c r="AJ1477" s="23"/>
      <c r="AK1477" s="23"/>
      <c r="AL1477" s="23"/>
      <c r="AM1477" s="23"/>
      <c r="AN1477" s="23"/>
      <c r="AO1477" s="23"/>
      <c r="AP1477" s="23"/>
      <c r="AQ1477" s="23"/>
      <c r="AR1477" s="23"/>
      <c r="AS1477" s="23"/>
      <c r="AT1477" s="23"/>
      <c r="AU1477" s="23"/>
      <c r="AV1477" s="23"/>
      <c r="AW1477" s="23"/>
      <c r="AX1477" s="23"/>
      <c r="AY1477" s="23"/>
      <c r="AZ1477" s="23"/>
      <c r="BA1477" s="23"/>
      <c r="BB1477" s="23"/>
    </row>
    <row r="1478" spans="5:54" x14ac:dyDescent="0.35"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  <c r="AA1478" s="23"/>
      <c r="AB1478" s="23"/>
      <c r="AC1478" s="23"/>
      <c r="AD1478" s="23"/>
      <c r="AE1478" s="23"/>
      <c r="AF1478" s="23"/>
      <c r="AG1478" s="23"/>
      <c r="AH1478" s="23"/>
      <c r="AI1478" s="23"/>
      <c r="AJ1478" s="23"/>
      <c r="AK1478" s="23"/>
      <c r="AL1478" s="23"/>
      <c r="AM1478" s="23"/>
      <c r="AN1478" s="23"/>
      <c r="AO1478" s="23"/>
      <c r="AP1478" s="23"/>
      <c r="AQ1478" s="23"/>
      <c r="AR1478" s="23"/>
      <c r="AS1478" s="23"/>
      <c r="AT1478" s="23"/>
      <c r="AU1478" s="23"/>
      <c r="AV1478" s="23"/>
      <c r="AW1478" s="23"/>
      <c r="AX1478" s="23"/>
      <c r="AY1478" s="23"/>
      <c r="AZ1478" s="23"/>
      <c r="BA1478" s="23"/>
      <c r="BB1478" s="23"/>
    </row>
    <row r="1479" spans="5:54" x14ac:dyDescent="0.35"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  <c r="AA1479" s="23"/>
      <c r="AB1479" s="23"/>
      <c r="AC1479" s="23"/>
      <c r="AD1479" s="23"/>
      <c r="AE1479" s="23"/>
      <c r="AF1479" s="23"/>
      <c r="AG1479" s="23"/>
      <c r="AH1479" s="23"/>
      <c r="AI1479" s="23"/>
      <c r="AJ1479" s="23"/>
      <c r="AK1479" s="23"/>
      <c r="AL1479" s="23"/>
      <c r="AM1479" s="23"/>
      <c r="AN1479" s="23"/>
      <c r="AO1479" s="23"/>
      <c r="AP1479" s="23"/>
      <c r="AQ1479" s="23"/>
      <c r="AR1479" s="23"/>
      <c r="AS1479" s="23"/>
      <c r="AT1479" s="23"/>
      <c r="AU1479" s="23"/>
      <c r="AV1479" s="23"/>
      <c r="AW1479" s="23"/>
      <c r="AX1479" s="23"/>
      <c r="AY1479" s="23"/>
      <c r="AZ1479" s="23"/>
      <c r="BA1479" s="23"/>
      <c r="BB1479" s="23"/>
    </row>
    <row r="1480" spans="5:54" x14ac:dyDescent="0.35"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  <c r="AA1480" s="23"/>
      <c r="AB1480" s="23"/>
      <c r="AC1480" s="23"/>
      <c r="AD1480" s="23"/>
      <c r="AE1480" s="23"/>
      <c r="AF1480" s="23"/>
      <c r="AG1480" s="23"/>
      <c r="AH1480" s="23"/>
      <c r="AI1480" s="23"/>
      <c r="AJ1480" s="23"/>
      <c r="AK1480" s="23"/>
      <c r="AL1480" s="23"/>
      <c r="AM1480" s="23"/>
      <c r="AN1480" s="23"/>
      <c r="AO1480" s="23"/>
      <c r="AP1480" s="23"/>
      <c r="AQ1480" s="23"/>
      <c r="AR1480" s="23"/>
      <c r="AS1480" s="23"/>
      <c r="AT1480" s="23"/>
      <c r="AU1480" s="23"/>
      <c r="AV1480" s="23"/>
      <c r="AW1480" s="23"/>
      <c r="AX1480" s="23"/>
      <c r="AY1480" s="23"/>
      <c r="AZ1480" s="23"/>
      <c r="BA1480" s="23"/>
      <c r="BB1480" s="23"/>
    </row>
    <row r="1481" spans="5:54" x14ac:dyDescent="0.35"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  <c r="AA1481" s="23"/>
      <c r="AB1481" s="23"/>
      <c r="AC1481" s="23"/>
      <c r="AD1481" s="23"/>
      <c r="AE1481" s="23"/>
      <c r="AF1481" s="23"/>
      <c r="AG1481" s="23"/>
      <c r="AH1481" s="23"/>
      <c r="AI1481" s="23"/>
      <c r="AJ1481" s="23"/>
      <c r="AK1481" s="23"/>
      <c r="AL1481" s="23"/>
      <c r="AM1481" s="23"/>
      <c r="AN1481" s="23"/>
      <c r="AO1481" s="23"/>
      <c r="AP1481" s="23"/>
      <c r="AQ1481" s="23"/>
      <c r="AR1481" s="23"/>
      <c r="AS1481" s="23"/>
      <c r="AT1481" s="23"/>
      <c r="AU1481" s="23"/>
      <c r="AV1481" s="23"/>
      <c r="AW1481" s="23"/>
      <c r="AX1481" s="23"/>
      <c r="AY1481" s="23"/>
      <c r="AZ1481" s="23"/>
      <c r="BA1481" s="23"/>
      <c r="BB1481" s="23"/>
    </row>
    <row r="1482" spans="5:54" x14ac:dyDescent="0.35"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  <c r="AA1482" s="23"/>
      <c r="AB1482" s="23"/>
      <c r="AC1482" s="23"/>
      <c r="AD1482" s="23"/>
      <c r="AE1482" s="23"/>
      <c r="AF1482" s="23"/>
      <c r="AG1482" s="23"/>
      <c r="AH1482" s="23"/>
      <c r="AI1482" s="23"/>
      <c r="AJ1482" s="23"/>
      <c r="AK1482" s="23"/>
      <c r="AL1482" s="23"/>
      <c r="AM1482" s="23"/>
      <c r="AN1482" s="23"/>
      <c r="AO1482" s="23"/>
      <c r="AP1482" s="23"/>
      <c r="AQ1482" s="23"/>
      <c r="AR1482" s="23"/>
      <c r="AS1482" s="23"/>
      <c r="AT1482" s="23"/>
      <c r="AU1482" s="23"/>
      <c r="AV1482" s="23"/>
      <c r="AW1482" s="23"/>
      <c r="AX1482" s="23"/>
      <c r="AY1482" s="23"/>
      <c r="AZ1482" s="23"/>
      <c r="BA1482" s="23"/>
      <c r="BB1482" s="23"/>
    </row>
    <row r="1483" spans="5:54" x14ac:dyDescent="0.35"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  <c r="AA1483" s="23"/>
      <c r="AB1483" s="23"/>
      <c r="AC1483" s="23"/>
      <c r="AD1483" s="23"/>
      <c r="AE1483" s="23"/>
      <c r="AF1483" s="23"/>
      <c r="AG1483" s="23"/>
      <c r="AH1483" s="23"/>
      <c r="AI1483" s="23"/>
      <c r="AJ1483" s="23"/>
      <c r="AK1483" s="23"/>
      <c r="AL1483" s="23"/>
      <c r="AM1483" s="23"/>
      <c r="AN1483" s="23"/>
      <c r="AO1483" s="23"/>
      <c r="AP1483" s="23"/>
      <c r="AQ1483" s="23"/>
      <c r="AR1483" s="23"/>
      <c r="AS1483" s="23"/>
      <c r="AT1483" s="23"/>
      <c r="AU1483" s="23"/>
      <c r="AV1483" s="23"/>
      <c r="AW1483" s="23"/>
      <c r="AX1483" s="23"/>
      <c r="AY1483" s="23"/>
      <c r="AZ1483" s="23"/>
      <c r="BA1483" s="23"/>
      <c r="BB1483" s="23"/>
    </row>
    <row r="1484" spans="5:54" x14ac:dyDescent="0.35"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  <c r="AA1484" s="23"/>
      <c r="AB1484" s="23"/>
      <c r="AC1484" s="23"/>
      <c r="AD1484" s="23"/>
      <c r="AE1484" s="23"/>
      <c r="AF1484" s="23"/>
      <c r="AG1484" s="23"/>
      <c r="AH1484" s="23"/>
      <c r="AI1484" s="23"/>
      <c r="AJ1484" s="23"/>
      <c r="AK1484" s="23"/>
      <c r="AL1484" s="23"/>
      <c r="AM1484" s="23"/>
      <c r="AN1484" s="23"/>
      <c r="AO1484" s="23"/>
      <c r="AP1484" s="23"/>
      <c r="AQ1484" s="23"/>
      <c r="AR1484" s="23"/>
      <c r="AS1484" s="23"/>
      <c r="AT1484" s="23"/>
      <c r="AU1484" s="23"/>
      <c r="AV1484" s="23"/>
      <c r="AW1484" s="23"/>
      <c r="AX1484" s="23"/>
      <c r="AY1484" s="23"/>
      <c r="AZ1484" s="23"/>
      <c r="BA1484" s="23"/>
      <c r="BB1484" s="23"/>
    </row>
    <row r="1485" spans="5:54" x14ac:dyDescent="0.35"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  <c r="AA1485" s="23"/>
      <c r="AB1485" s="23"/>
      <c r="AC1485" s="23"/>
      <c r="AD1485" s="23"/>
      <c r="AE1485" s="23"/>
      <c r="AF1485" s="23"/>
      <c r="AG1485" s="23"/>
      <c r="AH1485" s="23"/>
      <c r="AI1485" s="23"/>
      <c r="AJ1485" s="23"/>
      <c r="AK1485" s="23"/>
      <c r="AL1485" s="23"/>
      <c r="AM1485" s="23"/>
      <c r="AN1485" s="23"/>
      <c r="AO1485" s="23"/>
      <c r="AP1485" s="23"/>
      <c r="AQ1485" s="23"/>
      <c r="AR1485" s="23"/>
      <c r="AS1485" s="23"/>
      <c r="AT1485" s="23"/>
      <c r="AU1485" s="23"/>
      <c r="AV1485" s="23"/>
      <c r="AW1485" s="23"/>
      <c r="AX1485" s="23"/>
      <c r="AY1485" s="23"/>
      <c r="AZ1485" s="23"/>
      <c r="BA1485" s="23"/>
      <c r="BB1485" s="23"/>
    </row>
    <row r="1486" spans="5:54" x14ac:dyDescent="0.35"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  <c r="AA1486" s="23"/>
      <c r="AB1486" s="23"/>
      <c r="AC1486" s="23"/>
      <c r="AD1486" s="23"/>
      <c r="AE1486" s="23"/>
      <c r="AF1486" s="23"/>
      <c r="AG1486" s="23"/>
      <c r="AH1486" s="23"/>
      <c r="AI1486" s="23"/>
      <c r="AJ1486" s="23"/>
      <c r="AK1486" s="23"/>
      <c r="AL1486" s="23"/>
      <c r="AM1486" s="23"/>
      <c r="AN1486" s="23"/>
      <c r="AO1486" s="23"/>
      <c r="AP1486" s="23"/>
      <c r="AQ1486" s="23"/>
      <c r="AR1486" s="23"/>
      <c r="AS1486" s="23"/>
      <c r="AT1486" s="23"/>
      <c r="AU1486" s="23"/>
      <c r="AV1486" s="23"/>
      <c r="AW1486" s="23"/>
      <c r="AX1486" s="23"/>
      <c r="AY1486" s="23"/>
      <c r="AZ1486" s="23"/>
      <c r="BA1486" s="23"/>
      <c r="BB1486" s="23"/>
    </row>
    <row r="1487" spans="5:54" x14ac:dyDescent="0.35"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  <c r="AA1487" s="23"/>
      <c r="AB1487" s="23"/>
      <c r="AC1487" s="23"/>
      <c r="AD1487" s="23"/>
      <c r="AE1487" s="23"/>
      <c r="AF1487" s="23"/>
      <c r="AG1487" s="23"/>
      <c r="AH1487" s="23"/>
      <c r="AI1487" s="23"/>
      <c r="AJ1487" s="23"/>
      <c r="AK1487" s="23"/>
      <c r="AL1487" s="23"/>
      <c r="AM1487" s="23"/>
      <c r="AN1487" s="23"/>
      <c r="AO1487" s="23"/>
      <c r="AP1487" s="23"/>
      <c r="AQ1487" s="23"/>
      <c r="AR1487" s="23"/>
      <c r="AS1487" s="23"/>
      <c r="AT1487" s="23"/>
      <c r="AU1487" s="23"/>
      <c r="AV1487" s="23"/>
      <c r="AW1487" s="23"/>
      <c r="AX1487" s="23"/>
      <c r="AY1487" s="23"/>
      <c r="AZ1487" s="23"/>
      <c r="BA1487" s="23"/>
      <c r="BB1487" s="23"/>
    </row>
    <row r="1488" spans="5:54" x14ac:dyDescent="0.35"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  <c r="AA1488" s="23"/>
      <c r="AB1488" s="23"/>
      <c r="AC1488" s="23"/>
      <c r="AD1488" s="23"/>
      <c r="AE1488" s="23"/>
      <c r="AF1488" s="23"/>
      <c r="AG1488" s="23"/>
      <c r="AH1488" s="23"/>
      <c r="AI1488" s="23"/>
      <c r="AJ1488" s="23"/>
      <c r="AK1488" s="23"/>
      <c r="AL1488" s="23"/>
      <c r="AM1488" s="23"/>
      <c r="AN1488" s="23"/>
      <c r="AO1488" s="23"/>
      <c r="AP1488" s="23"/>
      <c r="AQ1488" s="23"/>
      <c r="AR1488" s="23"/>
      <c r="AS1488" s="23"/>
      <c r="AT1488" s="23"/>
      <c r="AU1488" s="23"/>
      <c r="AV1488" s="23"/>
      <c r="AW1488" s="23"/>
      <c r="AX1488" s="23"/>
      <c r="AY1488" s="23"/>
      <c r="AZ1488" s="23"/>
      <c r="BA1488" s="23"/>
      <c r="BB1488" s="23"/>
    </row>
    <row r="1489" spans="5:54" x14ac:dyDescent="0.35"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  <c r="AA1489" s="23"/>
      <c r="AB1489" s="23"/>
      <c r="AC1489" s="23"/>
      <c r="AD1489" s="23"/>
      <c r="AE1489" s="23"/>
      <c r="AF1489" s="23"/>
      <c r="AG1489" s="23"/>
      <c r="AH1489" s="23"/>
      <c r="AI1489" s="23"/>
      <c r="AJ1489" s="23"/>
      <c r="AK1489" s="23"/>
      <c r="AL1489" s="23"/>
      <c r="AM1489" s="23"/>
      <c r="AN1489" s="23"/>
      <c r="AO1489" s="23"/>
      <c r="AP1489" s="23"/>
      <c r="AQ1489" s="23"/>
      <c r="AR1489" s="23"/>
      <c r="AS1489" s="23"/>
      <c r="AT1489" s="23"/>
      <c r="AU1489" s="23"/>
      <c r="AV1489" s="23"/>
      <c r="AW1489" s="23"/>
      <c r="AX1489" s="23"/>
      <c r="AY1489" s="23"/>
      <c r="AZ1489" s="23"/>
      <c r="BA1489" s="23"/>
      <c r="BB1489" s="23"/>
    </row>
    <row r="1490" spans="5:54" x14ac:dyDescent="0.35"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  <c r="AA1490" s="23"/>
      <c r="AB1490" s="23"/>
      <c r="AC1490" s="23"/>
      <c r="AD1490" s="23"/>
      <c r="AE1490" s="23"/>
      <c r="AF1490" s="23"/>
      <c r="AG1490" s="23"/>
      <c r="AH1490" s="23"/>
      <c r="AI1490" s="23"/>
      <c r="AJ1490" s="23"/>
      <c r="AK1490" s="23"/>
      <c r="AL1490" s="23"/>
      <c r="AM1490" s="23"/>
      <c r="AN1490" s="23"/>
      <c r="AO1490" s="23"/>
      <c r="AP1490" s="23"/>
      <c r="AQ1490" s="23"/>
      <c r="AR1490" s="23"/>
      <c r="AS1490" s="23"/>
      <c r="AT1490" s="23"/>
      <c r="AU1490" s="23"/>
      <c r="AV1490" s="23"/>
      <c r="AW1490" s="23"/>
      <c r="AX1490" s="23"/>
      <c r="AY1490" s="23"/>
      <c r="AZ1490" s="23"/>
      <c r="BA1490" s="23"/>
      <c r="BB1490" s="23"/>
    </row>
    <row r="1491" spans="5:54" x14ac:dyDescent="0.35"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  <c r="AA1491" s="23"/>
      <c r="AB1491" s="23"/>
      <c r="AC1491" s="23"/>
      <c r="AD1491" s="23"/>
      <c r="AE1491" s="23"/>
      <c r="AF1491" s="23"/>
      <c r="AG1491" s="23"/>
      <c r="AH1491" s="23"/>
      <c r="AI1491" s="23"/>
      <c r="AJ1491" s="23"/>
      <c r="AK1491" s="23"/>
      <c r="AL1491" s="23"/>
      <c r="AM1491" s="23"/>
      <c r="AN1491" s="23"/>
      <c r="AO1491" s="23"/>
      <c r="AP1491" s="23"/>
      <c r="AQ1491" s="23"/>
      <c r="AR1491" s="23"/>
      <c r="AS1491" s="23"/>
      <c r="AT1491" s="23"/>
      <c r="AU1491" s="23"/>
      <c r="AV1491" s="23"/>
      <c r="AW1491" s="23"/>
      <c r="AX1491" s="23"/>
      <c r="AY1491" s="23"/>
      <c r="AZ1491" s="23"/>
      <c r="BA1491" s="23"/>
      <c r="BB1491" s="23"/>
    </row>
    <row r="1492" spans="5:54" x14ac:dyDescent="0.35"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  <c r="AA1492" s="23"/>
      <c r="AB1492" s="23"/>
      <c r="AC1492" s="23"/>
      <c r="AD1492" s="23"/>
      <c r="AE1492" s="23"/>
      <c r="AF1492" s="23"/>
      <c r="AG1492" s="23"/>
      <c r="AH1492" s="23"/>
      <c r="AI1492" s="23"/>
      <c r="AJ1492" s="23"/>
      <c r="AK1492" s="23"/>
      <c r="AL1492" s="23"/>
      <c r="AM1492" s="23"/>
      <c r="AN1492" s="23"/>
      <c r="AO1492" s="23"/>
      <c r="AP1492" s="23"/>
      <c r="AQ1492" s="23"/>
      <c r="AR1492" s="23"/>
      <c r="AS1492" s="23"/>
      <c r="AT1492" s="23"/>
      <c r="AU1492" s="23"/>
      <c r="AV1492" s="23"/>
      <c r="AW1492" s="23"/>
      <c r="AX1492" s="23"/>
      <c r="AY1492" s="23"/>
      <c r="AZ1492" s="23"/>
      <c r="BA1492" s="23"/>
      <c r="BB1492" s="23"/>
    </row>
    <row r="1493" spans="5:54" x14ac:dyDescent="0.35"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  <c r="AA1493" s="23"/>
      <c r="AB1493" s="23"/>
      <c r="AC1493" s="23"/>
      <c r="AD1493" s="23"/>
      <c r="AE1493" s="23"/>
      <c r="AF1493" s="23"/>
      <c r="AG1493" s="23"/>
      <c r="AH1493" s="23"/>
      <c r="AI1493" s="23"/>
      <c r="AJ1493" s="23"/>
      <c r="AK1493" s="23"/>
      <c r="AL1493" s="23"/>
      <c r="AM1493" s="23"/>
      <c r="AN1493" s="23"/>
      <c r="AO1493" s="23"/>
      <c r="AP1493" s="23"/>
      <c r="AQ1493" s="23"/>
      <c r="AR1493" s="23"/>
      <c r="AS1493" s="23"/>
      <c r="AT1493" s="23"/>
      <c r="AU1493" s="23"/>
      <c r="AV1493" s="23"/>
      <c r="AW1493" s="23"/>
      <c r="AX1493" s="23"/>
      <c r="AY1493" s="23"/>
      <c r="AZ1493" s="23"/>
      <c r="BA1493" s="23"/>
      <c r="BB1493" s="23"/>
    </row>
    <row r="1494" spans="5:54" x14ac:dyDescent="0.35"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  <c r="AA1494" s="23"/>
      <c r="AB1494" s="23"/>
      <c r="AC1494" s="23"/>
      <c r="AD1494" s="23"/>
      <c r="AE1494" s="23"/>
      <c r="AF1494" s="23"/>
      <c r="AG1494" s="23"/>
      <c r="AH1494" s="23"/>
      <c r="AI1494" s="23"/>
      <c r="AJ1494" s="23"/>
      <c r="AK1494" s="23"/>
      <c r="AL1494" s="23"/>
      <c r="AM1494" s="23"/>
      <c r="AN1494" s="23"/>
      <c r="AO1494" s="23"/>
      <c r="AP1494" s="23"/>
      <c r="AQ1494" s="23"/>
      <c r="AR1494" s="23"/>
      <c r="AS1494" s="23"/>
      <c r="AT1494" s="23"/>
      <c r="AU1494" s="23"/>
      <c r="AV1494" s="23"/>
      <c r="AW1494" s="23"/>
      <c r="AX1494" s="23"/>
      <c r="AY1494" s="23"/>
      <c r="AZ1494" s="23"/>
      <c r="BA1494" s="23"/>
      <c r="BB1494" s="23"/>
    </row>
    <row r="1495" spans="5:54" x14ac:dyDescent="0.35"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  <c r="AA1495" s="23"/>
      <c r="AB1495" s="23"/>
      <c r="AC1495" s="23"/>
      <c r="AD1495" s="23"/>
      <c r="AE1495" s="23"/>
      <c r="AF1495" s="23"/>
      <c r="AG1495" s="23"/>
      <c r="AH1495" s="23"/>
      <c r="AI1495" s="23"/>
      <c r="AJ1495" s="23"/>
      <c r="AK1495" s="23"/>
      <c r="AL1495" s="23"/>
      <c r="AM1495" s="23"/>
      <c r="AN1495" s="23"/>
      <c r="AO1495" s="23"/>
      <c r="AP1495" s="23"/>
      <c r="AQ1495" s="23"/>
      <c r="AR1495" s="23"/>
      <c r="AS1495" s="23"/>
      <c r="AT1495" s="23"/>
      <c r="AU1495" s="23"/>
      <c r="AV1495" s="23"/>
      <c r="AW1495" s="23"/>
      <c r="AX1495" s="23"/>
      <c r="AY1495" s="23"/>
      <c r="AZ1495" s="23"/>
      <c r="BA1495" s="23"/>
      <c r="BB1495" s="23"/>
    </row>
    <row r="1496" spans="5:54" x14ac:dyDescent="0.35"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  <c r="AA1496" s="23"/>
      <c r="AB1496" s="23"/>
      <c r="AC1496" s="23"/>
      <c r="AD1496" s="23"/>
      <c r="AE1496" s="23"/>
      <c r="AF1496" s="23"/>
      <c r="AG1496" s="23"/>
      <c r="AH1496" s="23"/>
      <c r="AI1496" s="23"/>
      <c r="AJ1496" s="23"/>
      <c r="AK1496" s="23"/>
      <c r="AL1496" s="23"/>
      <c r="AM1496" s="23"/>
      <c r="AN1496" s="23"/>
      <c r="AO1496" s="23"/>
      <c r="AP1496" s="23"/>
      <c r="AQ1496" s="23"/>
      <c r="AR1496" s="23"/>
      <c r="AS1496" s="23"/>
      <c r="AT1496" s="23"/>
      <c r="AU1496" s="23"/>
      <c r="AV1496" s="23"/>
      <c r="AW1496" s="23"/>
      <c r="AX1496" s="23"/>
      <c r="AY1496" s="23"/>
      <c r="AZ1496" s="23"/>
      <c r="BA1496" s="23"/>
      <c r="BB1496" s="23"/>
    </row>
    <row r="1497" spans="5:54" x14ac:dyDescent="0.35"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  <c r="AA1497" s="23"/>
      <c r="AB1497" s="23"/>
      <c r="AC1497" s="23"/>
      <c r="AD1497" s="23"/>
      <c r="AE1497" s="23"/>
      <c r="AF1497" s="23"/>
      <c r="AG1497" s="23"/>
      <c r="AH1497" s="23"/>
      <c r="AI1497" s="23"/>
      <c r="AJ1497" s="23"/>
      <c r="AK1497" s="23"/>
      <c r="AL1497" s="23"/>
      <c r="AM1497" s="23"/>
      <c r="AN1497" s="23"/>
      <c r="AO1497" s="23"/>
      <c r="AP1497" s="23"/>
      <c r="AQ1497" s="23"/>
      <c r="AR1497" s="23"/>
      <c r="AS1497" s="23"/>
      <c r="AT1497" s="23"/>
      <c r="AU1497" s="23"/>
      <c r="AV1497" s="23"/>
      <c r="AW1497" s="23"/>
      <c r="AX1497" s="23"/>
      <c r="AY1497" s="23"/>
      <c r="AZ1497" s="23"/>
      <c r="BA1497" s="23"/>
      <c r="BB1497" s="23"/>
    </row>
    <row r="1498" spans="5:54" x14ac:dyDescent="0.35"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  <c r="AA1498" s="23"/>
      <c r="AB1498" s="23"/>
      <c r="AC1498" s="23"/>
      <c r="AD1498" s="23"/>
      <c r="AE1498" s="23"/>
      <c r="AF1498" s="23"/>
      <c r="AG1498" s="23"/>
      <c r="AH1498" s="23"/>
      <c r="AI1498" s="23"/>
      <c r="AJ1498" s="23"/>
      <c r="AK1498" s="23"/>
      <c r="AL1498" s="23"/>
      <c r="AM1498" s="23"/>
      <c r="AN1498" s="23"/>
      <c r="AO1498" s="23"/>
      <c r="AP1498" s="23"/>
      <c r="AQ1498" s="23"/>
      <c r="AR1498" s="23"/>
      <c r="AS1498" s="23"/>
      <c r="AT1498" s="23"/>
      <c r="AU1498" s="23"/>
      <c r="AV1498" s="23"/>
      <c r="AW1498" s="23"/>
      <c r="AX1498" s="23"/>
      <c r="AY1498" s="23"/>
      <c r="AZ1498" s="23"/>
      <c r="BA1498" s="23"/>
      <c r="BB1498" s="23"/>
    </row>
    <row r="1499" spans="5:54" x14ac:dyDescent="0.35"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  <c r="AA1499" s="23"/>
      <c r="AB1499" s="23"/>
      <c r="AC1499" s="23"/>
      <c r="AD1499" s="23"/>
      <c r="AE1499" s="23"/>
      <c r="AF1499" s="23"/>
      <c r="AG1499" s="23"/>
      <c r="AH1499" s="23"/>
      <c r="AI1499" s="23"/>
      <c r="AJ1499" s="23"/>
      <c r="AK1499" s="23"/>
      <c r="AL1499" s="23"/>
      <c r="AM1499" s="23"/>
      <c r="AN1499" s="23"/>
      <c r="AO1499" s="23"/>
      <c r="AP1499" s="23"/>
      <c r="AQ1499" s="23"/>
      <c r="AR1499" s="23"/>
      <c r="AS1499" s="23"/>
      <c r="AT1499" s="23"/>
      <c r="AU1499" s="23"/>
      <c r="AV1499" s="23"/>
      <c r="AW1499" s="23"/>
      <c r="AX1499" s="23"/>
      <c r="AY1499" s="23"/>
      <c r="AZ1499" s="23"/>
      <c r="BA1499" s="23"/>
      <c r="BB1499" s="23"/>
    </row>
    <row r="1500" spans="5:54" x14ac:dyDescent="0.35"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  <c r="AA1500" s="23"/>
      <c r="AB1500" s="23"/>
      <c r="AC1500" s="23"/>
      <c r="AD1500" s="23"/>
      <c r="AE1500" s="23"/>
      <c r="AF1500" s="23"/>
      <c r="AG1500" s="23"/>
      <c r="AH1500" s="23"/>
      <c r="AI1500" s="23"/>
      <c r="AJ1500" s="23"/>
      <c r="AK1500" s="23"/>
      <c r="AL1500" s="23"/>
      <c r="AM1500" s="23"/>
      <c r="AN1500" s="23"/>
      <c r="AO1500" s="23"/>
      <c r="AP1500" s="23"/>
      <c r="AQ1500" s="23"/>
      <c r="AR1500" s="23"/>
      <c r="AS1500" s="23"/>
      <c r="AT1500" s="23"/>
      <c r="AU1500" s="23"/>
      <c r="AV1500" s="23"/>
      <c r="AW1500" s="23"/>
      <c r="AX1500" s="23"/>
      <c r="AY1500" s="23"/>
      <c r="AZ1500" s="23"/>
      <c r="BA1500" s="23"/>
      <c r="BB1500" s="23"/>
    </row>
    <row r="1501" spans="5:54" x14ac:dyDescent="0.35"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  <c r="AA1501" s="23"/>
      <c r="AB1501" s="23"/>
      <c r="AC1501" s="23"/>
      <c r="AD1501" s="23"/>
      <c r="AE1501" s="23"/>
      <c r="AF1501" s="23"/>
      <c r="AG1501" s="23"/>
      <c r="AH1501" s="23"/>
      <c r="AI1501" s="23"/>
      <c r="AJ1501" s="23"/>
      <c r="AK1501" s="23"/>
      <c r="AL1501" s="23"/>
      <c r="AM1501" s="23"/>
      <c r="AN1501" s="23"/>
      <c r="AO1501" s="23"/>
      <c r="AP1501" s="23"/>
      <c r="AQ1501" s="23"/>
      <c r="AR1501" s="23"/>
      <c r="AS1501" s="23"/>
      <c r="AT1501" s="23"/>
      <c r="AU1501" s="23"/>
      <c r="AV1501" s="23"/>
      <c r="AW1501" s="23"/>
      <c r="AX1501" s="23"/>
      <c r="AY1501" s="23"/>
      <c r="AZ1501" s="23"/>
      <c r="BA1501" s="23"/>
      <c r="BB1501" s="23"/>
    </row>
    <row r="1502" spans="5:54" x14ac:dyDescent="0.35"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  <c r="AA1502" s="23"/>
      <c r="AB1502" s="23"/>
      <c r="AC1502" s="23"/>
      <c r="AD1502" s="23"/>
      <c r="AE1502" s="23"/>
      <c r="AF1502" s="23"/>
      <c r="AG1502" s="23"/>
      <c r="AH1502" s="23"/>
      <c r="AI1502" s="23"/>
      <c r="AJ1502" s="23"/>
      <c r="AK1502" s="23"/>
      <c r="AL1502" s="23"/>
      <c r="AM1502" s="23"/>
      <c r="AN1502" s="23"/>
      <c r="AO1502" s="23"/>
      <c r="AP1502" s="23"/>
      <c r="AQ1502" s="23"/>
      <c r="AR1502" s="23"/>
      <c r="AS1502" s="23"/>
      <c r="AT1502" s="23"/>
      <c r="AU1502" s="23"/>
      <c r="AV1502" s="23"/>
      <c r="AW1502" s="23"/>
      <c r="AX1502" s="23"/>
      <c r="AY1502" s="23"/>
      <c r="AZ1502" s="23"/>
      <c r="BA1502" s="23"/>
      <c r="BB1502" s="23"/>
    </row>
    <row r="1503" spans="5:54" x14ac:dyDescent="0.35"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  <c r="AA1503" s="23"/>
      <c r="AB1503" s="23"/>
      <c r="AC1503" s="23"/>
      <c r="AD1503" s="23"/>
      <c r="AE1503" s="23"/>
      <c r="AF1503" s="23"/>
      <c r="AG1503" s="23"/>
      <c r="AH1503" s="23"/>
      <c r="AI1503" s="23"/>
      <c r="AJ1503" s="23"/>
      <c r="AK1503" s="23"/>
      <c r="AL1503" s="23"/>
      <c r="AM1503" s="23"/>
      <c r="AN1503" s="23"/>
      <c r="AO1503" s="23"/>
      <c r="AP1503" s="23"/>
      <c r="AQ1503" s="23"/>
      <c r="AR1503" s="23"/>
      <c r="AS1503" s="23"/>
      <c r="AT1503" s="23"/>
      <c r="AU1503" s="23"/>
      <c r="AV1503" s="23"/>
      <c r="AW1503" s="23"/>
      <c r="AX1503" s="23"/>
      <c r="AY1503" s="23"/>
      <c r="AZ1503" s="23"/>
      <c r="BA1503" s="23"/>
      <c r="BB1503" s="23"/>
    </row>
    <row r="1504" spans="5:54" x14ac:dyDescent="0.35"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  <c r="AA1504" s="23"/>
      <c r="AB1504" s="23"/>
      <c r="AC1504" s="23"/>
      <c r="AD1504" s="23"/>
      <c r="AE1504" s="23"/>
      <c r="AF1504" s="23"/>
      <c r="AG1504" s="23"/>
      <c r="AH1504" s="23"/>
      <c r="AI1504" s="23"/>
      <c r="AJ1504" s="23"/>
      <c r="AK1504" s="23"/>
      <c r="AL1504" s="23"/>
      <c r="AM1504" s="23"/>
      <c r="AN1504" s="23"/>
      <c r="AO1504" s="23"/>
      <c r="AP1504" s="23"/>
      <c r="AQ1504" s="23"/>
      <c r="AR1504" s="23"/>
      <c r="AS1504" s="23"/>
      <c r="AT1504" s="23"/>
      <c r="AU1504" s="23"/>
      <c r="AV1504" s="23"/>
      <c r="AW1504" s="23"/>
      <c r="AX1504" s="23"/>
      <c r="AY1504" s="23"/>
      <c r="AZ1504" s="23"/>
      <c r="BA1504" s="23"/>
      <c r="BB1504" s="23"/>
    </row>
    <row r="1505" spans="5:54" x14ac:dyDescent="0.35"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  <c r="AA1505" s="23"/>
      <c r="AB1505" s="23"/>
      <c r="AC1505" s="23"/>
      <c r="AD1505" s="23"/>
      <c r="AE1505" s="23"/>
      <c r="AF1505" s="23"/>
      <c r="AG1505" s="23"/>
      <c r="AH1505" s="23"/>
      <c r="AI1505" s="23"/>
      <c r="AJ1505" s="23"/>
      <c r="AK1505" s="23"/>
      <c r="AL1505" s="23"/>
      <c r="AM1505" s="23"/>
      <c r="AN1505" s="23"/>
      <c r="AO1505" s="23"/>
      <c r="AP1505" s="23"/>
      <c r="AQ1505" s="23"/>
      <c r="AR1505" s="23"/>
      <c r="AS1505" s="23"/>
      <c r="AT1505" s="23"/>
      <c r="AU1505" s="23"/>
      <c r="AV1505" s="23"/>
      <c r="AW1505" s="23"/>
      <c r="AX1505" s="23"/>
      <c r="AY1505" s="23"/>
      <c r="AZ1505" s="23"/>
      <c r="BA1505" s="23"/>
      <c r="BB1505" s="23"/>
    </row>
    <row r="1506" spans="5:54" x14ac:dyDescent="0.35"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  <c r="AA1506" s="23"/>
      <c r="AB1506" s="23"/>
      <c r="AC1506" s="23"/>
      <c r="AD1506" s="23"/>
      <c r="AE1506" s="23"/>
      <c r="AF1506" s="23"/>
      <c r="AG1506" s="23"/>
      <c r="AH1506" s="23"/>
      <c r="AI1506" s="23"/>
      <c r="AJ1506" s="23"/>
      <c r="AK1506" s="23"/>
      <c r="AL1506" s="23"/>
      <c r="AM1506" s="23"/>
      <c r="AN1506" s="23"/>
      <c r="AO1506" s="23"/>
      <c r="AP1506" s="23"/>
      <c r="AQ1506" s="23"/>
      <c r="AR1506" s="23"/>
      <c r="AS1506" s="23"/>
      <c r="AT1506" s="23"/>
      <c r="AU1506" s="23"/>
      <c r="AV1506" s="23"/>
      <c r="AW1506" s="23"/>
      <c r="AX1506" s="23"/>
      <c r="AY1506" s="23"/>
      <c r="AZ1506" s="23"/>
      <c r="BA1506" s="23"/>
      <c r="BB1506" s="23"/>
    </row>
    <row r="1507" spans="5:54" x14ac:dyDescent="0.35"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  <c r="AA1507" s="23"/>
      <c r="AB1507" s="23"/>
      <c r="AC1507" s="23"/>
      <c r="AD1507" s="23"/>
      <c r="AE1507" s="23"/>
      <c r="AF1507" s="23"/>
      <c r="AG1507" s="23"/>
      <c r="AH1507" s="23"/>
      <c r="AI1507" s="23"/>
      <c r="AJ1507" s="23"/>
      <c r="AK1507" s="23"/>
      <c r="AL1507" s="23"/>
      <c r="AM1507" s="23"/>
      <c r="AN1507" s="23"/>
      <c r="AO1507" s="23"/>
      <c r="AP1507" s="23"/>
      <c r="AQ1507" s="23"/>
      <c r="AR1507" s="23"/>
      <c r="AS1507" s="23"/>
      <c r="AT1507" s="23"/>
      <c r="AU1507" s="23"/>
      <c r="AV1507" s="23"/>
      <c r="AW1507" s="23"/>
      <c r="AX1507" s="23"/>
      <c r="AY1507" s="23"/>
      <c r="AZ1507" s="23"/>
      <c r="BA1507" s="23"/>
      <c r="BB1507" s="23"/>
    </row>
    <row r="1508" spans="5:54" x14ac:dyDescent="0.35"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  <c r="AA1508" s="23"/>
      <c r="AB1508" s="23"/>
      <c r="AC1508" s="23"/>
      <c r="AD1508" s="23"/>
      <c r="AE1508" s="23"/>
      <c r="AF1508" s="23"/>
      <c r="AG1508" s="23"/>
      <c r="AH1508" s="23"/>
      <c r="AI1508" s="23"/>
      <c r="AJ1508" s="23"/>
      <c r="AK1508" s="23"/>
      <c r="AL1508" s="23"/>
      <c r="AM1508" s="23"/>
      <c r="AN1508" s="23"/>
      <c r="AO1508" s="23"/>
      <c r="AP1508" s="23"/>
      <c r="AQ1508" s="23"/>
      <c r="AR1508" s="23"/>
      <c r="AS1508" s="23"/>
      <c r="AT1508" s="23"/>
      <c r="AU1508" s="23"/>
      <c r="AV1508" s="23"/>
      <c r="AW1508" s="23"/>
      <c r="AX1508" s="23"/>
      <c r="AY1508" s="23"/>
      <c r="AZ1508" s="23"/>
      <c r="BA1508" s="23"/>
      <c r="BB1508" s="23"/>
    </row>
    <row r="1509" spans="5:54" x14ac:dyDescent="0.35"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  <c r="AA1509" s="23"/>
      <c r="AB1509" s="23"/>
      <c r="AC1509" s="23"/>
      <c r="AD1509" s="23"/>
      <c r="AE1509" s="23"/>
      <c r="AF1509" s="23"/>
      <c r="AG1509" s="23"/>
      <c r="AH1509" s="23"/>
      <c r="AI1509" s="23"/>
      <c r="AJ1509" s="23"/>
      <c r="AK1509" s="23"/>
      <c r="AL1509" s="23"/>
      <c r="AM1509" s="23"/>
      <c r="AN1509" s="23"/>
      <c r="AO1509" s="23"/>
      <c r="AP1509" s="23"/>
      <c r="AQ1509" s="23"/>
      <c r="AR1509" s="23"/>
      <c r="AS1509" s="23"/>
      <c r="AT1509" s="23"/>
      <c r="AU1509" s="23"/>
      <c r="AV1509" s="23"/>
      <c r="AW1509" s="23"/>
      <c r="AX1509" s="23"/>
      <c r="AY1509" s="23"/>
      <c r="AZ1509" s="23"/>
      <c r="BA1509" s="23"/>
      <c r="BB1509" s="23"/>
    </row>
    <row r="1510" spans="5:54" x14ac:dyDescent="0.35"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  <c r="AA1510" s="23"/>
      <c r="AB1510" s="23"/>
      <c r="AC1510" s="23"/>
      <c r="AD1510" s="23"/>
      <c r="AE1510" s="23"/>
      <c r="AF1510" s="23"/>
      <c r="AG1510" s="23"/>
      <c r="AH1510" s="23"/>
      <c r="AI1510" s="23"/>
      <c r="AJ1510" s="23"/>
      <c r="AK1510" s="23"/>
      <c r="AL1510" s="23"/>
      <c r="AM1510" s="23"/>
      <c r="AN1510" s="23"/>
      <c r="AO1510" s="23"/>
      <c r="AP1510" s="23"/>
      <c r="AQ1510" s="23"/>
      <c r="AR1510" s="23"/>
      <c r="AS1510" s="23"/>
      <c r="AT1510" s="23"/>
      <c r="AU1510" s="23"/>
      <c r="AV1510" s="23"/>
      <c r="AW1510" s="23"/>
      <c r="AX1510" s="23"/>
      <c r="AY1510" s="23"/>
      <c r="AZ1510" s="23"/>
      <c r="BA1510" s="23"/>
      <c r="BB1510" s="23"/>
    </row>
    <row r="1511" spans="5:54" x14ac:dyDescent="0.35"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  <c r="AA1511" s="23"/>
      <c r="AB1511" s="23"/>
      <c r="AC1511" s="23"/>
      <c r="AD1511" s="23"/>
      <c r="AE1511" s="23"/>
      <c r="AF1511" s="23"/>
      <c r="AG1511" s="23"/>
      <c r="AH1511" s="23"/>
      <c r="AI1511" s="23"/>
      <c r="AJ1511" s="23"/>
      <c r="AK1511" s="23"/>
      <c r="AL1511" s="23"/>
      <c r="AM1511" s="23"/>
      <c r="AN1511" s="23"/>
      <c r="AO1511" s="23"/>
      <c r="AP1511" s="23"/>
      <c r="AQ1511" s="23"/>
      <c r="AR1511" s="23"/>
      <c r="AS1511" s="23"/>
      <c r="AT1511" s="23"/>
      <c r="AU1511" s="23"/>
      <c r="AV1511" s="23"/>
      <c r="AW1511" s="23"/>
      <c r="AX1511" s="23"/>
      <c r="AY1511" s="23"/>
      <c r="AZ1511" s="23"/>
      <c r="BA1511" s="23"/>
      <c r="BB1511" s="23"/>
    </row>
    <row r="1512" spans="5:54" x14ac:dyDescent="0.35"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  <c r="AA1512" s="23"/>
      <c r="AB1512" s="23"/>
      <c r="AC1512" s="23"/>
      <c r="AD1512" s="23"/>
      <c r="AE1512" s="23"/>
      <c r="AF1512" s="23"/>
      <c r="AG1512" s="23"/>
      <c r="AH1512" s="23"/>
      <c r="AI1512" s="23"/>
      <c r="AJ1512" s="23"/>
      <c r="AK1512" s="23"/>
      <c r="AL1512" s="23"/>
      <c r="AM1512" s="23"/>
      <c r="AN1512" s="23"/>
      <c r="AO1512" s="23"/>
      <c r="AP1512" s="23"/>
      <c r="AQ1512" s="23"/>
      <c r="AR1512" s="23"/>
      <c r="AS1512" s="23"/>
      <c r="AT1512" s="23"/>
      <c r="AU1512" s="23"/>
      <c r="AV1512" s="23"/>
      <c r="AW1512" s="23"/>
      <c r="AX1512" s="23"/>
      <c r="AY1512" s="23"/>
      <c r="AZ1512" s="23"/>
      <c r="BA1512" s="23"/>
      <c r="BB1512" s="23"/>
    </row>
    <row r="1513" spans="5:54" x14ac:dyDescent="0.35"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  <c r="AA1513" s="23"/>
      <c r="AB1513" s="23"/>
      <c r="AC1513" s="23"/>
      <c r="AD1513" s="23"/>
      <c r="AE1513" s="23"/>
      <c r="AF1513" s="23"/>
      <c r="AG1513" s="23"/>
      <c r="AH1513" s="23"/>
      <c r="AI1513" s="23"/>
      <c r="AJ1513" s="23"/>
      <c r="AK1513" s="23"/>
      <c r="AL1513" s="23"/>
      <c r="AM1513" s="23"/>
      <c r="AN1513" s="23"/>
      <c r="AO1513" s="23"/>
      <c r="AP1513" s="23"/>
      <c r="AQ1513" s="23"/>
      <c r="AR1513" s="23"/>
      <c r="AS1513" s="23"/>
      <c r="AT1513" s="23"/>
      <c r="AU1513" s="23"/>
      <c r="AV1513" s="23"/>
      <c r="AW1513" s="23"/>
      <c r="AX1513" s="23"/>
      <c r="AY1513" s="23"/>
      <c r="AZ1513" s="23"/>
      <c r="BA1513" s="23"/>
      <c r="BB1513" s="23"/>
    </row>
    <row r="1514" spans="5:54" x14ac:dyDescent="0.35"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  <c r="AA1514" s="23"/>
      <c r="AB1514" s="23"/>
      <c r="AC1514" s="23"/>
      <c r="AD1514" s="23"/>
      <c r="AE1514" s="23"/>
      <c r="AF1514" s="23"/>
      <c r="AG1514" s="23"/>
      <c r="AH1514" s="23"/>
      <c r="AI1514" s="23"/>
      <c r="AJ1514" s="23"/>
      <c r="AK1514" s="23"/>
      <c r="AL1514" s="23"/>
      <c r="AM1514" s="23"/>
      <c r="AN1514" s="23"/>
      <c r="AO1514" s="23"/>
      <c r="AP1514" s="23"/>
      <c r="AQ1514" s="23"/>
      <c r="AR1514" s="23"/>
      <c r="AS1514" s="23"/>
      <c r="AT1514" s="23"/>
      <c r="AU1514" s="23"/>
      <c r="AV1514" s="23"/>
      <c r="AW1514" s="23"/>
      <c r="AX1514" s="23"/>
      <c r="AY1514" s="23"/>
      <c r="AZ1514" s="23"/>
      <c r="BA1514" s="23"/>
      <c r="BB1514" s="23"/>
    </row>
    <row r="1515" spans="5:54" x14ac:dyDescent="0.35"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  <c r="AA1515" s="23"/>
      <c r="AB1515" s="23"/>
      <c r="AC1515" s="23"/>
      <c r="AD1515" s="23"/>
      <c r="AE1515" s="23"/>
      <c r="AF1515" s="23"/>
      <c r="AG1515" s="23"/>
      <c r="AH1515" s="23"/>
      <c r="AI1515" s="23"/>
      <c r="AJ1515" s="23"/>
      <c r="AK1515" s="23"/>
      <c r="AL1515" s="23"/>
      <c r="AM1515" s="23"/>
      <c r="AN1515" s="23"/>
      <c r="AO1515" s="23"/>
      <c r="AP1515" s="23"/>
      <c r="AQ1515" s="23"/>
      <c r="AR1515" s="23"/>
      <c r="AS1515" s="23"/>
      <c r="AT1515" s="23"/>
      <c r="AU1515" s="23"/>
      <c r="AV1515" s="23"/>
      <c r="AW1515" s="23"/>
      <c r="AX1515" s="23"/>
      <c r="AY1515" s="23"/>
      <c r="AZ1515" s="23"/>
      <c r="BA1515" s="23"/>
      <c r="BB1515" s="23"/>
    </row>
    <row r="1516" spans="5:54" x14ac:dyDescent="0.35"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  <c r="AA1516" s="23"/>
      <c r="AB1516" s="23"/>
      <c r="AC1516" s="23"/>
      <c r="AD1516" s="23"/>
      <c r="AE1516" s="23"/>
      <c r="AF1516" s="23"/>
      <c r="AG1516" s="23"/>
      <c r="AH1516" s="23"/>
      <c r="AI1516" s="23"/>
      <c r="AJ1516" s="23"/>
      <c r="AK1516" s="23"/>
      <c r="AL1516" s="23"/>
      <c r="AM1516" s="23"/>
      <c r="AN1516" s="23"/>
      <c r="AO1516" s="23"/>
      <c r="AP1516" s="23"/>
      <c r="AQ1516" s="23"/>
      <c r="AR1516" s="23"/>
      <c r="AS1516" s="23"/>
      <c r="AT1516" s="23"/>
      <c r="AU1516" s="23"/>
      <c r="AV1516" s="23"/>
      <c r="AW1516" s="23"/>
      <c r="AX1516" s="23"/>
      <c r="AY1516" s="23"/>
      <c r="AZ1516" s="23"/>
      <c r="BA1516" s="23"/>
      <c r="BB1516" s="23"/>
    </row>
    <row r="1517" spans="5:54" x14ac:dyDescent="0.35"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  <c r="AA1517" s="23"/>
      <c r="AB1517" s="23"/>
      <c r="AC1517" s="23"/>
      <c r="AD1517" s="23"/>
      <c r="AE1517" s="23"/>
      <c r="AF1517" s="23"/>
      <c r="AG1517" s="23"/>
      <c r="AH1517" s="23"/>
      <c r="AI1517" s="23"/>
      <c r="AJ1517" s="23"/>
      <c r="AK1517" s="23"/>
      <c r="AL1517" s="23"/>
      <c r="AM1517" s="23"/>
      <c r="AN1517" s="23"/>
      <c r="AO1517" s="23"/>
      <c r="AP1517" s="23"/>
      <c r="AQ1517" s="23"/>
      <c r="AR1517" s="23"/>
      <c r="AS1517" s="23"/>
      <c r="AT1517" s="23"/>
      <c r="AU1517" s="23"/>
      <c r="AV1517" s="23"/>
      <c r="AW1517" s="23"/>
      <c r="AX1517" s="23"/>
      <c r="AY1517" s="23"/>
      <c r="AZ1517" s="23"/>
      <c r="BA1517" s="23"/>
      <c r="BB1517" s="23"/>
    </row>
    <row r="1518" spans="5:54" x14ac:dyDescent="0.35"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  <c r="AA1518" s="23"/>
      <c r="AB1518" s="23"/>
      <c r="AC1518" s="23"/>
      <c r="AD1518" s="23"/>
      <c r="AE1518" s="23"/>
      <c r="AF1518" s="23"/>
      <c r="AG1518" s="23"/>
      <c r="AH1518" s="23"/>
      <c r="AI1518" s="23"/>
      <c r="AJ1518" s="23"/>
      <c r="AK1518" s="23"/>
      <c r="AL1518" s="23"/>
      <c r="AM1518" s="23"/>
      <c r="AN1518" s="23"/>
      <c r="AO1518" s="23"/>
      <c r="AP1518" s="23"/>
      <c r="AQ1518" s="23"/>
      <c r="AR1518" s="23"/>
      <c r="AS1518" s="23"/>
      <c r="AT1518" s="23"/>
      <c r="AU1518" s="23"/>
      <c r="AV1518" s="23"/>
      <c r="AW1518" s="23"/>
      <c r="AX1518" s="23"/>
      <c r="AY1518" s="23"/>
      <c r="AZ1518" s="23"/>
      <c r="BA1518" s="23"/>
      <c r="BB1518" s="23"/>
    </row>
    <row r="1519" spans="5:54" x14ac:dyDescent="0.35"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  <c r="AA1519" s="23"/>
      <c r="AB1519" s="23"/>
      <c r="AC1519" s="23"/>
      <c r="AD1519" s="23"/>
      <c r="AE1519" s="23"/>
      <c r="AF1519" s="23"/>
      <c r="AG1519" s="23"/>
      <c r="AH1519" s="23"/>
      <c r="AI1519" s="23"/>
      <c r="AJ1519" s="23"/>
      <c r="AK1519" s="23"/>
      <c r="AL1519" s="23"/>
      <c r="AM1519" s="23"/>
      <c r="AN1519" s="23"/>
      <c r="AO1519" s="23"/>
      <c r="AP1519" s="23"/>
      <c r="AQ1519" s="23"/>
      <c r="AR1519" s="23"/>
      <c r="AS1519" s="23"/>
      <c r="AT1519" s="23"/>
      <c r="AU1519" s="23"/>
      <c r="AV1519" s="23"/>
      <c r="AW1519" s="23"/>
      <c r="AX1519" s="23"/>
      <c r="AY1519" s="23"/>
      <c r="AZ1519" s="23"/>
      <c r="BA1519" s="23"/>
      <c r="BB1519" s="23"/>
    </row>
    <row r="1520" spans="5:54" x14ac:dyDescent="0.35"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  <c r="AA1520" s="23"/>
      <c r="AB1520" s="23"/>
      <c r="AC1520" s="23"/>
      <c r="AD1520" s="23"/>
      <c r="AE1520" s="23"/>
      <c r="AF1520" s="23"/>
      <c r="AG1520" s="23"/>
      <c r="AH1520" s="23"/>
      <c r="AI1520" s="23"/>
      <c r="AJ1520" s="23"/>
      <c r="AK1520" s="23"/>
      <c r="AL1520" s="23"/>
      <c r="AM1520" s="23"/>
      <c r="AN1520" s="23"/>
      <c r="AO1520" s="23"/>
      <c r="AP1520" s="23"/>
      <c r="AQ1520" s="23"/>
      <c r="AR1520" s="23"/>
      <c r="AS1520" s="23"/>
      <c r="AT1520" s="23"/>
      <c r="AU1520" s="23"/>
      <c r="AV1520" s="23"/>
      <c r="AW1520" s="23"/>
      <c r="AX1520" s="23"/>
      <c r="AY1520" s="23"/>
      <c r="AZ1520" s="23"/>
      <c r="BA1520" s="23"/>
      <c r="BB1520" s="23"/>
    </row>
    <row r="1521" spans="5:54" x14ac:dyDescent="0.35"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  <c r="AA1521" s="23"/>
      <c r="AB1521" s="23"/>
      <c r="AC1521" s="23"/>
      <c r="AD1521" s="23"/>
      <c r="AE1521" s="23"/>
      <c r="AF1521" s="23"/>
      <c r="AG1521" s="23"/>
      <c r="AH1521" s="23"/>
      <c r="AI1521" s="23"/>
      <c r="AJ1521" s="23"/>
      <c r="AK1521" s="23"/>
      <c r="AL1521" s="23"/>
      <c r="AM1521" s="23"/>
      <c r="AN1521" s="23"/>
      <c r="AO1521" s="23"/>
      <c r="AP1521" s="23"/>
      <c r="AQ1521" s="23"/>
      <c r="AR1521" s="23"/>
      <c r="AS1521" s="23"/>
      <c r="AT1521" s="23"/>
      <c r="AU1521" s="23"/>
      <c r="AV1521" s="23"/>
      <c r="AW1521" s="23"/>
      <c r="AX1521" s="23"/>
      <c r="AY1521" s="23"/>
      <c r="AZ1521" s="23"/>
      <c r="BA1521" s="23"/>
      <c r="BB1521" s="23"/>
    </row>
    <row r="1522" spans="5:54" x14ac:dyDescent="0.35"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  <c r="AA1522" s="23"/>
      <c r="AB1522" s="23"/>
      <c r="AC1522" s="23"/>
      <c r="AD1522" s="23"/>
      <c r="AE1522" s="23"/>
      <c r="AF1522" s="23"/>
      <c r="AG1522" s="23"/>
      <c r="AH1522" s="23"/>
      <c r="AI1522" s="23"/>
      <c r="AJ1522" s="23"/>
      <c r="AK1522" s="23"/>
      <c r="AL1522" s="23"/>
      <c r="AM1522" s="23"/>
      <c r="AN1522" s="23"/>
      <c r="AO1522" s="23"/>
      <c r="AP1522" s="23"/>
      <c r="AQ1522" s="23"/>
      <c r="AR1522" s="23"/>
      <c r="AS1522" s="23"/>
      <c r="AT1522" s="23"/>
      <c r="AU1522" s="23"/>
      <c r="AV1522" s="23"/>
      <c r="AW1522" s="23"/>
      <c r="AX1522" s="23"/>
      <c r="AY1522" s="23"/>
      <c r="AZ1522" s="23"/>
      <c r="BA1522" s="23"/>
      <c r="BB1522" s="23"/>
    </row>
    <row r="1523" spans="5:54" x14ac:dyDescent="0.35"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  <c r="AA1523" s="23"/>
      <c r="AB1523" s="23"/>
      <c r="AC1523" s="23"/>
      <c r="AD1523" s="23"/>
      <c r="AE1523" s="23"/>
      <c r="AF1523" s="23"/>
      <c r="AG1523" s="23"/>
      <c r="AH1523" s="23"/>
      <c r="AI1523" s="23"/>
      <c r="AJ1523" s="23"/>
      <c r="AK1523" s="23"/>
      <c r="AL1523" s="23"/>
      <c r="AM1523" s="23"/>
      <c r="AN1523" s="23"/>
      <c r="AO1523" s="23"/>
      <c r="AP1523" s="23"/>
      <c r="AQ1523" s="23"/>
      <c r="AR1523" s="23"/>
      <c r="AS1523" s="23"/>
      <c r="AT1523" s="23"/>
      <c r="AU1523" s="23"/>
      <c r="AV1523" s="23"/>
      <c r="AW1523" s="23"/>
      <c r="AX1523" s="23"/>
      <c r="AY1523" s="23"/>
      <c r="AZ1523" s="23"/>
      <c r="BA1523" s="23"/>
      <c r="BB1523" s="23"/>
    </row>
    <row r="1524" spans="5:54" x14ac:dyDescent="0.35"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  <c r="AA1524" s="23"/>
      <c r="AB1524" s="23"/>
      <c r="AC1524" s="23"/>
      <c r="AD1524" s="23"/>
      <c r="AE1524" s="23"/>
      <c r="AF1524" s="23"/>
      <c r="AG1524" s="23"/>
      <c r="AH1524" s="23"/>
      <c r="AI1524" s="23"/>
      <c r="AJ1524" s="23"/>
      <c r="AK1524" s="23"/>
      <c r="AL1524" s="23"/>
      <c r="AM1524" s="23"/>
      <c r="AN1524" s="23"/>
      <c r="AO1524" s="23"/>
      <c r="AP1524" s="23"/>
      <c r="AQ1524" s="23"/>
      <c r="AR1524" s="23"/>
      <c r="AS1524" s="23"/>
      <c r="AT1524" s="23"/>
      <c r="AU1524" s="23"/>
      <c r="AV1524" s="23"/>
      <c r="AW1524" s="23"/>
      <c r="AX1524" s="23"/>
      <c r="AY1524" s="23"/>
      <c r="AZ1524" s="23"/>
      <c r="BA1524" s="23"/>
      <c r="BB1524" s="23"/>
    </row>
    <row r="1525" spans="5:54" x14ac:dyDescent="0.35"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  <c r="AA1525" s="23"/>
      <c r="AB1525" s="23"/>
      <c r="AC1525" s="23"/>
      <c r="AD1525" s="23"/>
      <c r="AE1525" s="23"/>
      <c r="AF1525" s="23"/>
      <c r="AG1525" s="23"/>
      <c r="AH1525" s="23"/>
      <c r="AI1525" s="23"/>
      <c r="AJ1525" s="23"/>
      <c r="AK1525" s="23"/>
      <c r="AL1525" s="23"/>
      <c r="AM1525" s="23"/>
      <c r="AN1525" s="23"/>
      <c r="AO1525" s="23"/>
      <c r="AP1525" s="23"/>
      <c r="AQ1525" s="23"/>
      <c r="AR1525" s="23"/>
      <c r="AS1525" s="23"/>
      <c r="AT1525" s="23"/>
      <c r="AU1525" s="23"/>
      <c r="AV1525" s="23"/>
      <c r="AW1525" s="23"/>
      <c r="AX1525" s="23"/>
      <c r="AY1525" s="23"/>
      <c r="AZ1525" s="23"/>
      <c r="BA1525" s="23"/>
      <c r="BB1525" s="23"/>
    </row>
    <row r="1526" spans="5:54" x14ac:dyDescent="0.35"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  <c r="AA1526" s="23"/>
      <c r="AB1526" s="23"/>
      <c r="AC1526" s="23"/>
      <c r="AD1526" s="23"/>
      <c r="AE1526" s="23"/>
      <c r="AF1526" s="23"/>
      <c r="AG1526" s="23"/>
      <c r="AH1526" s="23"/>
      <c r="AI1526" s="23"/>
      <c r="AJ1526" s="23"/>
      <c r="AK1526" s="23"/>
      <c r="AL1526" s="23"/>
      <c r="AM1526" s="23"/>
      <c r="AN1526" s="23"/>
      <c r="AO1526" s="23"/>
      <c r="AP1526" s="23"/>
      <c r="AQ1526" s="23"/>
      <c r="AR1526" s="23"/>
      <c r="AS1526" s="23"/>
      <c r="AT1526" s="23"/>
      <c r="AU1526" s="23"/>
      <c r="AV1526" s="23"/>
      <c r="AW1526" s="23"/>
      <c r="AX1526" s="23"/>
      <c r="AY1526" s="23"/>
      <c r="AZ1526" s="23"/>
      <c r="BA1526" s="23"/>
      <c r="BB1526" s="23"/>
    </row>
    <row r="1527" spans="5:54" x14ac:dyDescent="0.35"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  <c r="AA1527" s="23"/>
      <c r="AB1527" s="23"/>
      <c r="AC1527" s="23"/>
      <c r="AD1527" s="23"/>
      <c r="AE1527" s="23"/>
      <c r="AF1527" s="23"/>
      <c r="AG1527" s="23"/>
      <c r="AH1527" s="23"/>
      <c r="AI1527" s="23"/>
      <c r="AJ1527" s="23"/>
      <c r="AK1527" s="23"/>
      <c r="AL1527" s="23"/>
      <c r="AM1527" s="23"/>
      <c r="AN1527" s="23"/>
      <c r="AO1527" s="23"/>
      <c r="AP1527" s="23"/>
      <c r="AQ1527" s="23"/>
      <c r="AR1527" s="23"/>
      <c r="AS1527" s="23"/>
      <c r="AT1527" s="23"/>
      <c r="AU1527" s="23"/>
      <c r="AV1527" s="23"/>
      <c r="AW1527" s="23"/>
      <c r="AX1527" s="23"/>
      <c r="AY1527" s="23"/>
      <c r="AZ1527" s="23"/>
      <c r="BA1527" s="23"/>
      <c r="BB1527" s="23"/>
    </row>
    <row r="1528" spans="5:54" x14ac:dyDescent="0.35"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  <c r="AA1528" s="23"/>
      <c r="AB1528" s="23"/>
      <c r="AC1528" s="23"/>
      <c r="AD1528" s="23"/>
      <c r="AE1528" s="23"/>
      <c r="AF1528" s="23"/>
      <c r="AG1528" s="23"/>
      <c r="AH1528" s="23"/>
      <c r="AI1528" s="23"/>
      <c r="AJ1528" s="23"/>
      <c r="AK1528" s="23"/>
      <c r="AL1528" s="23"/>
      <c r="AM1528" s="23"/>
      <c r="AN1528" s="23"/>
      <c r="AO1528" s="23"/>
      <c r="AP1528" s="23"/>
      <c r="AQ1528" s="23"/>
      <c r="AR1528" s="23"/>
      <c r="AS1528" s="23"/>
      <c r="AT1528" s="23"/>
      <c r="AU1528" s="23"/>
      <c r="AV1528" s="23"/>
      <c r="AW1528" s="23"/>
      <c r="AX1528" s="23"/>
      <c r="AY1528" s="23"/>
      <c r="AZ1528" s="23"/>
      <c r="BA1528" s="23"/>
      <c r="BB1528" s="23"/>
    </row>
    <row r="1529" spans="5:54" x14ac:dyDescent="0.35"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  <c r="AA1529" s="23"/>
      <c r="AB1529" s="23"/>
      <c r="AC1529" s="23"/>
      <c r="AD1529" s="23"/>
      <c r="AE1529" s="23"/>
      <c r="AF1529" s="23"/>
      <c r="AG1529" s="23"/>
      <c r="AH1529" s="23"/>
      <c r="AI1529" s="23"/>
      <c r="AJ1529" s="23"/>
      <c r="AK1529" s="23"/>
      <c r="AL1529" s="23"/>
      <c r="AM1529" s="23"/>
      <c r="AN1529" s="23"/>
      <c r="AO1529" s="23"/>
      <c r="AP1529" s="23"/>
      <c r="AQ1529" s="23"/>
      <c r="AR1529" s="23"/>
      <c r="AS1529" s="23"/>
      <c r="AT1529" s="23"/>
      <c r="AU1529" s="23"/>
      <c r="AV1529" s="23"/>
      <c r="AW1529" s="23"/>
      <c r="AX1529" s="23"/>
      <c r="AY1529" s="23"/>
      <c r="AZ1529" s="23"/>
      <c r="BA1529" s="23"/>
      <c r="BB1529" s="23"/>
    </row>
    <row r="1530" spans="5:54" x14ac:dyDescent="0.35"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  <c r="AA1530" s="23"/>
      <c r="AB1530" s="23"/>
      <c r="AC1530" s="23"/>
      <c r="AD1530" s="23"/>
      <c r="AE1530" s="23"/>
      <c r="AF1530" s="23"/>
      <c r="AG1530" s="23"/>
      <c r="AH1530" s="23"/>
      <c r="AI1530" s="23"/>
      <c r="AJ1530" s="23"/>
      <c r="AK1530" s="23"/>
      <c r="AL1530" s="23"/>
      <c r="AM1530" s="23"/>
      <c r="AN1530" s="23"/>
      <c r="AO1530" s="23"/>
      <c r="AP1530" s="23"/>
      <c r="AQ1530" s="23"/>
      <c r="AR1530" s="23"/>
      <c r="AS1530" s="23"/>
      <c r="AT1530" s="23"/>
      <c r="AU1530" s="23"/>
      <c r="AV1530" s="23"/>
      <c r="AW1530" s="23"/>
      <c r="AX1530" s="23"/>
      <c r="AY1530" s="23"/>
      <c r="AZ1530" s="23"/>
      <c r="BA1530" s="23"/>
      <c r="BB1530" s="23"/>
    </row>
    <row r="1531" spans="5:54" x14ac:dyDescent="0.35"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  <c r="AA1531" s="23"/>
      <c r="AB1531" s="23"/>
      <c r="AC1531" s="23"/>
      <c r="AD1531" s="23"/>
      <c r="AE1531" s="23"/>
      <c r="AF1531" s="23"/>
      <c r="AG1531" s="23"/>
      <c r="AH1531" s="23"/>
      <c r="AI1531" s="23"/>
      <c r="AJ1531" s="23"/>
      <c r="AK1531" s="23"/>
      <c r="AL1531" s="23"/>
      <c r="AM1531" s="23"/>
      <c r="AN1531" s="23"/>
      <c r="AO1531" s="23"/>
      <c r="AP1531" s="23"/>
      <c r="AQ1531" s="23"/>
      <c r="AR1531" s="23"/>
      <c r="AS1531" s="23"/>
      <c r="AT1531" s="23"/>
      <c r="AU1531" s="23"/>
      <c r="AV1531" s="23"/>
      <c r="AW1531" s="23"/>
      <c r="AX1531" s="23"/>
      <c r="AY1531" s="23"/>
      <c r="AZ1531" s="23"/>
      <c r="BA1531" s="23"/>
      <c r="BB1531" s="23"/>
    </row>
    <row r="1532" spans="5:54" x14ac:dyDescent="0.35"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  <c r="AA1532" s="23"/>
      <c r="AB1532" s="23"/>
      <c r="AC1532" s="23"/>
      <c r="AD1532" s="23"/>
      <c r="AE1532" s="23"/>
      <c r="AF1532" s="23"/>
      <c r="AG1532" s="23"/>
      <c r="AH1532" s="23"/>
      <c r="AI1532" s="23"/>
      <c r="AJ1532" s="23"/>
      <c r="AK1532" s="23"/>
      <c r="AL1532" s="23"/>
      <c r="AM1532" s="23"/>
      <c r="AN1532" s="23"/>
      <c r="AO1532" s="23"/>
      <c r="AP1532" s="23"/>
      <c r="AQ1532" s="23"/>
      <c r="AR1532" s="23"/>
      <c r="AS1532" s="23"/>
      <c r="AT1532" s="23"/>
      <c r="AU1532" s="23"/>
      <c r="AV1532" s="23"/>
      <c r="AW1532" s="23"/>
      <c r="AX1532" s="23"/>
      <c r="AY1532" s="23"/>
      <c r="AZ1532" s="23"/>
      <c r="BA1532" s="23"/>
      <c r="BB1532" s="23"/>
    </row>
    <row r="1533" spans="5:54" x14ac:dyDescent="0.35"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  <c r="AA1533" s="23"/>
      <c r="AB1533" s="23"/>
      <c r="AC1533" s="23"/>
      <c r="AD1533" s="23"/>
      <c r="AE1533" s="23"/>
      <c r="AF1533" s="23"/>
      <c r="AG1533" s="23"/>
      <c r="AH1533" s="23"/>
      <c r="AI1533" s="23"/>
      <c r="AJ1533" s="23"/>
      <c r="AK1533" s="23"/>
      <c r="AL1533" s="23"/>
      <c r="AM1533" s="23"/>
      <c r="AN1533" s="23"/>
      <c r="AO1533" s="23"/>
      <c r="AP1533" s="23"/>
      <c r="AQ1533" s="23"/>
      <c r="AR1533" s="23"/>
      <c r="AS1533" s="23"/>
      <c r="AT1533" s="23"/>
      <c r="AU1533" s="23"/>
      <c r="AV1533" s="23"/>
      <c r="AW1533" s="23"/>
      <c r="AX1533" s="23"/>
      <c r="AY1533" s="23"/>
      <c r="AZ1533" s="23"/>
      <c r="BA1533" s="23"/>
      <c r="BB1533" s="23"/>
    </row>
    <row r="1534" spans="5:54" x14ac:dyDescent="0.35"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  <c r="AA1534" s="23"/>
      <c r="AB1534" s="23"/>
      <c r="AC1534" s="23"/>
      <c r="AD1534" s="23"/>
      <c r="AE1534" s="23"/>
      <c r="AF1534" s="23"/>
      <c r="AG1534" s="23"/>
      <c r="AH1534" s="23"/>
      <c r="AI1534" s="23"/>
      <c r="AJ1534" s="23"/>
      <c r="AK1534" s="23"/>
      <c r="AL1534" s="23"/>
      <c r="AM1534" s="23"/>
      <c r="AN1534" s="23"/>
      <c r="AO1534" s="23"/>
      <c r="AP1534" s="23"/>
      <c r="AQ1534" s="23"/>
      <c r="AR1534" s="23"/>
      <c r="AS1534" s="23"/>
      <c r="AT1534" s="23"/>
      <c r="AU1534" s="23"/>
      <c r="AV1534" s="23"/>
      <c r="AW1534" s="23"/>
      <c r="AX1534" s="23"/>
      <c r="AY1534" s="23"/>
      <c r="AZ1534" s="23"/>
      <c r="BA1534" s="23"/>
      <c r="BB1534" s="23"/>
    </row>
    <row r="1535" spans="5:54" x14ac:dyDescent="0.35"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  <c r="AA1535" s="23"/>
      <c r="AB1535" s="23"/>
      <c r="AC1535" s="23"/>
      <c r="AD1535" s="23"/>
      <c r="AE1535" s="23"/>
      <c r="AF1535" s="23"/>
      <c r="AG1535" s="23"/>
      <c r="AH1535" s="23"/>
      <c r="AI1535" s="23"/>
      <c r="AJ1535" s="23"/>
      <c r="AK1535" s="23"/>
      <c r="AL1535" s="23"/>
      <c r="AM1535" s="23"/>
      <c r="AN1535" s="23"/>
      <c r="AO1535" s="23"/>
      <c r="AP1535" s="23"/>
      <c r="AQ1535" s="23"/>
      <c r="AR1535" s="23"/>
      <c r="AS1535" s="23"/>
      <c r="AT1535" s="23"/>
      <c r="AU1535" s="23"/>
      <c r="AV1535" s="23"/>
      <c r="AW1535" s="23"/>
      <c r="AX1535" s="23"/>
      <c r="AY1535" s="23"/>
      <c r="AZ1535" s="23"/>
      <c r="BA1535" s="23"/>
      <c r="BB1535" s="23"/>
    </row>
    <row r="1536" spans="5:54" x14ac:dyDescent="0.35"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  <c r="AA1536" s="23"/>
      <c r="AB1536" s="23"/>
      <c r="AC1536" s="23"/>
      <c r="AD1536" s="23"/>
      <c r="AE1536" s="23"/>
      <c r="AF1536" s="23"/>
      <c r="AG1536" s="23"/>
      <c r="AH1536" s="23"/>
      <c r="AI1536" s="23"/>
      <c r="AJ1536" s="23"/>
      <c r="AK1536" s="23"/>
      <c r="AL1536" s="23"/>
      <c r="AM1536" s="23"/>
      <c r="AN1536" s="23"/>
      <c r="AO1536" s="23"/>
      <c r="AP1536" s="23"/>
      <c r="AQ1536" s="23"/>
      <c r="AR1536" s="23"/>
      <c r="AS1536" s="23"/>
      <c r="AT1536" s="23"/>
      <c r="AU1536" s="23"/>
      <c r="AV1536" s="23"/>
      <c r="AW1536" s="23"/>
      <c r="AX1536" s="23"/>
      <c r="AY1536" s="23"/>
      <c r="AZ1536" s="23"/>
      <c r="BA1536" s="23"/>
      <c r="BB1536" s="23"/>
    </row>
    <row r="1537" spans="5:54" x14ac:dyDescent="0.35"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  <c r="AA1537" s="23"/>
      <c r="AB1537" s="23"/>
      <c r="AC1537" s="23"/>
      <c r="AD1537" s="23"/>
      <c r="AE1537" s="23"/>
      <c r="AF1537" s="23"/>
      <c r="AG1537" s="23"/>
      <c r="AH1537" s="23"/>
      <c r="AI1537" s="23"/>
      <c r="AJ1537" s="23"/>
      <c r="AK1537" s="23"/>
      <c r="AL1537" s="23"/>
      <c r="AM1537" s="23"/>
      <c r="AN1537" s="23"/>
      <c r="AO1537" s="23"/>
      <c r="AP1537" s="23"/>
      <c r="AQ1537" s="23"/>
      <c r="AR1537" s="23"/>
      <c r="AS1537" s="23"/>
      <c r="AT1537" s="23"/>
      <c r="AU1537" s="23"/>
      <c r="AV1537" s="23"/>
      <c r="AW1537" s="23"/>
      <c r="AX1537" s="23"/>
      <c r="AY1537" s="23"/>
      <c r="AZ1537" s="23"/>
      <c r="BA1537" s="23"/>
      <c r="BB1537" s="23"/>
    </row>
    <row r="1538" spans="5:54" x14ac:dyDescent="0.35"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  <c r="AA1538" s="23"/>
      <c r="AB1538" s="23"/>
      <c r="AC1538" s="23"/>
      <c r="AD1538" s="23"/>
      <c r="AE1538" s="23"/>
      <c r="AF1538" s="23"/>
      <c r="AG1538" s="23"/>
      <c r="AH1538" s="23"/>
      <c r="AI1538" s="23"/>
      <c r="AJ1538" s="23"/>
      <c r="AK1538" s="23"/>
      <c r="AL1538" s="23"/>
      <c r="AM1538" s="23"/>
      <c r="AN1538" s="23"/>
      <c r="AO1538" s="23"/>
      <c r="AP1538" s="23"/>
      <c r="AQ1538" s="23"/>
      <c r="AR1538" s="23"/>
      <c r="AS1538" s="23"/>
      <c r="AT1538" s="23"/>
      <c r="AU1538" s="23"/>
      <c r="AV1538" s="23"/>
      <c r="AW1538" s="23"/>
      <c r="AX1538" s="23"/>
      <c r="AY1538" s="23"/>
      <c r="AZ1538" s="23"/>
      <c r="BA1538" s="23"/>
      <c r="BB1538" s="23"/>
    </row>
    <row r="1539" spans="5:54" x14ac:dyDescent="0.35"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  <c r="AA1539" s="23"/>
      <c r="AB1539" s="23"/>
      <c r="AC1539" s="23"/>
      <c r="AD1539" s="23"/>
      <c r="AE1539" s="23"/>
      <c r="AF1539" s="23"/>
      <c r="AG1539" s="23"/>
      <c r="AH1539" s="23"/>
      <c r="AI1539" s="23"/>
      <c r="AJ1539" s="23"/>
      <c r="AK1539" s="23"/>
      <c r="AL1539" s="23"/>
      <c r="AM1539" s="23"/>
      <c r="AN1539" s="23"/>
      <c r="AO1539" s="23"/>
      <c r="AP1539" s="23"/>
      <c r="AQ1539" s="23"/>
      <c r="AR1539" s="23"/>
      <c r="AS1539" s="23"/>
      <c r="AT1539" s="23"/>
      <c r="AU1539" s="23"/>
      <c r="AV1539" s="23"/>
      <c r="AW1539" s="23"/>
      <c r="AX1539" s="23"/>
      <c r="AY1539" s="23"/>
      <c r="AZ1539" s="23"/>
      <c r="BA1539" s="23"/>
      <c r="BB1539" s="23"/>
    </row>
    <row r="1540" spans="5:54" x14ac:dyDescent="0.35"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  <c r="AA1540" s="23"/>
      <c r="AB1540" s="23"/>
      <c r="AC1540" s="23"/>
      <c r="AD1540" s="23"/>
      <c r="AE1540" s="23"/>
      <c r="AF1540" s="23"/>
      <c r="AG1540" s="23"/>
      <c r="AH1540" s="23"/>
      <c r="AI1540" s="23"/>
      <c r="AJ1540" s="23"/>
      <c r="AK1540" s="23"/>
      <c r="AL1540" s="23"/>
      <c r="AM1540" s="23"/>
      <c r="AN1540" s="23"/>
      <c r="AO1540" s="23"/>
      <c r="AP1540" s="23"/>
      <c r="AQ1540" s="23"/>
      <c r="AR1540" s="23"/>
      <c r="AS1540" s="23"/>
      <c r="AT1540" s="23"/>
      <c r="AU1540" s="23"/>
      <c r="AV1540" s="23"/>
      <c r="AW1540" s="23"/>
      <c r="AX1540" s="23"/>
      <c r="AY1540" s="23"/>
      <c r="AZ1540" s="23"/>
      <c r="BA1540" s="23"/>
      <c r="BB1540" s="23"/>
    </row>
    <row r="1541" spans="5:54" x14ac:dyDescent="0.35"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  <c r="AA1541" s="23"/>
      <c r="AB1541" s="23"/>
      <c r="AC1541" s="23"/>
      <c r="AD1541" s="23"/>
      <c r="AE1541" s="23"/>
      <c r="AF1541" s="23"/>
      <c r="AG1541" s="23"/>
      <c r="AH1541" s="23"/>
      <c r="AI1541" s="23"/>
      <c r="AJ1541" s="23"/>
      <c r="AK1541" s="23"/>
      <c r="AL1541" s="23"/>
      <c r="AM1541" s="23"/>
      <c r="AN1541" s="23"/>
      <c r="AO1541" s="23"/>
      <c r="AP1541" s="23"/>
      <c r="AQ1541" s="23"/>
      <c r="AR1541" s="23"/>
      <c r="AS1541" s="23"/>
      <c r="AT1541" s="23"/>
      <c r="AU1541" s="23"/>
      <c r="AV1541" s="23"/>
      <c r="AW1541" s="23"/>
      <c r="AX1541" s="23"/>
      <c r="AY1541" s="23"/>
      <c r="AZ1541" s="23"/>
      <c r="BA1541" s="23"/>
      <c r="BB1541" s="23"/>
    </row>
    <row r="1542" spans="5:54" x14ac:dyDescent="0.35"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  <c r="AA1542" s="23"/>
      <c r="AB1542" s="23"/>
      <c r="AC1542" s="23"/>
      <c r="AD1542" s="23"/>
      <c r="AE1542" s="23"/>
      <c r="AF1542" s="23"/>
      <c r="AG1542" s="23"/>
      <c r="AH1542" s="23"/>
      <c r="AI1542" s="23"/>
      <c r="AJ1542" s="23"/>
      <c r="AK1542" s="23"/>
      <c r="AL1542" s="23"/>
      <c r="AM1542" s="23"/>
      <c r="AN1542" s="23"/>
      <c r="AO1542" s="23"/>
      <c r="AP1542" s="23"/>
      <c r="AQ1542" s="23"/>
      <c r="AR1542" s="23"/>
      <c r="AS1542" s="23"/>
      <c r="AT1542" s="23"/>
      <c r="AU1542" s="23"/>
      <c r="AV1542" s="23"/>
      <c r="AW1542" s="23"/>
      <c r="AX1542" s="23"/>
      <c r="AY1542" s="23"/>
      <c r="AZ1542" s="23"/>
      <c r="BA1542" s="23"/>
      <c r="BB1542" s="23"/>
    </row>
    <row r="1543" spans="5:54" x14ac:dyDescent="0.35"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  <c r="AA1543" s="23"/>
      <c r="AB1543" s="23"/>
      <c r="AC1543" s="23"/>
      <c r="AD1543" s="23"/>
      <c r="AE1543" s="23"/>
      <c r="AF1543" s="23"/>
      <c r="AG1543" s="23"/>
      <c r="AH1543" s="23"/>
      <c r="AI1543" s="23"/>
      <c r="AJ1543" s="23"/>
      <c r="AK1543" s="23"/>
      <c r="AL1543" s="23"/>
      <c r="AM1543" s="23"/>
      <c r="AN1543" s="23"/>
      <c r="AO1543" s="23"/>
      <c r="AP1543" s="23"/>
      <c r="AQ1543" s="23"/>
      <c r="AR1543" s="23"/>
      <c r="AS1543" s="23"/>
      <c r="AT1543" s="23"/>
      <c r="AU1543" s="23"/>
      <c r="AV1543" s="23"/>
      <c r="AW1543" s="23"/>
      <c r="AX1543" s="23"/>
      <c r="AY1543" s="23"/>
      <c r="AZ1543" s="23"/>
      <c r="BA1543" s="23"/>
      <c r="BB1543" s="23"/>
    </row>
    <row r="1544" spans="5:54" x14ac:dyDescent="0.35"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  <c r="AA1544" s="23"/>
      <c r="AB1544" s="23"/>
      <c r="AC1544" s="23"/>
      <c r="AD1544" s="23"/>
      <c r="AE1544" s="23"/>
      <c r="AF1544" s="23"/>
      <c r="AG1544" s="23"/>
      <c r="AH1544" s="23"/>
      <c r="AI1544" s="23"/>
      <c r="AJ1544" s="23"/>
      <c r="AK1544" s="23"/>
      <c r="AL1544" s="23"/>
      <c r="AM1544" s="23"/>
      <c r="AN1544" s="23"/>
      <c r="AO1544" s="23"/>
      <c r="AP1544" s="23"/>
      <c r="AQ1544" s="23"/>
      <c r="AR1544" s="23"/>
      <c r="AS1544" s="23"/>
      <c r="AT1544" s="23"/>
      <c r="AU1544" s="23"/>
      <c r="AV1544" s="23"/>
      <c r="AW1544" s="23"/>
      <c r="AX1544" s="23"/>
      <c r="AY1544" s="23"/>
      <c r="AZ1544" s="23"/>
      <c r="BA1544" s="23"/>
      <c r="BB1544" s="23"/>
    </row>
    <row r="1545" spans="5:54" x14ac:dyDescent="0.35"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  <c r="AA1545" s="23"/>
      <c r="AB1545" s="23"/>
      <c r="AC1545" s="23"/>
      <c r="AD1545" s="23"/>
      <c r="AE1545" s="23"/>
      <c r="AF1545" s="23"/>
      <c r="AG1545" s="23"/>
      <c r="AH1545" s="23"/>
      <c r="AI1545" s="23"/>
      <c r="AJ1545" s="23"/>
      <c r="AK1545" s="23"/>
      <c r="AL1545" s="23"/>
      <c r="AM1545" s="23"/>
      <c r="AN1545" s="23"/>
      <c r="AO1545" s="23"/>
      <c r="AP1545" s="23"/>
      <c r="AQ1545" s="23"/>
      <c r="AR1545" s="23"/>
      <c r="AS1545" s="23"/>
      <c r="AT1545" s="23"/>
      <c r="AU1545" s="23"/>
      <c r="AV1545" s="23"/>
      <c r="AW1545" s="23"/>
      <c r="AX1545" s="23"/>
      <c r="AY1545" s="23"/>
      <c r="AZ1545" s="23"/>
      <c r="BA1545" s="23"/>
      <c r="BB1545" s="23"/>
    </row>
    <row r="1546" spans="5:54" x14ac:dyDescent="0.35"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  <c r="AA1546" s="23"/>
      <c r="AB1546" s="23"/>
      <c r="AC1546" s="23"/>
      <c r="AD1546" s="23"/>
      <c r="AE1546" s="23"/>
      <c r="AF1546" s="23"/>
      <c r="AG1546" s="23"/>
      <c r="AH1546" s="23"/>
      <c r="AI1546" s="23"/>
      <c r="AJ1546" s="23"/>
      <c r="AK1546" s="23"/>
      <c r="AL1546" s="23"/>
      <c r="AM1546" s="23"/>
      <c r="AN1546" s="23"/>
      <c r="AO1546" s="23"/>
      <c r="AP1546" s="23"/>
      <c r="AQ1546" s="23"/>
      <c r="AR1546" s="23"/>
      <c r="AS1546" s="23"/>
      <c r="AT1546" s="23"/>
      <c r="AU1546" s="23"/>
      <c r="AV1546" s="23"/>
      <c r="AW1546" s="23"/>
      <c r="AX1546" s="23"/>
      <c r="AY1546" s="23"/>
      <c r="AZ1546" s="23"/>
      <c r="BA1546" s="23"/>
      <c r="BB1546" s="23"/>
    </row>
    <row r="1547" spans="5:54" x14ac:dyDescent="0.35"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  <c r="AA1547" s="23"/>
      <c r="AB1547" s="23"/>
      <c r="AC1547" s="23"/>
      <c r="AD1547" s="23"/>
      <c r="AE1547" s="23"/>
      <c r="AF1547" s="23"/>
      <c r="AG1547" s="23"/>
      <c r="AH1547" s="23"/>
      <c r="AI1547" s="23"/>
      <c r="AJ1547" s="23"/>
      <c r="AK1547" s="23"/>
      <c r="AL1547" s="23"/>
      <c r="AM1547" s="23"/>
      <c r="AN1547" s="23"/>
      <c r="AO1547" s="23"/>
      <c r="AP1547" s="23"/>
      <c r="AQ1547" s="23"/>
      <c r="AR1547" s="23"/>
      <c r="AS1547" s="23"/>
      <c r="AT1547" s="23"/>
      <c r="AU1547" s="23"/>
      <c r="AV1547" s="23"/>
      <c r="AW1547" s="23"/>
      <c r="AX1547" s="23"/>
      <c r="AY1547" s="23"/>
      <c r="AZ1547" s="23"/>
      <c r="BA1547" s="23"/>
      <c r="BB1547" s="23"/>
    </row>
    <row r="1548" spans="5:54" x14ac:dyDescent="0.35"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  <c r="AA1548" s="23"/>
      <c r="AB1548" s="23"/>
      <c r="AC1548" s="23"/>
      <c r="AD1548" s="23"/>
      <c r="AE1548" s="23"/>
      <c r="AF1548" s="23"/>
      <c r="AG1548" s="23"/>
      <c r="AH1548" s="23"/>
      <c r="AI1548" s="23"/>
      <c r="AJ1548" s="23"/>
      <c r="AK1548" s="23"/>
      <c r="AL1548" s="23"/>
      <c r="AM1548" s="23"/>
      <c r="AN1548" s="23"/>
      <c r="AO1548" s="23"/>
      <c r="AP1548" s="23"/>
      <c r="AQ1548" s="23"/>
      <c r="AR1548" s="23"/>
      <c r="AS1548" s="23"/>
      <c r="AT1548" s="23"/>
      <c r="AU1548" s="23"/>
      <c r="AV1548" s="23"/>
      <c r="AW1548" s="23"/>
      <c r="AX1548" s="23"/>
      <c r="AY1548" s="23"/>
      <c r="AZ1548" s="23"/>
      <c r="BA1548" s="23"/>
      <c r="BB1548" s="23"/>
    </row>
    <row r="1549" spans="5:54" x14ac:dyDescent="0.35"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  <c r="AA1549" s="23"/>
      <c r="AB1549" s="23"/>
      <c r="AC1549" s="23"/>
      <c r="AD1549" s="23"/>
      <c r="AE1549" s="23"/>
      <c r="AF1549" s="23"/>
      <c r="AG1549" s="23"/>
      <c r="AH1549" s="23"/>
      <c r="AI1549" s="23"/>
      <c r="AJ1549" s="23"/>
      <c r="AK1549" s="23"/>
      <c r="AL1549" s="23"/>
      <c r="AM1549" s="23"/>
      <c r="AN1549" s="23"/>
      <c r="AO1549" s="23"/>
      <c r="AP1549" s="23"/>
      <c r="AQ1549" s="23"/>
      <c r="AR1549" s="23"/>
      <c r="AS1549" s="23"/>
      <c r="AT1549" s="23"/>
      <c r="AU1549" s="23"/>
      <c r="AV1549" s="23"/>
      <c r="AW1549" s="23"/>
      <c r="AX1549" s="23"/>
      <c r="AY1549" s="23"/>
      <c r="AZ1549" s="23"/>
      <c r="BA1549" s="23"/>
      <c r="BB1549" s="23"/>
    </row>
    <row r="1550" spans="5:54" x14ac:dyDescent="0.35"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  <c r="AA1550" s="23"/>
      <c r="AB1550" s="23"/>
      <c r="AC1550" s="23"/>
      <c r="AD1550" s="23"/>
      <c r="AE1550" s="23"/>
      <c r="AF1550" s="23"/>
      <c r="AG1550" s="23"/>
      <c r="AH1550" s="23"/>
      <c r="AI1550" s="23"/>
      <c r="AJ1550" s="23"/>
      <c r="AK1550" s="23"/>
      <c r="AL1550" s="23"/>
      <c r="AM1550" s="23"/>
      <c r="AN1550" s="23"/>
      <c r="AO1550" s="23"/>
      <c r="AP1550" s="23"/>
      <c r="AQ1550" s="23"/>
      <c r="AR1550" s="23"/>
      <c r="AS1550" s="23"/>
      <c r="AT1550" s="23"/>
      <c r="AU1550" s="23"/>
      <c r="AV1550" s="23"/>
      <c r="AW1550" s="23"/>
      <c r="AX1550" s="23"/>
      <c r="AY1550" s="23"/>
      <c r="AZ1550" s="23"/>
      <c r="BA1550" s="23"/>
      <c r="BB1550" s="23"/>
    </row>
    <row r="1551" spans="5:54" x14ac:dyDescent="0.35"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  <c r="AA1551" s="23"/>
      <c r="AB1551" s="23"/>
      <c r="AC1551" s="23"/>
      <c r="AD1551" s="23"/>
      <c r="AE1551" s="23"/>
      <c r="AF1551" s="23"/>
      <c r="AG1551" s="23"/>
      <c r="AH1551" s="23"/>
      <c r="AI1551" s="23"/>
      <c r="AJ1551" s="23"/>
      <c r="AK1551" s="23"/>
      <c r="AL1551" s="23"/>
      <c r="AM1551" s="23"/>
      <c r="AN1551" s="23"/>
      <c r="AO1551" s="23"/>
      <c r="AP1551" s="23"/>
      <c r="AQ1551" s="23"/>
      <c r="AR1551" s="23"/>
      <c r="AS1551" s="23"/>
      <c r="AT1551" s="23"/>
      <c r="AU1551" s="23"/>
      <c r="AV1551" s="23"/>
      <c r="AW1551" s="23"/>
      <c r="AX1551" s="23"/>
      <c r="AY1551" s="23"/>
      <c r="AZ1551" s="23"/>
      <c r="BA1551" s="23"/>
      <c r="BB1551" s="23"/>
    </row>
    <row r="1552" spans="5:54" x14ac:dyDescent="0.35"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  <c r="AA1552" s="23"/>
      <c r="AB1552" s="23"/>
      <c r="AC1552" s="23"/>
      <c r="AD1552" s="23"/>
      <c r="AE1552" s="23"/>
      <c r="AF1552" s="23"/>
      <c r="AG1552" s="23"/>
      <c r="AH1552" s="23"/>
      <c r="AI1552" s="23"/>
      <c r="AJ1552" s="23"/>
      <c r="AK1552" s="23"/>
      <c r="AL1552" s="23"/>
      <c r="AM1552" s="23"/>
      <c r="AN1552" s="23"/>
      <c r="AO1552" s="23"/>
      <c r="AP1552" s="23"/>
      <c r="AQ1552" s="23"/>
      <c r="AR1552" s="23"/>
      <c r="AS1552" s="23"/>
      <c r="AT1552" s="23"/>
      <c r="AU1552" s="23"/>
      <c r="AV1552" s="23"/>
      <c r="AW1552" s="23"/>
      <c r="AX1552" s="23"/>
      <c r="AY1552" s="23"/>
      <c r="AZ1552" s="23"/>
      <c r="BA1552" s="23"/>
      <c r="BB1552" s="23"/>
    </row>
    <row r="1553" spans="5:54" x14ac:dyDescent="0.35"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  <c r="AA1553" s="23"/>
      <c r="AB1553" s="23"/>
      <c r="AC1553" s="23"/>
      <c r="AD1553" s="23"/>
      <c r="AE1553" s="23"/>
      <c r="AF1553" s="23"/>
      <c r="AG1553" s="23"/>
      <c r="AH1553" s="23"/>
      <c r="AI1553" s="23"/>
      <c r="AJ1553" s="23"/>
      <c r="AK1553" s="23"/>
      <c r="AL1553" s="23"/>
      <c r="AM1553" s="23"/>
      <c r="AN1553" s="23"/>
      <c r="AO1553" s="23"/>
      <c r="AP1553" s="23"/>
      <c r="AQ1553" s="23"/>
      <c r="AR1553" s="23"/>
      <c r="AS1553" s="23"/>
      <c r="AT1553" s="23"/>
      <c r="AU1553" s="23"/>
      <c r="AV1553" s="23"/>
      <c r="AW1553" s="23"/>
      <c r="AX1553" s="23"/>
      <c r="AY1553" s="23"/>
      <c r="AZ1553" s="23"/>
      <c r="BA1553" s="23"/>
      <c r="BB1553" s="23"/>
    </row>
    <row r="1554" spans="5:54" x14ac:dyDescent="0.35"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  <c r="AA1554" s="23"/>
      <c r="AB1554" s="23"/>
      <c r="AC1554" s="23"/>
      <c r="AD1554" s="23"/>
      <c r="AE1554" s="23"/>
      <c r="AF1554" s="23"/>
      <c r="AG1554" s="23"/>
      <c r="AH1554" s="23"/>
      <c r="AI1554" s="23"/>
      <c r="AJ1554" s="23"/>
      <c r="AK1554" s="23"/>
      <c r="AL1554" s="23"/>
      <c r="AM1554" s="23"/>
      <c r="AN1554" s="23"/>
      <c r="AO1554" s="23"/>
      <c r="AP1554" s="23"/>
      <c r="AQ1554" s="23"/>
      <c r="AR1554" s="23"/>
      <c r="AS1554" s="23"/>
      <c r="AT1554" s="23"/>
      <c r="AU1554" s="23"/>
      <c r="AV1554" s="23"/>
      <c r="AW1554" s="23"/>
      <c r="AX1554" s="23"/>
      <c r="AY1554" s="23"/>
      <c r="AZ1554" s="23"/>
      <c r="BA1554" s="23"/>
      <c r="BB1554" s="23"/>
    </row>
    <row r="1555" spans="5:54" x14ac:dyDescent="0.35"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  <c r="AA1555" s="23"/>
      <c r="AB1555" s="23"/>
      <c r="AC1555" s="23"/>
      <c r="AD1555" s="23"/>
      <c r="AE1555" s="23"/>
      <c r="AF1555" s="23"/>
      <c r="AG1555" s="23"/>
      <c r="AH1555" s="23"/>
      <c r="AI1555" s="23"/>
      <c r="AJ1555" s="23"/>
      <c r="AK1555" s="23"/>
      <c r="AL1555" s="23"/>
      <c r="AM1555" s="23"/>
      <c r="AN1555" s="23"/>
      <c r="AO1555" s="23"/>
      <c r="AP1555" s="23"/>
      <c r="AQ1555" s="23"/>
      <c r="AR1555" s="23"/>
      <c r="AS1555" s="23"/>
      <c r="AT1555" s="23"/>
      <c r="AU1555" s="23"/>
      <c r="AV1555" s="23"/>
      <c r="AW1555" s="23"/>
      <c r="AX1555" s="23"/>
      <c r="AY1555" s="23"/>
      <c r="AZ1555" s="23"/>
      <c r="BA1555" s="23"/>
      <c r="BB1555" s="23"/>
    </row>
    <row r="1556" spans="5:54" x14ac:dyDescent="0.35"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  <c r="AA1556" s="23"/>
      <c r="AB1556" s="23"/>
      <c r="AC1556" s="23"/>
      <c r="AD1556" s="23"/>
      <c r="AE1556" s="23"/>
      <c r="AF1556" s="23"/>
      <c r="AG1556" s="23"/>
      <c r="AH1556" s="23"/>
      <c r="AI1556" s="23"/>
      <c r="AJ1556" s="23"/>
      <c r="AK1556" s="23"/>
      <c r="AL1556" s="23"/>
      <c r="AM1556" s="23"/>
      <c r="AN1556" s="23"/>
      <c r="AO1556" s="23"/>
      <c r="AP1556" s="23"/>
      <c r="AQ1556" s="23"/>
      <c r="AR1556" s="23"/>
      <c r="AS1556" s="23"/>
      <c r="AT1556" s="23"/>
      <c r="AU1556" s="23"/>
      <c r="AV1556" s="23"/>
      <c r="AW1556" s="23"/>
      <c r="AX1556" s="23"/>
      <c r="AY1556" s="23"/>
      <c r="AZ1556" s="23"/>
      <c r="BA1556" s="23"/>
      <c r="BB1556" s="23"/>
    </row>
    <row r="1557" spans="5:54" x14ac:dyDescent="0.35"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  <c r="AA1557" s="23"/>
      <c r="AB1557" s="23"/>
      <c r="AC1557" s="23"/>
      <c r="AD1557" s="23"/>
      <c r="AE1557" s="23"/>
      <c r="AF1557" s="23"/>
      <c r="AG1557" s="23"/>
      <c r="AH1557" s="23"/>
      <c r="AI1557" s="23"/>
      <c r="AJ1557" s="23"/>
      <c r="AK1557" s="23"/>
      <c r="AL1557" s="23"/>
      <c r="AM1557" s="23"/>
      <c r="AN1557" s="23"/>
      <c r="AO1557" s="23"/>
      <c r="AP1557" s="23"/>
      <c r="AQ1557" s="23"/>
      <c r="AR1557" s="23"/>
      <c r="AS1557" s="23"/>
      <c r="AT1557" s="23"/>
      <c r="AU1557" s="23"/>
      <c r="AV1557" s="23"/>
      <c r="AW1557" s="23"/>
      <c r="AX1557" s="23"/>
      <c r="AY1557" s="23"/>
      <c r="AZ1557" s="23"/>
      <c r="BA1557" s="23"/>
      <c r="BB1557" s="23"/>
    </row>
    <row r="1558" spans="5:54" x14ac:dyDescent="0.35"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  <c r="AA1558" s="23"/>
      <c r="AB1558" s="23"/>
      <c r="AC1558" s="23"/>
      <c r="AD1558" s="23"/>
      <c r="AE1558" s="23"/>
      <c r="AF1558" s="23"/>
      <c r="AG1558" s="23"/>
      <c r="AH1558" s="23"/>
      <c r="AI1558" s="23"/>
      <c r="AJ1558" s="23"/>
      <c r="AK1558" s="23"/>
      <c r="AL1558" s="23"/>
      <c r="AM1558" s="23"/>
      <c r="AN1558" s="23"/>
      <c r="AO1558" s="23"/>
      <c r="AP1558" s="23"/>
      <c r="AQ1558" s="23"/>
      <c r="AR1558" s="23"/>
      <c r="AS1558" s="23"/>
      <c r="AT1558" s="23"/>
      <c r="AU1558" s="23"/>
      <c r="AV1558" s="23"/>
      <c r="AW1558" s="23"/>
      <c r="AX1558" s="23"/>
      <c r="AY1558" s="23"/>
      <c r="AZ1558" s="23"/>
      <c r="BA1558" s="23"/>
      <c r="BB1558" s="23"/>
    </row>
    <row r="1559" spans="5:54" x14ac:dyDescent="0.35"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  <c r="AA1559" s="23"/>
      <c r="AB1559" s="23"/>
      <c r="AC1559" s="23"/>
      <c r="AD1559" s="23"/>
      <c r="AE1559" s="23"/>
      <c r="AF1559" s="23"/>
      <c r="AG1559" s="23"/>
      <c r="AH1559" s="23"/>
      <c r="AI1559" s="23"/>
      <c r="AJ1559" s="23"/>
      <c r="AK1559" s="23"/>
      <c r="AL1559" s="23"/>
      <c r="AM1559" s="23"/>
      <c r="AN1559" s="23"/>
      <c r="AO1559" s="23"/>
      <c r="AP1559" s="23"/>
      <c r="AQ1559" s="23"/>
      <c r="AR1559" s="23"/>
      <c r="AS1559" s="23"/>
      <c r="AT1559" s="23"/>
      <c r="AU1559" s="23"/>
      <c r="AV1559" s="23"/>
      <c r="AW1559" s="23"/>
      <c r="AX1559" s="23"/>
      <c r="AY1559" s="23"/>
      <c r="AZ1559" s="23"/>
      <c r="BA1559" s="23"/>
      <c r="BB1559" s="23"/>
    </row>
    <row r="1560" spans="5:54" x14ac:dyDescent="0.35"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  <c r="AA1560" s="23"/>
      <c r="AB1560" s="23"/>
      <c r="AC1560" s="23"/>
      <c r="AD1560" s="23"/>
      <c r="AE1560" s="23"/>
      <c r="AF1560" s="23"/>
      <c r="AG1560" s="23"/>
      <c r="AH1560" s="23"/>
      <c r="AI1560" s="23"/>
      <c r="AJ1560" s="23"/>
      <c r="AK1560" s="23"/>
      <c r="AL1560" s="23"/>
      <c r="AM1560" s="23"/>
      <c r="AN1560" s="23"/>
      <c r="AO1560" s="23"/>
      <c r="AP1560" s="23"/>
      <c r="AQ1560" s="23"/>
      <c r="AR1560" s="23"/>
      <c r="AS1560" s="23"/>
      <c r="AT1560" s="23"/>
      <c r="AU1560" s="23"/>
      <c r="AV1560" s="23"/>
      <c r="AW1560" s="23"/>
      <c r="AX1560" s="23"/>
      <c r="AY1560" s="23"/>
      <c r="AZ1560" s="23"/>
      <c r="BA1560" s="23"/>
      <c r="BB1560" s="23"/>
    </row>
    <row r="1561" spans="5:54" x14ac:dyDescent="0.35"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  <c r="AA1561" s="23"/>
      <c r="AB1561" s="23"/>
      <c r="AC1561" s="23"/>
      <c r="AD1561" s="23"/>
      <c r="AE1561" s="23"/>
      <c r="AF1561" s="23"/>
      <c r="AG1561" s="23"/>
      <c r="AH1561" s="23"/>
      <c r="AI1561" s="23"/>
      <c r="AJ1561" s="23"/>
      <c r="AK1561" s="23"/>
      <c r="AL1561" s="23"/>
      <c r="AM1561" s="23"/>
      <c r="AN1561" s="23"/>
      <c r="AO1561" s="23"/>
      <c r="AP1561" s="23"/>
      <c r="AQ1561" s="23"/>
      <c r="AR1561" s="23"/>
      <c r="AS1561" s="23"/>
      <c r="AT1561" s="23"/>
      <c r="AU1561" s="23"/>
      <c r="AV1561" s="23"/>
      <c r="AW1561" s="23"/>
      <c r="AX1561" s="23"/>
      <c r="AY1561" s="23"/>
      <c r="AZ1561" s="23"/>
      <c r="BA1561" s="23"/>
      <c r="BB1561" s="23"/>
    </row>
    <row r="1562" spans="5:54" x14ac:dyDescent="0.35"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  <c r="AA1562" s="23"/>
      <c r="AB1562" s="23"/>
      <c r="AC1562" s="23"/>
      <c r="AD1562" s="23"/>
      <c r="AE1562" s="23"/>
      <c r="AF1562" s="23"/>
      <c r="AG1562" s="23"/>
      <c r="AH1562" s="23"/>
      <c r="AI1562" s="23"/>
      <c r="AJ1562" s="23"/>
      <c r="AK1562" s="23"/>
      <c r="AL1562" s="23"/>
      <c r="AM1562" s="23"/>
      <c r="AN1562" s="23"/>
      <c r="AO1562" s="23"/>
      <c r="AP1562" s="23"/>
      <c r="AQ1562" s="23"/>
      <c r="AR1562" s="23"/>
      <c r="AS1562" s="23"/>
      <c r="AT1562" s="23"/>
      <c r="AU1562" s="23"/>
      <c r="AV1562" s="23"/>
      <c r="AW1562" s="23"/>
      <c r="AX1562" s="23"/>
      <c r="AY1562" s="23"/>
      <c r="AZ1562" s="23"/>
      <c r="BA1562" s="23"/>
      <c r="BB1562" s="23"/>
    </row>
    <row r="1563" spans="5:54" x14ac:dyDescent="0.35"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  <c r="AA1563" s="23"/>
      <c r="AB1563" s="23"/>
      <c r="AC1563" s="23"/>
      <c r="AD1563" s="23"/>
      <c r="AE1563" s="23"/>
      <c r="AF1563" s="23"/>
      <c r="AG1563" s="23"/>
      <c r="AH1563" s="23"/>
      <c r="AI1563" s="23"/>
      <c r="AJ1563" s="23"/>
      <c r="AK1563" s="23"/>
      <c r="AL1563" s="23"/>
      <c r="AM1563" s="23"/>
      <c r="AN1563" s="23"/>
      <c r="AO1563" s="23"/>
      <c r="AP1563" s="23"/>
      <c r="AQ1563" s="23"/>
      <c r="AR1563" s="23"/>
      <c r="AS1563" s="23"/>
      <c r="AT1563" s="23"/>
      <c r="AU1563" s="23"/>
      <c r="AV1563" s="23"/>
      <c r="AW1563" s="23"/>
      <c r="AX1563" s="23"/>
      <c r="AY1563" s="23"/>
      <c r="AZ1563" s="23"/>
      <c r="BA1563" s="23"/>
      <c r="BB1563" s="23"/>
    </row>
    <row r="1564" spans="5:54" x14ac:dyDescent="0.35"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  <c r="AA1564" s="23"/>
      <c r="AB1564" s="23"/>
      <c r="AC1564" s="23"/>
      <c r="AD1564" s="23"/>
      <c r="AE1564" s="23"/>
      <c r="AF1564" s="23"/>
      <c r="AG1564" s="23"/>
      <c r="AH1564" s="23"/>
      <c r="AI1564" s="23"/>
      <c r="AJ1564" s="23"/>
      <c r="AK1564" s="23"/>
      <c r="AL1564" s="23"/>
      <c r="AM1564" s="23"/>
      <c r="AN1564" s="23"/>
      <c r="AO1564" s="23"/>
      <c r="AP1564" s="23"/>
      <c r="AQ1564" s="23"/>
      <c r="AR1564" s="23"/>
      <c r="AS1564" s="23"/>
      <c r="AT1564" s="23"/>
      <c r="AU1564" s="23"/>
      <c r="AV1564" s="23"/>
      <c r="AW1564" s="23"/>
      <c r="AX1564" s="23"/>
      <c r="AY1564" s="23"/>
      <c r="AZ1564" s="23"/>
      <c r="BA1564" s="23"/>
      <c r="BB1564" s="23"/>
    </row>
    <row r="1565" spans="5:54" x14ac:dyDescent="0.35"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  <c r="AA1565" s="23"/>
      <c r="AB1565" s="23"/>
      <c r="AC1565" s="23"/>
      <c r="AD1565" s="23"/>
      <c r="AE1565" s="23"/>
      <c r="AF1565" s="23"/>
      <c r="AG1565" s="23"/>
      <c r="AH1565" s="23"/>
      <c r="AI1565" s="23"/>
      <c r="AJ1565" s="23"/>
      <c r="AK1565" s="23"/>
      <c r="AL1565" s="23"/>
      <c r="AM1565" s="23"/>
      <c r="AN1565" s="23"/>
      <c r="AO1565" s="23"/>
      <c r="AP1565" s="23"/>
      <c r="AQ1565" s="23"/>
      <c r="AR1565" s="23"/>
      <c r="AS1565" s="23"/>
      <c r="AT1565" s="23"/>
      <c r="AU1565" s="23"/>
      <c r="AV1565" s="23"/>
      <c r="AW1565" s="23"/>
      <c r="AX1565" s="23"/>
      <c r="AY1565" s="23"/>
      <c r="AZ1565" s="23"/>
      <c r="BA1565" s="23"/>
      <c r="BB1565" s="23"/>
    </row>
    <row r="1566" spans="5:54" x14ac:dyDescent="0.35"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  <c r="AA1566" s="23"/>
      <c r="AB1566" s="23"/>
      <c r="AC1566" s="23"/>
      <c r="AD1566" s="23"/>
      <c r="AE1566" s="23"/>
      <c r="AF1566" s="23"/>
      <c r="AG1566" s="23"/>
      <c r="AH1566" s="23"/>
      <c r="AI1566" s="23"/>
      <c r="AJ1566" s="23"/>
      <c r="AK1566" s="23"/>
      <c r="AL1566" s="23"/>
      <c r="AM1566" s="23"/>
      <c r="AN1566" s="23"/>
      <c r="AO1566" s="23"/>
      <c r="AP1566" s="23"/>
      <c r="AQ1566" s="23"/>
      <c r="AR1566" s="23"/>
      <c r="AS1566" s="23"/>
      <c r="AT1566" s="23"/>
      <c r="AU1566" s="23"/>
      <c r="AV1566" s="23"/>
      <c r="AW1566" s="23"/>
      <c r="AX1566" s="23"/>
      <c r="AY1566" s="23"/>
      <c r="AZ1566" s="23"/>
      <c r="BA1566" s="23"/>
      <c r="BB1566" s="23"/>
    </row>
    <row r="1567" spans="5:54" x14ac:dyDescent="0.35"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  <c r="AA1567" s="23"/>
      <c r="AB1567" s="23"/>
      <c r="AC1567" s="23"/>
      <c r="AD1567" s="23"/>
      <c r="AE1567" s="23"/>
      <c r="AF1567" s="23"/>
      <c r="AG1567" s="23"/>
      <c r="AH1567" s="23"/>
      <c r="AI1567" s="23"/>
      <c r="AJ1567" s="23"/>
      <c r="AK1567" s="23"/>
      <c r="AL1567" s="23"/>
      <c r="AM1567" s="23"/>
      <c r="AN1567" s="23"/>
      <c r="AO1567" s="23"/>
      <c r="AP1567" s="23"/>
      <c r="AQ1567" s="23"/>
      <c r="AR1567" s="23"/>
      <c r="AS1567" s="23"/>
      <c r="AT1567" s="23"/>
      <c r="AU1567" s="23"/>
      <c r="AV1567" s="23"/>
      <c r="AW1567" s="23"/>
      <c r="AX1567" s="23"/>
      <c r="AY1567" s="23"/>
      <c r="AZ1567" s="23"/>
      <c r="BA1567" s="23"/>
      <c r="BB1567" s="23"/>
    </row>
    <row r="1568" spans="5:54" x14ac:dyDescent="0.35"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  <c r="AA1568" s="23"/>
      <c r="AB1568" s="23"/>
      <c r="AC1568" s="23"/>
      <c r="AD1568" s="23"/>
      <c r="AE1568" s="23"/>
      <c r="AF1568" s="23"/>
      <c r="AG1568" s="23"/>
      <c r="AH1568" s="23"/>
      <c r="AI1568" s="23"/>
      <c r="AJ1568" s="23"/>
      <c r="AK1568" s="23"/>
      <c r="AL1568" s="23"/>
      <c r="AM1568" s="23"/>
      <c r="AN1568" s="23"/>
      <c r="AO1568" s="23"/>
      <c r="AP1568" s="23"/>
      <c r="AQ1568" s="23"/>
      <c r="AR1568" s="23"/>
      <c r="AS1568" s="23"/>
      <c r="AT1568" s="23"/>
      <c r="AU1568" s="23"/>
      <c r="AV1568" s="23"/>
      <c r="AW1568" s="23"/>
      <c r="AX1568" s="23"/>
      <c r="AY1568" s="23"/>
      <c r="AZ1568" s="23"/>
      <c r="BA1568" s="23"/>
      <c r="BB1568" s="23"/>
    </row>
    <row r="1569" spans="5:54" x14ac:dyDescent="0.35"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  <c r="AA1569" s="23"/>
      <c r="AB1569" s="23"/>
      <c r="AC1569" s="23"/>
      <c r="AD1569" s="23"/>
      <c r="AE1569" s="23"/>
      <c r="AF1569" s="23"/>
      <c r="AG1569" s="23"/>
      <c r="AH1569" s="23"/>
      <c r="AI1569" s="23"/>
      <c r="AJ1569" s="23"/>
      <c r="AK1569" s="23"/>
      <c r="AL1569" s="23"/>
      <c r="AM1569" s="23"/>
      <c r="AN1569" s="23"/>
      <c r="AO1569" s="23"/>
      <c r="AP1569" s="23"/>
      <c r="AQ1569" s="23"/>
      <c r="AR1569" s="23"/>
      <c r="AS1569" s="23"/>
      <c r="AT1569" s="23"/>
      <c r="AU1569" s="23"/>
      <c r="AV1569" s="23"/>
      <c r="AW1569" s="23"/>
      <c r="AX1569" s="23"/>
      <c r="AY1569" s="23"/>
      <c r="AZ1569" s="23"/>
      <c r="BA1569" s="23"/>
      <c r="BB1569" s="23"/>
    </row>
    <row r="1570" spans="5:54" x14ac:dyDescent="0.35"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  <c r="AA1570" s="23"/>
      <c r="AB1570" s="23"/>
      <c r="AC1570" s="23"/>
      <c r="AD1570" s="23"/>
      <c r="AE1570" s="23"/>
      <c r="AF1570" s="23"/>
      <c r="AG1570" s="23"/>
      <c r="AH1570" s="23"/>
      <c r="AI1570" s="23"/>
      <c r="AJ1570" s="23"/>
      <c r="AK1570" s="23"/>
      <c r="AL1570" s="23"/>
      <c r="AM1570" s="23"/>
      <c r="AN1570" s="23"/>
      <c r="AO1570" s="23"/>
      <c r="AP1570" s="23"/>
      <c r="AQ1570" s="23"/>
      <c r="AR1570" s="23"/>
      <c r="AS1570" s="23"/>
      <c r="AT1570" s="23"/>
      <c r="AU1570" s="23"/>
      <c r="AV1570" s="23"/>
      <c r="AW1570" s="23"/>
      <c r="AX1570" s="23"/>
      <c r="AY1570" s="23"/>
      <c r="AZ1570" s="23"/>
      <c r="BA1570" s="23"/>
      <c r="BB1570" s="23"/>
    </row>
    <row r="1571" spans="5:54" x14ac:dyDescent="0.35"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  <c r="AA1571" s="23"/>
      <c r="AB1571" s="23"/>
      <c r="AC1571" s="23"/>
      <c r="AD1571" s="23"/>
      <c r="AE1571" s="23"/>
      <c r="AF1571" s="23"/>
      <c r="AG1571" s="23"/>
      <c r="AH1571" s="23"/>
      <c r="AI1571" s="23"/>
      <c r="AJ1571" s="23"/>
      <c r="AK1571" s="23"/>
      <c r="AL1571" s="23"/>
      <c r="AM1571" s="23"/>
      <c r="AN1571" s="23"/>
      <c r="AO1571" s="23"/>
      <c r="AP1571" s="23"/>
      <c r="AQ1571" s="23"/>
      <c r="AR1571" s="23"/>
      <c r="AS1571" s="23"/>
      <c r="AT1571" s="23"/>
      <c r="AU1571" s="23"/>
      <c r="AV1571" s="23"/>
      <c r="AW1571" s="23"/>
      <c r="AX1571" s="23"/>
      <c r="AY1571" s="23"/>
      <c r="AZ1571" s="23"/>
      <c r="BA1571" s="23"/>
      <c r="BB1571" s="23"/>
    </row>
    <row r="1572" spans="5:54" x14ac:dyDescent="0.35"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  <c r="AA1572" s="23"/>
      <c r="AB1572" s="23"/>
      <c r="AC1572" s="23"/>
      <c r="AD1572" s="23"/>
      <c r="AE1572" s="23"/>
      <c r="AF1572" s="23"/>
      <c r="AG1572" s="23"/>
      <c r="AH1572" s="23"/>
      <c r="AI1572" s="23"/>
      <c r="AJ1572" s="23"/>
      <c r="AK1572" s="23"/>
      <c r="AL1572" s="23"/>
      <c r="AM1572" s="23"/>
      <c r="AN1572" s="23"/>
      <c r="AO1572" s="23"/>
      <c r="AP1572" s="23"/>
      <c r="AQ1572" s="23"/>
      <c r="AR1572" s="23"/>
      <c r="AS1572" s="23"/>
      <c r="AT1572" s="23"/>
      <c r="AU1572" s="23"/>
      <c r="AV1572" s="23"/>
      <c r="AW1572" s="23"/>
      <c r="AX1572" s="23"/>
      <c r="AY1572" s="23"/>
      <c r="AZ1572" s="23"/>
      <c r="BA1572" s="23"/>
      <c r="BB1572" s="23"/>
    </row>
    <row r="1573" spans="5:54" x14ac:dyDescent="0.35"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  <c r="AA1573" s="23"/>
      <c r="AB1573" s="23"/>
      <c r="AC1573" s="23"/>
      <c r="AD1573" s="23"/>
      <c r="AE1573" s="23"/>
      <c r="AF1573" s="23"/>
      <c r="AG1573" s="23"/>
      <c r="AH1573" s="23"/>
      <c r="AI1573" s="23"/>
      <c r="AJ1573" s="23"/>
      <c r="AK1573" s="23"/>
      <c r="AL1573" s="23"/>
      <c r="AM1573" s="23"/>
      <c r="AN1573" s="23"/>
      <c r="AO1573" s="23"/>
      <c r="AP1573" s="23"/>
      <c r="AQ1573" s="23"/>
      <c r="AR1573" s="23"/>
      <c r="AS1573" s="23"/>
      <c r="AT1573" s="23"/>
      <c r="AU1573" s="23"/>
      <c r="AV1573" s="23"/>
      <c r="AW1573" s="23"/>
      <c r="AX1573" s="23"/>
      <c r="AY1573" s="23"/>
      <c r="AZ1573" s="23"/>
      <c r="BA1573" s="23"/>
      <c r="BB1573" s="23"/>
    </row>
    <row r="1574" spans="5:54" x14ac:dyDescent="0.35"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  <c r="AA1574" s="23"/>
      <c r="AB1574" s="23"/>
      <c r="AC1574" s="23"/>
      <c r="AD1574" s="23"/>
      <c r="AE1574" s="23"/>
      <c r="AF1574" s="23"/>
      <c r="AG1574" s="23"/>
      <c r="AH1574" s="23"/>
      <c r="AI1574" s="23"/>
      <c r="AJ1574" s="23"/>
      <c r="AK1574" s="23"/>
      <c r="AL1574" s="23"/>
      <c r="AM1574" s="23"/>
      <c r="AN1574" s="23"/>
      <c r="AO1574" s="23"/>
      <c r="AP1574" s="23"/>
      <c r="AQ1574" s="23"/>
      <c r="AR1574" s="23"/>
      <c r="AS1574" s="23"/>
      <c r="AT1574" s="23"/>
      <c r="AU1574" s="23"/>
      <c r="AV1574" s="23"/>
      <c r="AW1574" s="23"/>
      <c r="AX1574" s="23"/>
      <c r="AY1574" s="23"/>
      <c r="AZ1574" s="23"/>
      <c r="BA1574" s="23"/>
      <c r="BB1574" s="23"/>
    </row>
    <row r="1575" spans="5:54" x14ac:dyDescent="0.35"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  <c r="AA1575" s="23"/>
      <c r="AB1575" s="23"/>
      <c r="AC1575" s="23"/>
      <c r="AD1575" s="23"/>
      <c r="AE1575" s="23"/>
      <c r="AF1575" s="23"/>
      <c r="AG1575" s="23"/>
      <c r="AH1575" s="23"/>
      <c r="AI1575" s="23"/>
      <c r="AJ1575" s="23"/>
      <c r="AK1575" s="23"/>
      <c r="AL1575" s="23"/>
      <c r="AM1575" s="23"/>
      <c r="AN1575" s="23"/>
      <c r="AO1575" s="23"/>
      <c r="AP1575" s="23"/>
      <c r="AQ1575" s="23"/>
      <c r="AR1575" s="23"/>
      <c r="AS1575" s="23"/>
      <c r="AT1575" s="23"/>
      <c r="AU1575" s="23"/>
      <c r="AV1575" s="23"/>
      <c r="AW1575" s="23"/>
      <c r="AX1575" s="23"/>
      <c r="AY1575" s="23"/>
      <c r="AZ1575" s="23"/>
      <c r="BA1575" s="23"/>
      <c r="BB1575" s="23"/>
    </row>
    <row r="1576" spans="5:54" x14ac:dyDescent="0.35"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  <c r="AA1576" s="23"/>
      <c r="AB1576" s="23"/>
      <c r="AC1576" s="23"/>
      <c r="AD1576" s="23"/>
      <c r="AE1576" s="23"/>
      <c r="AF1576" s="23"/>
      <c r="AG1576" s="23"/>
      <c r="AH1576" s="23"/>
      <c r="AI1576" s="23"/>
      <c r="AJ1576" s="23"/>
      <c r="AK1576" s="23"/>
      <c r="AL1576" s="23"/>
      <c r="AM1576" s="23"/>
      <c r="AN1576" s="23"/>
      <c r="AO1576" s="23"/>
      <c r="AP1576" s="23"/>
      <c r="AQ1576" s="23"/>
      <c r="AR1576" s="23"/>
      <c r="AS1576" s="23"/>
      <c r="AT1576" s="23"/>
      <c r="AU1576" s="23"/>
      <c r="AV1576" s="23"/>
      <c r="AW1576" s="23"/>
      <c r="AX1576" s="23"/>
      <c r="AY1576" s="23"/>
      <c r="AZ1576" s="23"/>
      <c r="BA1576" s="23"/>
      <c r="BB1576" s="23"/>
    </row>
    <row r="1577" spans="5:54" x14ac:dyDescent="0.35"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  <c r="AA1577" s="23"/>
      <c r="AB1577" s="23"/>
      <c r="AC1577" s="23"/>
      <c r="AD1577" s="23"/>
      <c r="AE1577" s="23"/>
      <c r="AF1577" s="23"/>
      <c r="AG1577" s="23"/>
      <c r="AH1577" s="23"/>
      <c r="AI1577" s="23"/>
      <c r="AJ1577" s="23"/>
      <c r="AK1577" s="23"/>
      <c r="AL1577" s="23"/>
      <c r="AM1577" s="23"/>
      <c r="AN1577" s="23"/>
      <c r="AO1577" s="23"/>
      <c r="AP1577" s="23"/>
      <c r="AQ1577" s="23"/>
      <c r="AR1577" s="23"/>
      <c r="AS1577" s="23"/>
      <c r="AT1577" s="23"/>
      <c r="AU1577" s="23"/>
      <c r="AV1577" s="23"/>
      <c r="AW1577" s="23"/>
      <c r="AX1577" s="23"/>
      <c r="AY1577" s="23"/>
      <c r="AZ1577" s="23"/>
      <c r="BA1577" s="23"/>
      <c r="BB1577" s="23"/>
    </row>
    <row r="1578" spans="5:54" x14ac:dyDescent="0.35"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  <c r="AA1578" s="23"/>
      <c r="AB1578" s="23"/>
      <c r="AC1578" s="23"/>
      <c r="AD1578" s="23"/>
      <c r="AE1578" s="23"/>
      <c r="AF1578" s="23"/>
      <c r="AG1578" s="23"/>
      <c r="AH1578" s="23"/>
      <c r="AI1578" s="23"/>
      <c r="AJ1578" s="23"/>
      <c r="AK1578" s="23"/>
      <c r="AL1578" s="23"/>
      <c r="AM1578" s="23"/>
      <c r="AN1578" s="23"/>
      <c r="AO1578" s="23"/>
      <c r="AP1578" s="23"/>
      <c r="AQ1578" s="23"/>
      <c r="AR1578" s="23"/>
      <c r="AS1578" s="23"/>
      <c r="AT1578" s="23"/>
      <c r="AU1578" s="23"/>
      <c r="AV1578" s="23"/>
      <c r="AW1578" s="23"/>
      <c r="AX1578" s="23"/>
      <c r="AY1578" s="23"/>
      <c r="AZ1578" s="23"/>
      <c r="BA1578" s="23"/>
      <c r="BB1578" s="23"/>
    </row>
    <row r="1579" spans="5:54" x14ac:dyDescent="0.35"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  <c r="AA1579" s="23"/>
      <c r="AB1579" s="23"/>
      <c r="AC1579" s="23"/>
      <c r="AD1579" s="23"/>
      <c r="AE1579" s="23"/>
      <c r="AF1579" s="23"/>
      <c r="AG1579" s="23"/>
      <c r="AH1579" s="23"/>
      <c r="AI1579" s="23"/>
      <c r="AJ1579" s="23"/>
      <c r="AK1579" s="23"/>
      <c r="AL1579" s="23"/>
      <c r="AM1579" s="23"/>
      <c r="AN1579" s="23"/>
      <c r="AO1579" s="23"/>
      <c r="AP1579" s="23"/>
      <c r="AQ1579" s="23"/>
      <c r="AR1579" s="23"/>
      <c r="AS1579" s="23"/>
      <c r="AT1579" s="23"/>
      <c r="AU1579" s="23"/>
      <c r="AV1579" s="23"/>
      <c r="AW1579" s="23"/>
      <c r="AX1579" s="23"/>
      <c r="AY1579" s="23"/>
      <c r="AZ1579" s="23"/>
      <c r="BA1579" s="23"/>
      <c r="BB1579" s="23"/>
    </row>
    <row r="1580" spans="5:54" x14ac:dyDescent="0.35"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  <c r="AA1580" s="23"/>
      <c r="AB1580" s="23"/>
      <c r="AC1580" s="23"/>
      <c r="AD1580" s="23"/>
      <c r="AE1580" s="23"/>
      <c r="AF1580" s="23"/>
      <c r="AG1580" s="23"/>
      <c r="AH1580" s="23"/>
      <c r="AI1580" s="23"/>
      <c r="AJ1580" s="23"/>
      <c r="AK1580" s="23"/>
      <c r="AL1580" s="23"/>
      <c r="AM1580" s="23"/>
      <c r="AN1580" s="23"/>
      <c r="AO1580" s="23"/>
      <c r="AP1580" s="23"/>
      <c r="AQ1580" s="23"/>
      <c r="AR1580" s="23"/>
      <c r="AS1580" s="23"/>
      <c r="AT1580" s="23"/>
      <c r="AU1580" s="23"/>
      <c r="AV1580" s="23"/>
      <c r="AW1580" s="23"/>
      <c r="AX1580" s="23"/>
      <c r="AY1580" s="23"/>
      <c r="AZ1580" s="23"/>
      <c r="BA1580" s="23"/>
      <c r="BB1580" s="23"/>
    </row>
    <row r="1581" spans="5:54" x14ac:dyDescent="0.35"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  <c r="AA1581" s="23"/>
      <c r="AB1581" s="23"/>
      <c r="AC1581" s="23"/>
      <c r="AD1581" s="23"/>
      <c r="AE1581" s="23"/>
      <c r="AF1581" s="23"/>
      <c r="AG1581" s="23"/>
      <c r="AH1581" s="23"/>
      <c r="AI1581" s="23"/>
      <c r="AJ1581" s="23"/>
      <c r="AK1581" s="23"/>
      <c r="AL1581" s="23"/>
      <c r="AM1581" s="23"/>
      <c r="AN1581" s="23"/>
      <c r="AO1581" s="23"/>
      <c r="AP1581" s="23"/>
      <c r="AQ1581" s="23"/>
      <c r="AR1581" s="23"/>
      <c r="AS1581" s="23"/>
      <c r="AT1581" s="23"/>
      <c r="AU1581" s="23"/>
      <c r="AV1581" s="23"/>
      <c r="AW1581" s="23"/>
      <c r="AX1581" s="23"/>
      <c r="AY1581" s="23"/>
      <c r="AZ1581" s="23"/>
      <c r="BA1581" s="23"/>
      <c r="BB1581" s="23"/>
    </row>
    <row r="1582" spans="5:54" x14ac:dyDescent="0.35"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  <c r="AA1582" s="23"/>
      <c r="AB1582" s="23"/>
      <c r="AC1582" s="23"/>
      <c r="AD1582" s="23"/>
      <c r="AE1582" s="23"/>
      <c r="AF1582" s="23"/>
      <c r="AG1582" s="23"/>
      <c r="AH1582" s="23"/>
      <c r="AI1582" s="23"/>
      <c r="AJ1582" s="23"/>
      <c r="AK1582" s="23"/>
      <c r="AL1582" s="23"/>
      <c r="AM1582" s="23"/>
      <c r="AN1582" s="23"/>
      <c r="AO1582" s="23"/>
      <c r="AP1582" s="23"/>
      <c r="AQ1582" s="23"/>
      <c r="AR1582" s="23"/>
      <c r="AS1582" s="23"/>
      <c r="AT1582" s="23"/>
      <c r="AU1582" s="23"/>
      <c r="AV1582" s="23"/>
      <c r="AW1582" s="23"/>
      <c r="AX1582" s="23"/>
      <c r="AY1582" s="23"/>
      <c r="AZ1582" s="23"/>
      <c r="BA1582" s="23"/>
      <c r="BB1582" s="23"/>
    </row>
    <row r="1583" spans="5:54" x14ac:dyDescent="0.35"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  <c r="AA1583" s="23"/>
      <c r="AB1583" s="23"/>
      <c r="AC1583" s="23"/>
      <c r="AD1583" s="23"/>
      <c r="AE1583" s="23"/>
      <c r="AF1583" s="23"/>
      <c r="AG1583" s="23"/>
      <c r="AH1583" s="23"/>
      <c r="AI1583" s="23"/>
      <c r="AJ1583" s="23"/>
      <c r="AK1583" s="23"/>
      <c r="AL1583" s="23"/>
      <c r="AM1583" s="23"/>
      <c r="AN1583" s="23"/>
      <c r="AO1583" s="23"/>
      <c r="AP1583" s="23"/>
      <c r="AQ1583" s="23"/>
      <c r="AR1583" s="23"/>
      <c r="AS1583" s="23"/>
      <c r="AT1583" s="23"/>
      <c r="AU1583" s="23"/>
      <c r="AV1583" s="23"/>
      <c r="AW1583" s="23"/>
      <c r="AX1583" s="23"/>
      <c r="AY1583" s="23"/>
      <c r="AZ1583" s="23"/>
      <c r="BA1583" s="23"/>
      <c r="BB1583" s="23"/>
    </row>
    <row r="1584" spans="5:54" x14ac:dyDescent="0.35"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3"/>
      <c r="AB1584" s="23"/>
      <c r="AC1584" s="23"/>
      <c r="AD1584" s="23"/>
      <c r="AE1584" s="23"/>
      <c r="AF1584" s="23"/>
      <c r="AG1584" s="23"/>
      <c r="AH1584" s="23"/>
      <c r="AI1584" s="23"/>
      <c r="AJ1584" s="23"/>
      <c r="AK1584" s="23"/>
      <c r="AL1584" s="23"/>
      <c r="AM1584" s="23"/>
      <c r="AN1584" s="23"/>
      <c r="AO1584" s="23"/>
      <c r="AP1584" s="23"/>
      <c r="AQ1584" s="23"/>
      <c r="AR1584" s="23"/>
      <c r="AS1584" s="23"/>
      <c r="AT1584" s="23"/>
      <c r="AU1584" s="23"/>
      <c r="AV1584" s="23"/>
      <c r="AW1584" s="23"/>
      <c r="AX1584" s="23"/>
      <c r="AY1584" s="23"/>
      <c r="AZ1584" s="23"/>
      <c r="BA1584" s="23"/>
      <c r="BB1584" s="23"/>
    </row>
    <row r="1585" spans="5:54" x14ac:dyDescent="0.35"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  <c r="AA1585" s="23"/>
      <c r="AB1585" s="23"/>
      <c r="AC1585" s="23"/>
      <c r="AD1585" s="23"/>
      <c r="AE1585" s="23"/>
      <c r="AF1585" s="23"/>
      <c r="AG1585" s="23"/>
      <c r="AH1585" s="23"/>
      <c r="AI1585" s="23"/>
      <c r="AJ1585" s="23"/>
      <c r="AK1585" s="23"/>
      <c r="AL1585" s="23"/>
      <c r="AM1585" s="23"/>
      <c r="AN1585" s="23"/>
      <c r="AO1585" s="23"/>
      <c r="AP1585" s="23"/>
      <c r="AQ1585" s="23"/>
      <c r="AR1585" s="23"/>
      <c r="AS1585" s="23"/>
      <c r="AT1585" s="23"/>
      <c r="AU1585" s="23"/>
      <c r="AV1585" s="23"/>
      <c r="AW1585" s="23"/>
      <c r="AX1585" s="23"/>
      <c r="AY1585" s="23"/>
      <c r="AZ1585" s="23"/>
      <c r="BA1585" s="23"/>
      <c r="BB1585" s="23"/>
    </row>
    <row r="1586" spans="5:54" x14ac:dyDescent="0.35"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  <c r="AA1586" s="23"/>
      <c r="AB1586" s="23"/>
      <c r="AC1586" s="23"/>
      <c r="AD1586" s="23"/>
      <c r="AE1586" s="23"/>
      <c r="AF1586" s="23"/>
      <c r="AG1586" s="23"/>
      <c r="AH1586" s="23"/>
      <c r="AI1586" s="23"/>
      <c r="AJ1586" s="23"/>
      <c r="AK1586" s="23"/>
      <c r="AL1586" s="23"/>
      <c r="AM1586" s="23"/>
      <c r="AN1586" s="23"/>
      <c r="AO1586" s="23"/>
      <c r="AP1586" s="23"/>
      <c r="AQ1586" s="23"/>
      <c r="AR1586" s="23"/>
      <c r="AS1586" s="23"/>
      <c r="AT1586" s="23"/>
      <c r="AU1586" s="23"/>
      <c r="AV1586" s="23"/>
      <c r="AW1586" s="23"/>
      <c r="AX1586" s="23"/>
      <c r="AY1586" s="23"/>
      <c r="AZ1586" s="23"/>
      <c r="BA1586" s="23"/>
      <c r="BB1586" s="23"/>
    </row>
    <row r="1587" spans="5:54" x14ac:dyDescent="0.35"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  <c r="AA1587" s="23"/>
      <c r="AB1587" s="23"/>
      <c r="AC1587" s="23"/>
      <c r="AD1587" s="23"/>
      <c r="AE1587" s="23"/>
      <c r="AF1587" s="23"/>
      <c r="AG1587" s="23"/>
      <c r="AH1587" s="23"/>
      <c r="AI1587" s="23"/>
      <c r="AJ1587" s="23"/>
      <c r="AK1587" s="23"/>
      <c r="AL1587" s="23"/>
      <c r="AM1587" s="23"/>
      <c r="AN1587" s="23"/>
      <c r="AO1587" s="23"/>
      <c r="AP1587" s="23"/>
      <c r="AQ1587" s="23"/>
      <c r="AR1587" s="23"/>
      <c r="AS1587" s="23"/>
      <c r="AT1587" s="23"/>
      <c r="AU1587" s="23"/>
      <c r="AV1587" s="23"/>
      <c r="AW1587" s="23"/>
      <c r="AX1587" s="23"/>
      <c r="AY1587" s="23"/>
      <c r="AZ1587" s="23"/>
      <c r="BA1587" s="23"/>
      <c r="BB1587" s="23"/>
    </row>
    <row r="1588" spans="5:54" x14ac:dyDescent="0.35"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  <c r="AA1588" s="23"/>
      <c r="AB1588" s="23"/>
      <c r="AC1588" s="23"/>
      <c r="AD1588" s="23"/>
      <c r="AE1588" s="23"/>
      <c r="AF1588" s="23"/>
      <c r="AG1588" s="23"/>
      <c r="AH1588" s="23"/>
      <c r="AI1588" s="23"/>
      <c r="AJ1588" s="23"/>
      <c r="AK1588" s="23"/>
      <c r="AL1588" s="23"/>
      <c r="AM1588" s="23"/>
      <c r="AN1588" s="23"/>
      <c r="AO1588" s="23"/>
      <c r="AP1588" s="23"/>
      <c r="AQ1588" s="23"/>
      <c r="AR1588" s="23"/>
      <c r="AS1588" s="23"/>
      <c r="AT1588" s="23"/>
      <c r="AU1588" s="23"/>
      <c r="AV1588" s="23"/>
      <c r="AW1588" s="23"/>
      <c r="AX1588" s="23"/>
      <c r="AY1588" s="23"/>
      <c r="AZ1588" s="23"/>
      <c r="BA1588" s="23"/>
      <c r="BB1588" s="23"/>
    </row>
    <row r="1589" spans="5:54" x14ac:dyDescent="0.35"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  <c r="AA1589" s="23"/>
      <c r="AB1589" s="23"/>
      <c r="AC1589" s="23"/>
      <c r="AD1589" s="23"/>
      <c r="AE1589" s="23"/>
      <c r="AF1589" s="23"/>
      <c r="AG1589" s="23"/>
      <c r="AH1589" s="23"/>
      <c r="AI1589" s="23"/>
      <c r="AJ1589" s="23"/>
      <c r="AK1589" s="23"/>
      <c r="AL1589" s="23"/>
      <c r="AM1589" s="23"/>
      <c r="AN1589" s="23"/>
      <c r="AO1589" s="23"/>
      <c r="AP1589" s="23"/>
      <c r="AQ1589" s="23"/>
      <c r="AR1589" s="23"/>
      <c r="AS1589" s="23"/>
      <c r="AT1589" s="23"/>
      <c r="AU1589" s="23"/>
      <c r="AV1589" s="23"/>
      <c r="AW1589" s="23"/>
      <c r="AX1589" s="23"/>
      <c r="AY1589" s="23"/>
      <c r="AZ1589" s="23"/>
      <c r="BA1589" s="23"/>
      <c r="BB1589" s="23"/>
    </row>
    <row r="1590" spans="5:54" x14ac:dyDescent="0.35"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  <c r="AA1590" s="23"/>
      <c r="AB1590" s="23"/>
      <c r="AC1590" s="23"/>
      <c r="AD1590" s="23"/>
      <c r="AE1590" s="23"/>
      <c r="AF1590" s="23"/>
      <c r="AG1590" s="23"/>
      <c r="AH1590" s="23"/>
      <c r="AI1590" s="23"/>
      <c r="AJ1590" s="23"/>
      <c r="AK1590" s="23"/>
      <c r="AL1590" s="23"/>
      <c r="AM1590" s="23"/>
      <c r="AN1590" s="23"/>
      <c r="AO1590" s="23"/>
      <c r="AP1590" s="23"/>
      <c r="AQ1590" s="23"/>
      <c r="AR1590" s="23"/>
      <c r="AS1590" s="23"/>
      <c r="AT1590" s="23"/>
      <c r="AU1590" s="23"/>
      <c r="AV1590" s="23"/>
      <c r="AW1590" s="23"/>
      <c r="AX1590" s="23"/>
      <c r="AY1590" s="23"/>
      <c r="AZ1590" s="23"/>
      <c r="BA1590" s="23"/>
      <c r="BB1590" s="23"/>
    </row>
    <row r="1591" spans="5:54" x14ac:dyDescent="0.35"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  <c r="AA1591" s="23"/>
      <c r="AB1591" s="23"/>
      <c r="AC1591" s="23"/>
      <c r="AD1591" s="23"/>
      <c r="AE1591" s="23"/>
      <c r="AF1591" s="23"/>
      <c r="AG1591" s="23"/>
      <c r="AH1591" s="23"/>
      <c r="AI1591" s="23"/>
      <c r="AJ1591" s="23"/>
      <c r="AK1591" s="23"/>
      <c r="AL1591" s="23"/>
      <c r="AM1591" s="23"/>
      <c r="AN1591" s="23"/>
      <c r="AO1591" s="23"/>
      <c r="AP1591" s="23"/>
      <c r="AQ1591" s="23"/>
      <c r="AR1591" s="23"/>
      <c r="AS1591" s="23"/>
      <c r="AT1591" s="23"/>
      <c r="AU1591" s="23"/>
      <c r="AV1591" s="23"/>
      <c r="AW1591" s="23"/>
      <c r="AX1591" s="23"/>
      <c r="AY1591" s="23"/>
      <c r="AZ1591" s="23"/>
      <c r="BA1591" s="23"/>
      <c r="BB1591" s="23"/>
    </row>
    <row r="1592" spans="5:54" x14ac:dyDescent="0.35"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  <c r="AA1592" s="23"/>
      <c r="AB1592" s="23"/>
      <c r="AC1592" s="23"/>
      <c r="AD1592" s="23"/>
      <c r="AE1592" s="23"/>
      <c r="AF1592" s="23"/>
      <c r="AG1592" s="23"/>
      <c r="AH1592" s="23"/>
      <c r="AI1592" s="23"/>
      <c r="AJ1592" s="23"/>
      <c r="AK1592" s="23"/>
      <c r="AL1592" s="23"/>
      <c r="AM1592" s="23"/>
      <c r="AN1592" s="23"/>
      <c r="AO1592" s="23"/>
      <c r="AP1592" s="23"/>
      <c r="AQ1592" s="23"/>
      <c r="AR1592" s="23"/>
      <c r="AS1592" s="23"/>
      <c r="AT1592" s="23"/>
      <c r="AU1592" s="23"/>
      <c r="AV1592" s="23"/>
      <c r="AW1592" s="23"/>
      <c r="AX1592" s="23"/>
      <c r="AY1592" s="23"/>
      <c r="AZ1592" s="23"/>
      <c r="BA1592" s="23"/>
      <c r="BB1592" s="23"/>
    </row>
    <row r="1593" spans="5:54" x14ac:dyDescent="0.35"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  <c r="AA1593" s="23"/>
      <c r="AB1593" s="23"/>
      <c r="AC1593" s="23"/>
      <c r="AD1593" s="23"/>
      <c r="AE1593" s="23"/>
      <c r="AF1593" s="23"/>
      <c r="AG1593" s="23"/>
      <c r="AH1593" s="23"/>
      <c r="AI1593" s="23"/>
      <c r="AJ1593" s="23"/>
      <c r="AK1593" s="23"/>
      <c r="AL1593" s="23"/>
      <c r="AM1593" s="23"/>
      <c r="AN1593" s="23"/>
      <c r="AO1593" s="23"/>
      <c r="AP1593" s="23"/>
      <c r="AQ1593" s="23"/>
      <c r="AR1593" s="23"/>
      <c r="AS1593" s="23"/>
      <c r="AT1593" s="23"/>
      <c r="AU1593" s="23"/>
      <c r="AV1593" s="23"/>
      <c r="AW1593" s="23"/>
      <c r="AX1593" s="23"/>
      <c r="AY1593" s="23"/>
      <c r="AZ1593" s="23"/>
      <c r="BA1593" s="23"/>
      <c r="BB1593" s="23"/>
    </row>
    <row r="1594" spans="5:54" x14ac:dyDescent="0.35"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  <c r="AA1594" s="23"/>
      <c r="AB1594" s="23"/>
      <c r="AC1594" s="23"/>
      <c r="AD1594" s="23"/>
      <c r="AE1594" s="23"/>
      <c r="AF1594" s="23"/>
      <c r="AG1594" s="23"/>
      <c r="AH1594" s="23"/>
      <c r="AI1594" s="23"/>
      <c r="AJ1594" s="23"/>
      <c r="AK1594" s="23"/>
      <c r="AL1594" s="23"/>
      <c r="AM1594" s="23"/>
      <c r="AN1594" s="23"/>
      <c r="AO1594" s="23"/>
      <c r="AP1594" s="23"/>
      <c r="AQ1594" s="23"/>
      <c r="AR1594" s="23"/>
      <c r="AS1594" s="23"/>
      <c r="AT1594" s="23"/>
      <c r="AU1594" s="23"/>
      <c r="AV1594" s="23"/>
      <c r="AW1594" s="23"/>
      <c r="AX1594" s="23"/>
      <c r="AY1594" s="23"/>
      <c r="AZ1594" s="23"/>
      <c r="BA1594" s="23"/>
      <c r="BB1594" s="23"/>
    </row>
    <row r="1595" spans="5:54" x14ac:dyDescent="0.35"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  <c r="AA1595" s="23"/>
      <c r="AB1595" s="23"/>
      <c r="AC1595" s="23"/>
      <c r="AD1595" s="23"/>
      <c r="AE1595" s="23"/>
      <c r="AF1595" s="23"/>
      <c r="AG1595" s="23"/>
      <c r="AH1595" s="23"/>
      <c r="AI1595" s="23"/>
      <c r="AJ1595" s="23"/>
      <c r="AK1595" s="23"/>
      <c r="AL1595" s="23"/>
      <c r="AM1595" s="23"/>
      <c r="AN1595" s="23"/>
      <c r="AO1595" s="23"/>
      <c r="AP1595" s="23"/>
      <c r="AQ1595" s="23"/>
      <c r="AR1595" s="23"/>
      <c r="AS1595" s="23"/>
      <c r="AT1595" s="23"/>
      <c r="AU1595" s="23"/>
      <c r="AV1595" s="23"/>
      <c r="AW1595" s="23"/>
      <c r="AX1595" s="23"/>
      <c r="AY1595" s="23"/>
      <c r="AZ1595" s="23"/>
      <c r="BA1595" s="23"/>
      <c r="BB1595" s="23"/>
    </row>
    <row r="1596" spans="5:54" x14ac:dyDescent="0.35"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  <c r="AA1596" s="23"/>
      <c r="AB1596" s="23"/>
      <c r="AC1596" s="23"/>
      <c r="AD1596" s="23"/>
      <c r="AE1596" s="23"/>
      <c r="AF1596" s="23"/>
      <c r="AG1596" s="23"/>
      <c r="AH1596" s="23"/>
      <c r="AI1596" s="23"/>
      <c r="AJ1596" s="23"/>
      <c r="AK1596" s="23"/>
      <c r="AL1596" s="23"/>
      <c r="AM1596" s="23"/>
      <c r="AN1596" s="23"/>
      <c r="AO1596" s="23"/>
      <c r="AP1596" s="23"/>
      <c r="AQ1596" s="23"/>
      <c r="AR1596" s="23"/>
      <c r="AS1596" s="23"/>
      <c r="AT1596" s="23"/>
      <c r="AU1596" s="23"/>
      <c r="AV1596" s="23"/>
      <c r="AW1596" s="23"/>
      <c r="AX1596" s="23"/>
      <c r="AY1596" s="23"/>
      <c r="AZ1596" s="23"/>
      <c r="BA1596" s="23"/>
      <c r="BB1596" s="23"/>
    </row>
    <row r="1597" spans="5:54" x14ac:dyDescent="0.35"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  <c r="AA1597" s="23"/>
      <c r="AB1597" s="23"/>
      <c r="AC1597" s="23"/>
      <c r="AD1597" s="23"/>
      <c r="AE1597" s="23"/>
      <c r="AF1597" s="23"/>
      <c r="AG1597" s="23"/>
      <c r="AH1597" s="23"/>
      <c r="AI1597" s="23"/>
      <c r="AJ1597" s="23"/>
      <c r="AK1597" s="23"/>
      <c r="AL1597" s="23"/>
      <c r="AM1597" s="23"/>
      <c r="AN1597" s="23"/>
      <c r="AO1597" s="23"/>
      <c r="AP1597" s="23"/>
      <c r="AQ1597" s="23"/>
      <c r="AR1597" s="23"/>
      <c r="AS1597" s="23"/>
      <c r="AT1597" s="23"/>
      <c r="AU1597" s="23"/>
      <c r="AV1597" s="23"/>
      <c r="AW1597" s="23"/>
      <c r="AX1597" s="23"/>
      <c r="AY1597" s="23"/>
      <c r="AZ1597" s="23"/>
      <c r="BA1597" s="23"/>
      <c r="BB1597" s="23"/>
    </row>
    <row r="1598" spans="5:54" x14ac:dyDescent="0.35"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  <c r="AA1598" s="23"/>
      <c r="AB1598" s="23"/>
      <c r="AC1598" s="23"/>
      <c r="AD1598" s="23"/>
      <c r="AE1598" s="23"/>
      <c r="AF1598" s="23"/>
      <c r="AG1598" s="23"/>
      <c r="AH1598" s="23"/>
      <c r="AI1598" s="23"/>
      <c r="AJ1598" s="23"/>
      <c r="AK1598" s="23"/>
      <c r="AL1598" s="23"/>
      <c r="AM1598" s="23"/>
      <c r="AN1598" s="23"/>
      <c r="AO1598" s="23"/>
      <c r="AP1598" s="23"/>
      <c r="AQ1598" s="23"/>
      <c r="AR1598" s="23"/>
      <c r="AS1598" s="23"/>
      <c r="AT1598" s="23"/>
      <c r="AU1598" s="23"/>
      <c r="AV1598" s="23"/>
      <c r="AW1598" s="23"/>
      <c r="AX1598" s="23"/>
      <c r="AY1598" s="23"/>
      <c r="AZ1598" s="23"/>
      <c r="BA1598" s="23"/>
      <c r="BB1598" s="23"/>
    </row>
    <row r="1599" spans="5:54" x14ac:dyDescent="0.35"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  <c r="AA1599" s="23"/>
      <c r="AB1599" s="23"/>
      <c r="AC1599" s="23"/>
      <c r="AD1599" s="23"/>
      <c r="AE1599" s="23"/>
      <c r="AF1599" s="23"/>
      <c r="AG1599" s="23"/>
      <c r="AH1599" s="23"/>
      <c r="AI1599" s="23"/>
      <c r="AJ1599" s="23"/>
      <c r="AK1599" s="23"/>
      <c r="AL1599" s="23"/>
      <c r="AM1599" s="23"/>
      <c r="AN1599" s="23"/>
      <c r="AO1599" s="23"/>
      <c r="AP1599" s="23"/>
      <c r="AQ1599" s="23"/>
      <c r="AR1599" s="23"/>
      <c r="AS1599" s="23"/>
      <c r="AT1599" s="23"/>
      <c r="AU1599" s="23"/>
      <c r="AV1599" s="23"/>
      <c r="AW1599" s="23"/>
      <c r="AX1599" s="23"/>
      <c r="AY1599" s="23"/>
      <c r="AZ1599" s="23"/>
      <c r="BA1599" s="23"/>
      <c r="BB1599" s="23"/>
    </row>
    <row r="1600" spans="5:54" x14ac:dyDescent="0.35"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  <c r="AA1600" s="23"/>
      <c r="AB1600" s="23"/>
      <c r="AC1600" s="23"/>
      <c r="AD1600" s="23"/>
      <c r="AE1600" s="23"/>
      <c r="AF1600" s="23"/>
      <c r="AG1600" s="23"/>
      <c r="AH1600" s="23"/>
      <c r="AI1600" s="23"/>
      <c r="AJ1600" s="23"/>
      <c r="AK1600" s="23"/>
      <c r="AL1600" s="23"/>
      <c r="AM1600" s="23"/>
      <c r="AN1600" s="23"/>
      <c r="AO1600" s="23"/>
      <c r="AP1600" s="23"/>
      <c r="AQ1600" s="23"/>
      <c r="AR1600" s="23"/>
      <c r="AS1600" s="23"/>
      <c r="AT1600" s="23"/>
      <c r="AU1600" s="23"/>
      <c r="AV1600" s="23"/>
      <c r="AW1600" s="23"/>
      <c r="AX1600" s="23"/>
      <c r="AY1600" s="23"/>
      <c r="AZ1600" s="23"/>
      <c r="BA1600" s="23"/>
      <c r="BB1600" s="23"/>
    </row>
    <row r="1601" spans="5:54" x14ac:dyDescent="0.35"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  <c r="AA1601" s="23"/>
      <c r="AB1601" s="23"/>
      <c r="AC1601" s="23"/>
      <c r="AD1601" s="23"/>
      <c r="AE1601" s="23"/>
      <c r="AF1601" s="23"/>
      <c r="AG1601" s="23"/>
      <c r="AH1601" s="23"/>
      <c r="AI1601" s="23"/>
      <c r="AJ1601" s="23"/>
      <c r="AK1601" s="23"/>
      <c r="AL1601" s="23"/>
      <c r="AM1601" s="23"/>
      <c r="AN1601" s="23"/>
      <c r="AO1601" s="23"/>
      <c r="AP1601" s="23"/>
      <c r="AQ1601" s="23"/>
      <c r="AR1601" s="23"/>
      <c r="AS1601" s="23"/>
      <c r="AT1601" s="23"/>
      <c r="AU1601" s="23"/>
      <c r="AV1601" s="23"/>
      <c r="AW1601" s="23"/>
      <c r="AX1601" s="23"/>
      <c r="AY1601" s="23"/>
      <c r="AZ1601" s="23"/>
      <c r="BA1601" s="23"/>
      <c r="BB1601" s="23"/>
    </row>
    <row r="1602" spans="5:54" x14ac:dyDescent="0.35"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  <c r="AA1602" s="23"/>
      <c r="AB1602" s="23"/>
      <c r="AC1602" s="23"/>
      <c r="AD1602" s="23"/>
      <c r="AE1602" s="23"/>
      <c r="AF1602" s="23"/>
      <c r="AG1602" s="23"/>
      <c r="AH1602" s="23"/>
      <c r="AI1602" s="23"/>
      <c r="AJ1602" s="23"/>
      <c r="AK1602" s="23"/>
      <c r="AL1602" s="23"/>
      <c r="AM1602" s="23"/>
      <c r="AN1602" s="23"/>
      <c r="AO1602" s="23"/>
      <c r="AP1602" s="23"/>
      <c r="AQ1602" s="23"/>
      <c r="AR1602" s="23"/>
      <c r="AS1602" s="23"/>
      <c r="AT1602" s="23"/>
      <c r="AU1602" s="23"/>
      <c r="AV1602" s="23"/>
      <c r="AW1602" s="23"/>
      <c r="AX1602" s="23"/>
      <c r="AY1602" s="23"/>
      <c r="AZ1602" s="23"/>
      <c r="BA1602" s="23"/>
      <c r="BB1602" s="23"/>
    </row>
    <row r="1603" spans="5:54" x14ac:dyDescent="0.35"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  <c r="AA1603" s="23"/>
      <c r="AB1603" s="23"/>
      <c r="AC1603" s="23"/>
      <c r="AD1603" s="23"/>
      <c r="AE1603" s="23"/>
      <c r="AF1603" s="23"/>
      <c r="AG1603" s="23"/>
      <c r="AH1603" s="23"/>
      <c r="AI1603" s="23"/>
      <c r="AJ1603" s="23"/>
      <c r="AK1603" s="23"/>
      <c r="AL1603" s="23"/>
      <c r="AM1603" s="23"/>
      <c r="AN1603" s="23"/>
      <c r="AO1603" s="23"/>
      <c r="AP1603" s="23"/>
      <c r="AQ1603" s="23"/>
      <c r="AR1603" s="23"/>
      <c r="AS1603" s="23"/>
      <c r="AT1603" s="23"/>
      <c r="AU1603" s="23"/>
      <c r="AV1603" s="23"/>
      <c r="AW1603" s="23"/>
      <c r="AX1603" s="23"/>
      <c r="AY1603" s="23"/>
      <c r="AZ1603" s="23"/>
      <c r="BA1603" s="23"/>
      <c r="BB1603" s="23"/>
    </row>
    <row r="1604" spans="5:54" x14ac:dyDescent="0.35"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  <c r="AA1604" s="23"/>
      <c r="AB1604" s="23"/>
      <c r="AC1604" s="23"/>
      <c r="AD1604" s="23"/>
      <c r="AE1604" s="23"/>
      <c r="AF1604" s="23"/>
      <c r="AG1604" s="23"/>
      <c r="AH1604" s="23"/>
      <c r="AI1604" s="23"/>
      <c r="AJ1604" s="23"/>
      <c r="AK1604" s="23"/>
      <c r="AL1604" s="23"/>
      <c r="AM1604" s="23"/>
      <c r="AN1604" s="23"/>
      <c r="AO1604" s="23"/>
      <c r="AP1604" s="23"/>
      <c r="AQ1604" s="23"/>
      <c r="AR1604" s="23"/>
      <c r="AS1604" s="23"/>
      <c r="AT1604" s="23"/>
      <c r="AU1604" s="23"/>
      <c r="AV1604" s="23"/>
      <c r="AW1604" s="23"/>
      <c r="AX1604" s="23"/>
      <c r="AY1604" s="23"/>
      <c r="AZ1604" s="23"/>
      <c r="BA1604" s="23"/>
      <c r="BB1604" s="23"/>
    </row>
    <row r="1605" spans="5:54" x14ac:dyDescent="0.35"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  <c r="AA1605" s="23"/>
      <c r="AB1605" s="23"/>
      <c r="AC1605" s="23"/>
      <c r="AD1605" s="23"/>
      <c r="AE1605" s="23"/>
      <c r="AF1605" s="23"/>
      <c r="AG1605" s="23"/>
      <c r="AH1605" s="23"/>
      <c r="AI1605" s="23"/>
      <c r="AJ1605" s="23"/>
      <c r="AK1605" s="23"/>
      <c r="AL1605" s="23"/>
      <c r="AM1605" s="23"/>
      <c r="AN1605" s="23"/>
      <c r="AO1605" s="23"/>
      <c r="AP1605" s="23"/>
      <c r="AQ1605" s="23"/>
      <c r="AR1605" s="23"/>
      <c r="AS1605" s="23"/>
      <c r="AT1605" s="23"/>
      <c r="AU1605" s="23"/>
      <c r="AV1605" s="23"/>
      <c r="AW1605" s="23"/>
      <c r="AX1605" s="23"/>
      <c r="AY1605" s="23"/>
      <c r="AZ1605" s="23"/>
      <c r="BA1605" s="23"/>
      <c r="BB1605" s="23"/>
    </row>
    <row r="1606" spans="5:54" x14ac:dyDescent="0.35"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  <c r="AA1606" s="23"/>
      <c r="AB1606" s="23"/>
      <c r="AC1606" s="23"/>
      <c r="AD1606" s="23"/>
      <c r="AE1606" s="23"/>
      <c r="AF1606" s="23"/>
      <c r="AG1606" s="23"/>
      <c r="AH1606" s="23"/>
      <c r="AI1606" s="23"/>
      <c r="AJ1606" s="23"/>
      <c r="AK1606" s="23"/>
      <c r="AL1606" s="23"/>
      <c r="AM1606" s="23"/>
      <c r="AN1606" s="23"/>
      <c r="AO1606" s="23"/>
      <c r="AP1606" s="23"/>
      <c r="AQ1606" s="23"/>
      <c r="AR1606" s="23"/>
      <c r="AS1606" s="23"/>
      <c r="AT1606" s="23"/>
      <c r="AU1606" s="23"/>
      <c r="AV1606" s="23"/>
      <c r="AW1606" s="23"/>
      <c r="AX1606" s="23"/>
      <c r="AY1606" s="23"/>
      <c r="AZ1606" s="23"/>
      <c r="BA1606" s="23"/>
      <c r="BB1606" s="23"/>
    </row>
    <row r="1607" spans="5:54" x14ac:dyDescent="0.35"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  <c r="AA1607" s="23"/>
      <c r="AB1607" s="23"/>
      <c r="AC1607" s="23"/>
      <c r="AD1607" s="23"/>
      <c r="AE1607" s="23"/>
      <c r="AF1607" s="23"/>
      <c r="AG1607" s="23"/>
      <c r="AH1607" s="23"/>
      <c r="AI1607" s="23"/>
      <c r="AJ1607" s="23"/>
      <c r="AK1607" s="23"/>
      <c r="AL1607" s="23"/>
      <c r="AM1607" s="23"/>
      <c r="AN1607" s="23"/>
      <c r="AO1607" s="23"/>
      <c r="AP1607" s="23"/>
      <c r="AQ1607" s="23"/>
      <c r="AR1607" s="23"/>
      <c r="AS1607" s="23"/>
      <c r="AT1607" s="23"/>
      <c r="AU1607" s="23"/>
      <c r="AV1607" s="23"/>
      <c r="AW1607" s="23"/>
      <c r="AX1607" s="23"/>
      <c r="AY1607" s="23"/>
      <c r="AZ1607" s="23"/>
      <c r="BA1607" s="23"/>
      <c r="BB1607" s="23"/>
    </row>
    <row r="1608" spans="5:54" x14ac:dyDescent="0.35"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  <c r="AA1608" s="23"/>
      <c r="AB1608" s="23"/>
      <c r="AC1608" s="23"/>
      <c r="AD1608" s="23"/>
      <c r="AE1608" s="23"/>
      <c r="AF1608" s="23"/>
      <c r="AG1608" s="23"/>
      <c r="AH1608" s="23"/>
      <c r="AI1608" s="23"/>
      <c r="AJ1608" s="23"/>
      <c r="AK1608" s="23"/>
      <c r="AL1608" s="23"/>
      <c r="AM1608" s="23"/>
      <c r="AN1608" s="23"/>
      <c r="AO1608" s="23"/>
      <c r="AP1608" s="23"/>
      <c r="AQ1608" s="23"/>
      <c r="AR1608" s="23"/>
      <c r="AS1608" s="23"/>
      <c r="AT1608" s="23"/>
      <c r="AU1608" s="23"/>
      <c r="AV1608" s="23"/>
      <c r="AW1608" s="23"/>
      <c r="AX1608" s="23"/>
      <c r="AY1608" s="23"/>
      <c r="AZ1608" s="23"/>
      <c r="BA1608" s="23"/>
      <c r="BB1608" s="23"/>
    </row>
    <row r="1609" spans="5:54" x14ac:dyDescent="0.35"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  <c r="AA1609" s="23"/>
      <c r="AB1609" s="23"/>
      <c r="AC1609" s="23"/>
      <c r="AD1609" s="23"/>
      <c r="AE1609" s="23"/>
      <c r="AF1609" s="23"/>
      <c r="AG1609" s="23"/>
      <c r="AH1609" s="23"/>
      <c r="AI1609" s="23"/>
      <c r="AJ1609" s="23"/>
      <c r="AK1609" s="23"/>
      <c r="AL1609" s="23"/>
      <c r="AM1609" s="23"/>
      <c r="AN1609" s="23"/>
      <c r="AO1609" s="23"/>
      <c r="AP1609" s="23"/>
      <c r="AQ1609" s="23"/>
      <c r="AR1609" s="23"/>
      <c r="AS1609" s="23"/>
      <c r="AT1609" s="23"/>
      <c r="AU1609" s="23"/>
      <c r="AV1609" s="23"/>
      <c r="AW1609" s="23"/>
      <c r="AX1609" s="23"/>
      <c r="AY1609" s="23"/>
      <c r="AZ1609" s="23"/>
      <c r="BA1609" s="23"/>
      <c r="BB1609" s="23"/>
    </row>
    <row r="1610" spans="5:54" x14ac:dyDescent="0.35"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  <c r="AA1610" s="23"/>
      <c r="AB1610" s="23"/>
      <c r="AC1610" s="23"/>
      <c r="AD1610" s="23"/>
      <c r="AE1610" s="23"/>
      <c r="AF1610" s="23"/>
      <c r="AG1610" s="23"/>
      <c r="AH1610" s="23"/>
      <c r="AI1610" s="23"/>
      <c r="AJ1610" s="23"/>
      <c r="AK1610" s="23"/>
      <c r="AL1610" s="23"/>
      <c r="AM1610" s="23"/>
      <c r="AN1610" s="23"/>
      <c r="AO1610" s="23"/>
      <c r="AP1610" s="23"/>
      <c r="AQ1610" s="23"/>
      <c r="AR1610" s="23"/>
      <c r="AS1610" s="23"/>
      <c r="AT1610" s="23"/>
      <c r="AU1610" s="23"/>
      <c r="AV1610" s="23"/>
      <c r="AW1610" s="23"/>
      <c r="AX1610" s="23"/>
      <c r="AY1610" s="23"/>
      <c r="AZ1610" s="23"/>
      <c r="BA1610" s="23"/>
      <c r="BB1610" s="23"/>
    </row>
    <row r="1611" spans="5:54" x14ac:dyDescent="0.35"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  <c r="AA1611" s="23"/>
      <c r="AB1611" s="23"/>
      <c r="AC1611" s="23"/>
      <c r="AD1611" s="23"/>
      <c r="AE1611" s="23"/>
      <c r="AF1611" s="23"/>
      <c r="AG1611" s="23"/>
      <c r="AH1611" s="23"/>
      <c r="AI1611" s="23"/>
      <c r="AJ1611" s="23"/>
      <c r="AK1611" s="23"/>
      <c r="AL1611" s="23"/>
      <c r="AM1611" s="23"/>
      <c r="AN1611" s="23"/>
      <c r="AO1611" s="23"/>
      <c r="AP1611" s="23"/>
      <c r="AQ1611" s="23"/>
      <c r="AR1611" s="23"/>
      <c r="AS1611" s="23"/>
      <c r="AT1611" s="23"/>
      <c r="AU1611" s="23"/>
      <c r="AV1611" s="23"/>
      <c r="AW1611" s="23"/>
      <c r="AX1611" s="23"/>
      <c r="AY1611" s="23"/>
      <c r="AZ1611" s="23"/>
      <c r="BA1611" s="23"/>
      <c r="BB1611" s="23"/>
    </row>
    <row r="1612" spans="5:54" x14ac:dyDescent="0.35"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  <c r="AA1612" s="23"/>
      <c r="AB1612" s="23"/>
      <c r="AC1612" s="23"/>
      <c r="AD1612" s="23"/>
      <c r="AE1612" s="23"/>
      <c r="AF1612" s="23"/>
      <c r="AG1612" s="23"/>
      <c r="AH1612" s="23"/>
      <c r="AI1612" s="23"/>
      <c r="AJ1612" s="23"/>
      <c r="AK1612" s="23"/>
      <c r="AL1612" s="23"/>
      <c r="AM1612" s="23"/>
      <c r="AN1612" s="23"/>
      <c r="AO1612" s="23"/>
      <c r="AP1612" s="23"/>
      <c r="AQ1612" s="23"/>
      <c r="AR1612" s="23"/>
      <c r="AS1612" s="23"/>
      <c r="AT1612" s="23"/>
      <c r="AU1612" s="23"/>
      <c r="AV1612" s="23"/>
      <c r="AW1612" s="23"/>
      <c r="AX1612" s="23"/>
      <c r="AY1612" s="23"/>
      <c r="AZ1612" s="23"/>
      <c r="BA1612" s="23"/>
      <c r="BB1612" s="23"/>
    </row>
    <row r="1613" spans="5:54" x14ac:dyDescent="0.35"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  <c r="AA1613" s="23"/>
      <c r="AB1613" s="23"/>
      <c r="AC1613" s="23"/>
      <c r="AD1613" s="23"/>
      <c r="AE1613" s="23"/>
      <c r="AF1613" s="23"/>
      <c r="AG1613" s="23"/>
      <c r="AH1613" s="23"/>
      <c r="AI1613" s="23"/>
      <c r="AJ1613" s="23"/>
      <c r="AK1613" s="23"/>
      <c r="AL1613" s="23"/>
      <c r="AM1613" s="23"/>
      <c r="AN1613" s="23"/>
      <c r="AO1613" s="23"/>
      <c r="AP1613" s="23"/>
      <c r="AQ1613" s="23"/>
      <c r="AR1613" s="23"/>
      <c r="AS1613" s="23"/>
      <c r="AT1613" s="23"/>
      <c r="AU1613" s="23"/>
      <c r="AV1613" s="23"/>
      <c r="AW1613" s="23"/>
      <c r="AX1613" s="23"/>
      <c r="AY1613" s="23"/>
      <c r="AZ1613" s="23"/>
      <c r="BA1613" s="23"/>
      <c r="BB1613" s="23"/>
    </row>
    <row r="1614" spans="5:54" x14ac:dyDescent="0.35"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  <c r="AA1614" s="23"/>
      <c r="AB1614" s="23"/>
      <c r="AC1614" s="23"/>
      <c r="AD1614" s="23"/>
      <c r="AE1614" s="23"/>
      <c r="AF1614" s="23"/>
      <c r="AG1614" s="23"/>
      <c r="AH1614" s="23"/>
      <c r="AI1614" s="23"/>
      <c r="AJ1614" s="23"/>
      <c r="AK1614" s="23"/>
      <c r="AL1614" s="23"/>
      <c r="AM1614" s="23"/>
      <c r="AN1614" s="23"/>
      <c r="AO1614" s="23"/>
      <c r="AP1614" s="23"/>
      <c r="AQ1614" s="23"/>
      <c r="AR1614" s="23"/>
      <c r="AS1614" s="23"/>
      <c r="AT1614" s="23"/>
      <c r="AU1614" s="23"/>
      <c r="AV1614" s="23"/>
      <c r="AW1614" s="23"/>
      <c r="AX1614" s="23"/>
      <c r="AY1614" s="23"/>
      <c r="AZ1614" s="23"/>
      <c r="BA1614" s="23"/>
      <c r="BB1614" s="23"/>
    </row>
    <row r="1615" spans="5:54" x14ac:dyDescent="0.35"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  <c r="AA1615" s="23"/>
      <c r="AB1615" s="23"/>
      <c r="AC1615" s="23"/>
      <c r="AD1615" s="23"/>
      <c r="AE1615" s="23"/>
      <c r="AF1615" s="23"/>
      <c r="AG1615" s="23"/>
      <c r="AH1615" s="23"/>
      <c r="AI1615" s="23"/>
      <c r="AJ1615" s="23"/>
      <c r="AK1615" s="23"/>
      <c r="AL1615" s="23"/>
      <c r="AM1615" s="23"/>
      <c r="AN1615" s="23"/>
      <c r="AO1615" s="23"/>
      <c r="AP1615" s="23"/>
      <c r="AQ1615" s="23"/>
      <c r="AR1615" s="23"/>
      <c r="AS1615" s="23"/>
      <c r="AT1615" s="23"/>
      <c r="AU1615" s="23"/>
      <c r="AV1615" s="23"/>
      <c r="AW1615" s="23"/>
      <c r="AX1615" s="23"/>
      <c r="AY1615" s="23"/>
      <c r="AZ1615" s="23"/>
      <c r="BA1615" s="23"/>
      <c r="BB1615" s="23"/>
    </row>
    <row r="1616" spans="5:54" x14ac:dyDescent="0.35"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  <c r="AA1616" s="23"/>
      <c r="AB1616" s="23"/>
      <c r="AC1616" s="23"/>
      <c r="AD1616" s="23"/>
      <c r="AE1616" s="23"/>
      <c r="AF1616" s="23"/>
      <c r="AG1616" s="23"/>
      <c r="AH1616" s="23"/>
      <c r="AI1616" s="23"/>
      <c r="AJ1616" s="23"/>
      <c r="AK1616" s="23"/>
      <c r="AL1616" s="23"/>
      <c r="AM1616" s="23"/>
      <c r="AN1616" s="23"/>
      <c r="AO1616" s="23"/>
      <c r="AP1616" s="23"/>
      <c r="AQ1616" s="23"/>
      <c r="AR1616" s="23"/>
      <c r="AS1616" s="23"/>
      <c r="AT1616" s="23"/>
      <c r="AU1616" s="23"/>
      <c r="AV1616" s="23"/>
      <c r="AW1616" s="23"/>
      <c r="AX1616" s="23"/>
      <c r="AY1616" s="23"/>
      <c r="AZ1616" s="23"/>
      <c r="BA1616" s="23"/>
      <c r="BB1616" s="23"/>
    </row>
    <row r="1617" spans="5:54" x14ac:dyDescent="0.35"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  <c r="AA1617" s="23"/>
      <c r="AB1617" s="23"/>
      <c r="AC1617" s="23"/>
      <c r="AD1617" s="23"/>
      <c r="AE1617" s="23"/>
      <c r="AF1617" s="23"/>
      <c r="AG1617" s="23"/>
      <c r="AH1617" s="23"/>
      <c r="AI1617" s="23"/>
      <c r="AJ1617" s="23"/>
      <c r="AK1617" s="23"/>
      <c r="AL1617" s="23"/>
      <c r="AM1617" s="23"/>
      <c r="AN1617" s="23"/>
      <c r="AO1617" s="23"/>
      <c r="AP1617" s="23"/>
      <c r="AQ1617" s="23"/>
      <c r="AR1617" s="23"/>
      <c r="AS1617" s="23"/>
      <c r="AT1617" s="23"/>
      <c r="AU1617" s="23"/>
      <c r="AV1617" s="23"/>
      <c r="AW1617" s="23"/>
      <c r="AX1617" s="23"/>
      <c r="AY1617" s="23"/>
      <c r="AZ1617" s="23"/>
      <c r="BA1617" s="23"/>
      <c r="BB1617" s="23"/>
    </row>
    <row r="1618" spans="5:54" x14ac:dyDescent="0.35"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  <c r="AA1618" s="23"/>
      <c r="AB1618" s="23"/>
      <c r="AC1618" s="23"/>
      <c r="AD1618" s="23"/>
      <c r="AE1618" s="23"/>
      <c r="AF1618" s="23"/>
      <c r="AG1618" s="23"/>
      <c r="AH1618" s="23"/>
      <c r="AI1618" s="23"/>
      <c r="AJ1618" s="23"/>
      <c r="AK1618" s="23"/>
      <c r="AL1618" s="23"/>
      <c r="AM1618" s="23"/>
      <c r="AN1618" s="23"/>
      <c r="AO1618" s="23"/>
      <c r="AP1618" s="23"/>
      <c r="AQ1618" s="23"/>
      <c r="AR1618" s="23"/>
      <c r="AS1618" s="23"/>
      <c r="AT1618" s="23"/>
      <c r="AU1618" s="23"/>
      <c r="AV1618" s="23"/>
      <c r="AW1618" s="23"/>
      <c r="AX1618" s="23"/>
      <c r="AY1618" s="23"/>
      <c r="AZ1618" s="23"/>
      <c r="BA1618" s="23"/>
      <c r="BB1618" s="23"/>
    </row>
    <row r="1619" spans="5:54" x14ac:dyDescent="0.35"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  <c r="AA1619" s="23"/>
      <c r="AB1619" s="23"/>
      <c r="AC1619" s="23"/>
      <c r="AD1619" s="23"/>
      <c r="AE1619" s="23"/>
      <c r="AF1619" s="23"/>
      <c r="AG1619" s="23"/>
      <c r="AH1619" s="23"/>
      <c r="AI1619" s="23"/>
      <c r="AJ1619" s="23"/>
      <c r="AK1619" s="23"/>
      <c r="AL1619" s="23"/>
      <c r="AM1619" s="23"/>
      <c r="AN1619" s="23"/>
      <c r="AO1619" s="23"/>
      <c r="AP1619" s="23"/>
      <c r="AQ1619" s="23"/>
      <c r="AR1619" s="23"/>
      <c r="AS1619" s="23"/>
      <c r="AT1619" s="23"/>
      <c r="AU1619" s="23"/>
      <c r="AV1619" s="23"/>
      <c r="AW1619" s="23"/>
      <c r="AX1619" s="23"/>
      <c r="AY1619" s="23"/>
      <c r="AZ1619" s="23"/>
      <c r="BA1619" s="23"/>
      <c r="BB1619" s="23"/>
    </row>
    <row r="1620" spans="5:54" x14ac:dyDescent="0.35"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  <c r="AA1620" s="23"/>
      <c r="AB1620" s="23"/>
      <c r="AC1620" s="23"/>
      <c r="AD1620" s="23"/>
      <c r="AE1620" s="23"/>
      <c r="AF1620" s="23"/>
      <c r="AG1620" s="23"/>
      <c r="AH1620" s="23"/>
      <c r="AI1620" s="23"/>
      <c r="AJ1620" s="23"/>
      <c r="AK1620" s="23"/>
      <c r="AL1620" s="23"/>
      <c r="AM1620" s="23"/>
      <c r="AN1620" s="23"/>
      <c r="AO1620" s="23"/>
      <c r="AP1620" s="23"/>
      <c r="AQ1620" s="23"/>
      <c r="AR1620" s="23"/>
      <c r="AS1620" s="23"/>
      <c r="AT1620" s="23"/>
      <c r="AU1620" s="23"/>
      <c r="AV1620" s="23"/>
      <c r="AW1620" s="23"/>
      <c r="AX1620" s="23"/>
      <c r="AY1620" s="23"/>
      <c r="AZ1620" s="23"/>
      <c r="BA1620" s="23"/>
      <c r="BB1620" s="23"/>
    </row>
    <row r="1621" spans="5:54" x14ac:dyDescent="0.35"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  <c r="AA1621" s="23"/>
      <c r="AB1621" s="23"/>
      <c r="AC1621" s="23"/>
      <c r="AD1621" s="23"/>
      <c r="AE1621" s="23"/>
      <c r="AF1621" s="23"/>
      <c r="AG1621" s="23"/>
      <c r="AH1621" s="23"/>
      <c r="AI1621" s="23"/>
      <c r="AJ1621" s="23"/>
      <c r="AK1621" s="23"/>
      <c r="AL1621" s="23"/>
      <c r="AM1621" s="23"/>
      <c r="AN1621" s="23"/>
      <c r="AO1621" s="23"/>
      <c r="AP1621" s="23"/>
      <c r="AQ1621" s="23"/>
      <c r="AR1621" s="23"/>
      <c r="AS1621" s="23"/>
      <c r="AT1621" s="23"/>
      <c r="AU1621" s="23"/>
      <c r="AV1621" s="23"/>
      <c r="AW1621" s="23"/>
      <c r="AX1621" s="23"/>
      <c r="AY1621" s="23"/>
      <c r="AZ1621" s="23"/>
      <c r="BA1621" s="23"/>
      <c r="BB1621" s="23"/>
    </row>
    <row r="1622" spans="5:54" x14ac:dyDescent="0.35"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  <c r="AA1622" s="23"/>
      <c r="AB1622" s="23"/>
      <c r="AC1622" s="23"/>
      <c r="AD1622" s="23"/>
      <c r="AE1622" s="23"/>
      <c r="AF1622" s="23"/>
      <c r="AG1622" s="23"/>
      <c r="AH1622" s="23"/>
      <c r="AI1622" s="23"/>
      <c r="AJ1622" s="23"/>
      <c r="AK1622" s="23"/>
      <c r="AL1622" s="23"/>
      <c r="AM1622" s="23"/>
      <c r="AN1622" s="23"/>
      <c r="AO1622" s="23"/>
      <c r="AP1622" s="23"/>
      <c r="AQ1622" s="23"/>
      <c r="AR1622" s="23"/>
      <c r="AS1622" s="23"/>
      <c r="AT1622" s="23"/>
      <c r="AU1622" s="23"/>
      <c r="AV1622" s="23"/>
      <c r="AW1622" s="23"/>
      <c r="AX1622" s="23"/>
      <c r="AY1622" s="23"/>
      <c r="AZ1622" s="23"/>
      <c r="BA1622" s="23"/>
      <c r="BB1622" s="23"/>
    </row>
    <row r="1623" spans="5:54" x14ac:dyDescent="0.35"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  <c r="AA1623" s="23"/>
      <c r="AB1623" s="23"/>
      <c r="AC1623" s="23"/>
      <c r="AD1623" s="23"/>
      <c r="AE1623" s="23"/>
      <c r="AF1623" s="23"/>
      <c r="AG1623" s="23"/>
      <c r="AH1623" s="23"/>
      <c r="AI1623" s="23"/>
      <c r="AJ1623" s="23"/>
      <c r="AK1623" s="23"/>
      <c r="AL1623" s="23"/>
      <c r="AM1623" s="23"/>
      <c r="AN1623" s="23"/>
      <c r="AO1623" s="23"/>
      <c r="AP1623" s="23"/>
      <c r="AQ1623" s="23"/>
      <c r="AR1623" s="23"/>
      <c r="AS1623" s="23"/>
      <c r="AT1623" s="23"/>
      <c r="AU1623" s="23"/>
      <c r="AV1623" s="23"/>
      <c r="AW1623" s="23"/>
      <c r="AX1623" s="23"/>
      <c r="AY1623" s="23"/>
      <c r="AZ1623" s="23"/>
      <c r="BA1623" s="23"/>
      <c r="BB1623" s="23"/>
    </row>
    <row r="1624" spans="5:54" x14ac:dyDescent="0.35"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  <c r="AA1624" s="23"/>
      <c r="AB1624" s="23"/>
      <c r="AC1624" s="23"/>
      <c r="AD1624" s="23"/>
      <c r="AE1624" s="23"/>
      <c r="AF1624" s="23"/>
      <c r="AG1624" s="23"/>
      <c r="AH1624" s="23"/>
      <c r="AI1624" s="23"/>
      <c r="AJ1624" s="23"/>
      <c r="AK1624" s="23"/>
      <c r="AL1624" s="23"/>
      <c r="AM1624" s="23"/>
      <c r="AN1624" s="23"/>
      <c r="AO1624" s="23"/>
      <c r="AP1624" s="23"/>
      <c r="AQ1624" s="23"/>
      <c r="AR1624" s="23"/>
      <c r="AS1624" s="23"/>
      <c r="AT1624" s="23"/>
      <c r="AU1624" s="23"/>
      <c r="AV1624" s="23"/>
      <c r="AW1624" s="23"/>
      <c r="AX1624" s="23"/>
      <c r="AY1624" s="23"/>
      <c r="AZ1624" s="23"/>
      <c r="BA1624" s="23"/>
      <c r="BB1624" s="23"/>
    </row>
    <row r="1625" spans="5:54" x14ac:dyDescent="0.35"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  <c r="AA1625" s="23"/>
      <c r="AB1625" s="23"/>
      <c r="AC1625" s="23"/>
      <c r="AD1625" s="23"/>
      <c r="AE1625" s="23"/>
      <c r="AF1625" s="23"/>
      <c r="AG1625" s="23"/>
      <c r="AH1625" s="23"/>
      <c r="AI1625" s="23"/>
      <c r="AJ1625" s="23"/>
      <c r="AK1625" s="23"/>
      <c r="AL1625" s="23"/>
      <c r="AM1625" s="23"/>
      <c r="AN1625" s="23"/>
      <c r="AO1625" s="23"/>
      <c r="AP1625" s="23"/>
      <c r="AQ1625" s="23"/>
      <c r="AR1625" s="23"/>
      <c r="AS1625" s="23"/>
      <c r="AT1625" s="23"/>
      <c r="AU1625" s="23"/>
      <c r="AV1625" s="23"/>
      <c r="AW1625" s="23"/>
      <c r="AX1625" s="23"/>
      <c r="AY1625" s="23"/>
      <c r="AZ1625" s="23"/>
      <c r="BA1625" s="23"/>
      <c r="BB1625" s="23"/>
    </row>
    <row r="1626" spans="5:54" x14ac:dyDescent="0.35"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  <c r="AA1626" s="23"/>
      <c r="AB1626" s="23"/>
      <c r="AC1626" s="23"/>
      <c r="AD1626" s="23"/>
      <c r="AE1626" s="23"/>
      <c r="AF1626" s="23"/>
      <c r="AG1626" s="23"/>
      <c r="AH1626" s="23"/>
      <c r="AI1626" s="23"/>
      <c r="AJ1626" s="23"/>
      <c r="AK1626" s="23"/>
      <c r="AL1626" s="23"/>
      <c r="AM1626" s="23"/>
      <c r="AN1626" s="23"/>
      <c r="AO1626" s="23"/>
      <c r="AP1626" s="23"/>
      <c r="AQ1626" s="23"/>
      <c r="AR1626" s="23"/>
      <c r="AS1626" s="23"/>
      <c r="AT1626" s="23"/>
      <c r="AU1626" s="23"/>
      <c r="AV1626" s="23"/>
      <c r="AW1626" s="23"/>
      <c r="AX1626" s="23"/>
      <c r="AY1626" s="23"/>
      <c r="AZ1626" s="23"/>
      <c r="BA1626" s="23"/>
      <c r="BB1626" s="23"/>
    </row>
    <row r="1627" spans="5:54" x14ac:dyDescent="0.35"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  <c r="AA1627" s="23"/>
      <c r="AB1627" s="23"/>
      <c r="AC1627" s="23"/>
      <c r="AD1627" s="23"/>
      <c r="AE1627" s="23"/>
      <c r="AF1627" s="23"/>
      <c r="AG1627" s="23"/>
      <c r="AH1627" s="23"/>
      <c r="AI1627" s="23"/>
      <c r="AJ1627" s="23"/>
      <c r="AK1627" s="23"/>
      <c r="AL1627" s="23"/>
      <c r="AM1627" s="23"/>
      <c r="AN1627" s="23"/>
      <c r="AO1627" s="23"/>
      <c r="AP1627" s="23"/>
      <c r="AQ1627" s="23"/>
      <c r="AR1627" s="23"/>
      <c r="AS1627" s="23"/>
      <c r="AT1627" s="23"/>
      <c r="AU1627" s="23"/>
      <c r="AV1627" s="23"/>
      <c r="AW1627" s="23"/>
      <c r="AX1627" s="23"/>
      <c r="AY1627" s="23"/>
      <c r="AZ1627" s="23"/>
      <c r="BA1627" s="23"/>
      <c r="BB1627" s="23"/>
    </row>
    <row r="1628" spans="5:54" x14ac:dyDescent="0.35"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  <c r="AA1628" s="23"/>
      <c r="AB1628" s="23"/>
      <c r="AC1628" s="23"/>
      <c r="AD1628" s="23"/>
      <c r="AE1628" s="23"/>
      <c r="AF1628" s="23"/>
      <c r="AG1628" s="23"/>
      <c r="AH1628" s="23"/>
      <c r="AI1628" s="23"/>
      <c r="AJ1628" s="23"/>
      <c r="AK1628" s="23"/>
      <c r="AL1628" s="23"/>
      <c r="AM1628" s="23"/>
      <c r="AN1628" s="23"/>
      <c r="AO1628" s="23"/>
      <c r="AP1628" s="23"/>
      <c r="AQ1628" s="23"/>
      <c r="AR1628" s="23"/>
      <c r="AS1628" s="23"/>
      <c r="AT1628" s="23"/>
      <c r="AU1628" s="23"/>
      <c r="AV1628" s="23"/>
      <c r="AW1628" s="23"/>
      <c r="AX1628" s="23"/>
      <c r="AY1628" s="23"/>
      <c r="AZ1628" s="23"/>
      <c r="BA1628" s="23"/>
      <c r="BB1628" s="23"/>
    </row>
    <row r="1629" spans="5:54" x14ac:dyDescent="0.35"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  <c r="AA1629" s="23"/>
      <c r="AB1629" s="23"/>
      <c r="AC1629" s="23"/>
      <c r="AD1629" s="23"/>
      <c r="AE1629" s="23"/>
      <c r="AF1629" s="23"/>
      <c r="AG1629" s="23"/>
      <c r="AH1629" s="23"/>
      <c r="AI1629" s="23"/>
      <c r="AJ1629" s="23"/>
      <c r="AK1629" s="23"/>
      <c r="AL1629" s="23"/>
      <c r="AM1629" s="23"/>
      <c r="AN1629" s="23"/>
      <c r="AO1629" s="23"/>
      <c r="AP1629" s="23"/>
      <c r="AQ1629" s="23"/>
      <c r="AR1629" s="23"/>
      <c r="AS1629" s="23"/>
      <c r="AT1629" s="23"/>
      <c r="AU1629" s="23"/>
      <c r="AV1629" s="23"/>
      <c r="AW1629" s="23"/>
      <c r="AX1629" s="23"/>
      <c r="AY1629" s="23"/>
      <c r="AZ1629" s="23"/>
      <c r="BA1629" s="23"/>
      <c r="BB1629" s="23"/>
    </row>
    <row r="1630" spans="5:54" x14ac:dyDescent="0.35"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  <c r="AA1630" s="23"/>
      <c r="AB1630" s="23"/>
      <c r="AC1630" s="23"/>
      <c r="AD1630" s="23"/>
      <c r="AE1630" s="23"/>
      <c r="AF1630" s="23"/>
      <c r="AG1630" s="23"/>
      <c r="AH1630" s="23"/>
      <c r="AI1630" s="23"/>
      <c r="AJ1630" s="23"/>
      <c r="AK1630" s="23"/>
      <c r="AL1630" s="23"/>
      <c r="AM1630" s="23"/>
      <c r="AN1630" s="23"/>
      <c r="AO1630" s="23"/>
      <c r="AP1630" s="23"/>
      <c r="AQ1630" s="23"/>
      <c r="AR1630" s="23"/>
      <c r="AS1630" s="23"/>
      <c r="AT1630" s="23"/>
      <c r="AU1630" s="23"/>
      <c r="AV1630" s="23"/>
      <c r="AW1630" s="23"/>
      <c r="AX1630" s="23"/>
      <c r="AY1630" s="23"/>
      <c r="AZ1630" s="23"/>
      <c r="BA1630" s="23"/>
      <c r="BB1630" s="23"/>
    </row>
    <row r="1631" spans="5:54" x14ac:dyDescent="0.35"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  <c r="AA1631" s="23"/>
      <c r="AB1631" s="23"/>
      <c r="AC1631" s="23"/>
      <c r="AD1631" s="23"/>
      <c r="AE1631" s="23"/>
      <c r="AF1631" s="23"/>
      <c r="AG1631" s="23"/>
      <c r="AH1631" s="23"/>
      <c r="AI1631" s="23"/>
      <c r="AJ1631" s="23"/>
      <c r="AK1631" s="23"/>
      <c r="AL1631" s="23"/>
      <c r="AM1631" s="23"/>
      <c r="AN1631" s="23"/>
      <c r="AO1631" s="23"/>
      <c r="AP1631" s="23"/>
      <c r="AQ1631" s="23"/>
      <c r="AR1631" s="23"/>
      <c r="AS1631" s="23"/>
      <c r="AT1631" s="23"/>
      <c r="AU1631" s="23"/>
      <c r="AV1631" s="23"/>
      <c r="AW1631" s="23"/>
      <c r="AX1631" s="23"/>
      <c r="AY1631" s="23"/>
      <c r="AZ1631" s="23"/>
      <c r="BA1631" s="23"/>
      <c r="BB1631" s="23"/>
    </row>
    <row r="1632" spans="5:54" x14ac:dyDescent="0.35"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  <c r="AA1632" s="23"/>
      <c r="AB1632" s="23"/>
      <c r="AC1632" s="23"/>
      <c r="AD1632" s="23"/>
      <c r="AE1632" s="23"/>
      <c r="AF1632" s="23"/>
      <c r="AG1632" s="23"/>
      <c r="AH1632" s="23"/>
      <c r="AI1632" s="23"/>
      <c r="AJ1632" s="23"/>
      <c r="AK1632" s="23"/>
      <c r="AL1632" s="23"/>
      <c r="AM1632" s="23"/>
      <c r="AN1632" s="23"/>
      <c r="AO1632" s="23"/>
      <c r="AP1632" s="23"/>
      <c r="AQ1632" s="23"/>
      <c r="AR1632" s="23"/>
      <c r="AS1632" s="23"/>
      <c r="AT1632" s="23"/>
      <c r="AU1632" s="23"/>
      <c r="AV1632" s="23"/>
      <c r="AW1632" s="23"/>
      <c r="AX1632" s="23"/>
      <c r="AY1632" s="23"/>
      <c r="AZ1632" s="23"/>
      <c r="BA1632" s="23"/>
      <c r="BB1632" s="23"/>
    </row>
    <row r="1633" spans="5:54" x14ac:dyDescent="0.35"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  <c r="AA1633" s="23"/>
      <c r="AB1633" s="23"/>
      <c r="AC1633" s="23"/>
      <c r="AD1633" s="23"/>
      <c r="AE1633" s="23"/>
      <c r="AF1633" s="23"/>
      <c r="AG1633" s="23"/>
      <c r="AH1633" s="23"/>
      <c r="AI1633" s="23"/>
      <c r="AJ1633" s="23"/>
      <c r="AK1633" s="23"/>
      <c r="AL1633" s="23"/>
      <c r="AM1633" s="23"/>
      <c r="AN1633" s="23"/>
      <c r="AO1633" s="23"/>
      <c r="AP1633" s="23"/>
      <c r="AQ1633" s="23"/>
      <c r="AR1633" s="23"/>
      <c r="AS1633" s="23"/>
      <c r="AT1633" s="23"/>
      <c r="AU1633" s="23"/>
      <c r="AV1633" s="23"/>
      <c r="AW1633" s="23"/>
      <c r="AX1633" s="23"/>
      <c r="AY1633" s="23"/>
      <c r="AZ1633" s="23"/>
      <c r="BA1633" s="23"/>
      <c r="BB1633" s="23"/>
    </row>
    <row r="1634" spans="5:54" x14ac:dyDescent="0.35"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  <c r="AA1634" s="23"/>
      <c r="AB1634" s="23"/>
      <c r="AC1634" s="23"/>
      <c r="AD1634" s="23"/>
      <c r="AE1634" s="23"/>
      <c r="AF1634" s="23"/>
      <c r="AG1634" s="23"/>
      <c r="AH1634" s="23"/>
      <c r="AI1634" s="23"/>
      <c r="AJ1634" s="23"/>
      <c r="AK1634" s="23"/>
      <c r="AL1634" s="23"/>
      <c r="AM1634" s="23"/>
      <c r="AN1634" s="23"/>
      <c r="AO1634" s="23"/>
      <c r="AP1634" s="23"/>
      <c r="AQ1634" s="23"/>
      <c r="AR1634" s="23"/>
      <c r="AS1634" s="23"/>
      <c r="AT1634" s="23"/>
      <c r="AU1634" s="23"/>
      <c r="AV1634" s="23"/>
      <c r="AW1634" s="23"/>
      <c r="AX1634" s="23"/>
      <c r="AY1634" s="23"/>
      <c r="AZ1634" s="23"/>
      <c r="BA1634" s="23"/>
      <c r="BB1634" s="23"/>
    </row>
    <row r="1635" spans="5:54" x14ac:dyDescent="0.35"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  <c r="AA1635" s="23"/>
      <c r="AB1635" s="23"/>
      <c r="AC1635" s="23"/>
      <c r="AD1635" s="23"/>
      <c r="AE1635" s="23"/>
      <c r="AF1635" s="23"/>
      <c r="AG1635" s="23"/>
      <c r="AH1635" s="23"/>
      <c r="AI1635" s="23"/>
      <c r="AJ1635" s="23"/>
      <c r="AK1635" s="23"/>
      <c r="AL1635" s="23"/>
      <c r="AM1635" s="23"/>
      <c r="AN1635" s="23"/>
      <c r="AO1635" s="23"/>
      <c r="AP1635" s="23"/>
      <c r="AQ1635" s="23"/>
      <c r="AR1635" s="23"/>
      <c r="AS1635" s="23"/>
      <c r="AT1635" s="23"/>
      <c r="AU1635" s="23"/>
      <c r="AV1635" s="23"/>
      <c r="AW1635" s="23"/>
      <c r="AX1635" s="23"/>
      <c r="AY1635" s="23"/>
      <c r="AZ1635" s="23"/>
      <c r="BA1635" s="23"/>
      <c r="BB1635" s="23"/>
    </row>
    <row r="1636" spans="5:54" x14ac:dyDescent="0.35"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  <c r="AA1636" s="23"/>
      <c r="AB1636" s="23"/>
      <c r="AC1636" s="23"/>
      <c r="AD1636" s="23"/>
      <c r="AE1636" s="23"/>
      <c r="AF1636" s="23"/>
      <c r="AG1636" s="23"/>
      <c r="AH1636" s="23"/>
      <c r="AI1636" s="23"/>
      <c r="AJ1636" s="23"/>
      <c r="AK1636" s="23"/>
      <c r="AL1636" s="23"/>
      <c r="AM1636" s="23"/>
      <c r="AN1636" s="23"/>
      <c r="AO1636" s="23"/>
      <c r="AP1636" s="23"/>
      <c r="AQ1636" s="23"/>
      <c r="AR1636" s="23"/>
      <c r="AS1636" s="23"/>
      <c r="AT1636" s="23"/>
      <c r="AU1636" s="23"/>
      <c r="AV1636" s="23"/>
      <c r="AW1636" s="23"/>
      <c r="AX1636" s="23"/>
      <c r="AY1636" s="23"/>
      <c r="AZ1636" s="23"/>
      <c r="BA1636" s="23"/>
      <c r="BB1636" s="23"/>
    </row>
    <row r="1637" spans="5:54" x14ac:dyDescent="0.35"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  <c r="AA1637" s="23"/>
      <c r="AB1637" s="23"/>
      <c r="AC1637" s="23"/>
      <c r="AD1637" s="23"/>
      <c r="AE1637" s="23"/>
      <c r="AF1637" s="23"/>
      <c r="AG1637" s="23"/>
      <c r="AH1637" s="23"/>
      <c r="AI1637" s="23"/>
      <c r="AJ1637" s="23"/>
      <c r="AK1637" s="23"/>
      <c r="AL1637" s="23"/>
      <c r="AM1637" s="23"/>
      <c r="AN1637" s="23"/>
      <c r="AO1637" s="23"/>
      <c r="AP1637" s="23"/>
      <c r="AQ1637" s="23"/>
      <c r="AR1637" s="23"/>
      <c r="AS1637" s="23"/>
      <c r="AT1637" s="23"/>
      <c r="AU1637" s="23"/>
      <c r="AV1637" s="23"/>
      <c r="AW1637" s="23"/>
      <c r="AX1637" s="23"/>
      <c r="AY1637" s="23"/>
      <c r="AZ1637" s="23"/>
      <c r="BA1637" s="23"/>
      <c r="BB1637" s="23"/>
    </row>
    <row r="1638" spans="5:54" x14ac:dyDescent="0.35"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  <c r="AA1638" s="23"/>
      <c r="AB1638" s="23"/>
      <c r="AC1638" s="23"/>
      <c r="AD1638" s="23"/>
      <c r="AE1638" s="23"/>
      <c r="AF1638" s="23"/>
      <c r="AG1638" s="23"/>
      <c r="AH1638" s="23"/>
      <c r="AI1638" s="23"/>
      <c r="AJ1638" s="23"/>
      <c r="AK1638" s="23"/>
      <c r="AL1638" s="23"/>
      <c r="AM1638" s="23"/>
      <c r="AN1638" s="23"/>
      <c r="AO1638" s="23"/>
      <c r="AP1638" s="23"/>
      <c r="AQ1638" s="23"/>
      <c r="AR1638" s="23"/>
      <c r="AS1638" s="23"/>
      <c r="AT1638" s="23"/>
      <c r="AU1638" s="23"/>
      <c r="AV1638" s="23"/>
      <c r="AW1638" s="23"/>
      <c r="AX1638" s="23"/>
      <c r="AY1638" s="23"/>
      <c r="AZ1638" s="23"/>
      <c r="BA1638" s="23"/>
      <c r="BB1638" s="23"/>
    </row>
    <row r="1639" spans="5:54" x14ac:dyDescent="0.35"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  <c r="AA1639" s="23"/>
      <c r="AB1639" s="23"/>
      <c r="AC1639" s="23"/>
      <c r="AD1639" s="23"/>
      <c r="AE1639" s="23"/>
      <c r="AF1639" s="23"/>
      <c r="AG1639" s="23"/>
      <c r="AH1639" s="23"/>
      <c r="AI1639" s="23"/>
      <c r="AJ1639" s="23"/>
      <c r="AK1639" s="23"/>
      <c r="AL1639" s="23"/>
      <c r="AM1639" s="23"/>
      <c r="AN1639" s="23"/>
      <c r="AO1639" s="23"/>
      <c r="AP1639" s="23"/>
      <c r="AQ1639" s="23"/>
      <c r="AR1639" s="23"/>
      <c r="AS1639" s="23"/>
      <c r="AT1639" s="23"/>
      <c r="AU1639" s="23"/>
      <c r="AV1639" s="23"/>
      <c r="AW1639" s="23"/>
      <c r="AX1639" s="23"/>
      <c r="AY1639" s="23"/>
      <c r="AZ1639" s="23"/>
      <c r="BA1639" s="23"/>
      <c r="BB1639" s="23"/>
    </row>
    <row r="1640" spans="5:54" x14ac:dyDescent="0.35"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  <c r="AA1640" s="23"/>
      <c r="AB1640" s="23"/>
      <c r="AC1640" s="23"/>
      <c r="AD1640" s="23"/>
      <c r="AE1640" s="23"/>
      <c r="AF1640" s="23"/>
      <c r="AG1640" s="23"/>
      <c r="AH1640" s="23"/>
      <c r="AI1640" s="23"/>
      <c r="AJ1640" s="23"/>
      <c r="AK1640" s="23"/>
      <c r="AL1640" s="23"/>
      <c r="AM1640" s="23"/>
      <c r="AN1640" s="23"/>
      <c r="AO1640" s="23"/>
      <c r="AP1640" s="23"/>
      <c r="AQ1640" s="23"/>
      <c r="AR1640" s="23"/>
      <c r="AS1640" s="23"/>
      <c r="AT1640" s="23"/>
      <c r="AU1640" s="23"/>
      <c r="AV1640" s="23"/>
      <c r="AW1640" s="23"/>
      <c r="AX1640" s="23"/>
      <c r="AY1640" s="23"/>
      <c r="AZ1640" s="23"/>
      <c r="BA1640" s="23"/>
      <c r="BB1640" s="23"/>
    </row>
    <row r="1641" spans="5:54" x14ac:dyDescent="0.35"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  <c r="AA1641" s="23"/>
      <c r="AB1641" s="23"/>
      <c r="AC1641" s="23"/>
      <c r="AD1641" s="23"/>
      <c r="AE1641" s="23"/>
      <c r="AF1641" s="23"/>
      <c r="AG1641" s="23"/>
      <c r="AH1641" s="23"/>
      <c r="AI1641" s="23"/>
      <c r="AJ1641" s="23"/>
      <c r="AK1641" s="23"/>
      <c r="AL1641" s="23"/>
      <c r="AM1641" s="23"/>
      <c r="AN1641" s="23"/>
      <c r="AO1641" s="23"/>
      <c r="AP1641" s="23"/>
      <c r="AQ1641" s="23"/>
      <c r="AR1641" s="23"/>
      <c r="AS1641" s="23"/>
      <c r="AT1641" s="23"/>
      <c r="AU1641" s="23"/>
      <c r="AV1641" s="23"/>
      <c r="AW1641" s="23"/>
      <c r="AX1641" s="23"/>
      <c r="AY1641" s="23"/>
      <c r="AZ1641" s="23"/>
      <c r="BA1641" s="23"/>
      <c r="BB1641" s="23"/>
    </row>
    <row r="1642" spans="5:54" x14ac:dyDescent="0.35"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  <c r="AA1642" s="23"/>
      <c r="AB1642" s="23"/>
      <c r="AC1642" s="23"/>
      <c r="AD1642" s="23"/>
      <c r="AE1642" s="23"/>
      <c r="AF1642" s="23"/>
      <c r="AG1642" s="23"/>
      <c r="AH1642" s="23"/>
      <c r="AI1642" s="23"/>
      <c r="AJ1642" s="23"/>
      <c r="AK1642" s="23"/>
      <c r="AL1642" s="23"/>
      <c r="AM1642" s="23"/>
      <c r="AN1642" s="23"/>
      <c r="AO1642" s="23"/>
      <c r="AP1642" s="23"/>
      <c r="AQ1642" s="23"/>
      <c r="AR1642" s="23"/>
      <c r="AS1642" s="23"/>
      <c r="AT1642" s="23"/>
      <c r="AU1642" s="23"/>
      <c r="AV1642" s="23"/>
      <c r="AW1642" s="23"/>
      <c r="AX1642" s="23"/>
      <c r="AY1642" s="23"/>
      <c r="AZ1642" s="23"/>
      <c r="BA1642" s="23"/>
      <c r="BB1642" s="23"/>
    </row>
    <row r="1643" spans="5:54" x14ac:dyDescent="0.35"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  <c r="AA1643" s="23"/>
      <c r="AB1643" s="23"/>
      <c r="AC1643" s="23"/>
      <c r="AD1643" s="23"/>
      <c r="AE1643" s="23"/>
      <c r="AF1643" s="23"/>
      <c r="AG1643" s="23"/>
      <c r="AH1643" s="23"/>
      <c r="AI1643" s="23"/>
      <c r="AJ1643" s="23"/>
      <c r="AK1643" s="23"/>
      <c r="AL1643" s="23"/>
      <c r="AM1643" s="23"/>
      <c r="AN1643" s="23"/>
      <c r="AO1643" s="23"/>
      <c r="AP1643" s="23"/>
      <c r="AQ1643" s="23"/>
      <c r="AR1643" s="23"/>
      <c r="AS1643" s="23"/>
      <c r="AT1643" s="23"/>
      <c r="AU1643" s="23"/>
      <c r="AV1643" s="23"/>
      <c r="AW1643" s="23"/>
      <c r="AX1643" s="23"/>
      <c r="AY1643" s="23"/>
      <c r="AZ1643" s="23"/>
      <c r="BA1643" s="23"/>
      <c r="BB1643" s="23"/>
    </row>
    <row r="1644" spans="5:54" x14ac:dyDescent="0.35"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  <c r="AA1644" s="23"/>
      <c r="AB1644" s="23"/>
      <c r="AC1644" s="23"/>
      <c r="AD1644" s="23"/>
      <c r="AE1644" s="23"/>
      <c r="AF1644" s="23"/>
      <c r="AG1644" s="23"/>
      <c r="AH1644" s="23"/>
      <c r="AI1644" s="23"/>
      <c r="AJ1644" s="23"/>
      <c r="AK1644" s="23"/>
      <c r="AL1644" s="23"/>
      <c r="AM1644" s="23"/>
      <c r="AN1644" s="23"/>
      <c r="AO1644" s="23"/>
      <c r="AP1644" s="23"/>
      <c r="AQ1644" s="23"/>
      <c r="AR1644" s="23"/>
      <c r="AS1644" s="23"/>
      <c r="AT1644" s="23"/>
      <c r="AU1644" s="23"/>
      <c r="AV1644" s="23"/>
      <c r="AW1644" s="23"/>
      <c r="AX1644" s="23"/>
      <c r="AY1644" s="23"/>
      <c r="AZ1644" s="23"/>
      <c r="BA1644" s="23"/>
      <c r="BB1644" s="23"/>
    </row>
    <row r="1645" spans="5:54" x14ac:dyDescent="0.35"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  <c r="AA1645" s="23"/>
      <c r="AB1645" s="23"/>
      <c r="AC1645" s="23"/>
      <c r="AD1645" s="23"/>
      <c r="AE1645" s="23"/>
      <c r="AF1645" s="23"/>
      <c r="AG1645" s="23"/>
      <c r="AH1645" s="23"/>
      <c r="AI1645" s="23"/>
      <c r="AJ1645" s="23"/>
      <c r="AK1645" s="23"/>
      <c r="AL1645" s="23"/>
      <c r="AM1645" s="23"/>
      <c r="AN1645" s="23"/>
      <c r="AO1645" s="23"/>
      <c r="AP1645" s="23"/>
      <c r="AQ1645" s="23"/>
      <c r="AR1645" s="23"/>
      <c r="AS1645" s="23"/>
      <c r="AT1645" s="23"/>
      <c r="AU1645" s="23"/>
      <c r="AV1645" s="23"/>
      <c r="AW1645" s="23"/>
      <c r="AX1645" s="23"/>
      <c r="AY1645" s="23"/>
      <c r="AZ1645" s="23"/>
      <c r="BA1645" s="23"/>
      <c r="BB1645" s="23"/>
    </row>
    <row r="1646" spans="5:54" x14ac:dyDescent="0.35"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  <c r="AA1646" s="23"/>
      <c r="AB1646" s="23"/>
      <c r="AC1646" s="23"/>
      <c r="AD1646" s="23"/>
      <c r="AE1646" s="23"/>
      <c r="AF1646" s="23"/>
      <c r="AG1646" s="23"/>
      <c r="AH1646" s="23"/>
      <c r="AI1646" s="23"/>
      <c r="AJ1646" s="23"/>
      <c r="AK1646" s="23"/>
      <c r="AL1646" s="23"/>
      <c r="AM1646" s="23"/>
      <c r="AN1646" s="23"/>
      <c r="AO1646" s="23"/>
      <c r="AP1646" s="23"/>
      <c r="AQ1646" s="23"/>
      <c r="AR1646" s="23"/>
      <c r="AS1646" s="23"/>
      <c r="AT1646" s="23"/>
      <c r="AU1646" s="23"/>
      <c r="AV1646" s="23"/>
      <c r="AW1646" s="23"/>
      <c r="AX1646" s="23"/>
      <c r="AY1646" s="23"/>
      <c r="AZ1646" s="23"/>
      <c r="BA1646" s="23"/>
      <c r="BB1646" s="23"/>
    </row>
    <row r="1647" spans="5:54" x14ac:dyDescent="0.35"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  <c r="AA1647" s="23"/>
      <c r="AB1647" s="23"/>
      <c r="AC1647" s="23"/>
      <c r="AD1647" s="23"/>
      <c r="AE1647" s="23"/>
      <c r="AF1647" s="23"/>
      <c r="AG1647" s="23"/>
      <c r="AH1647" s="23"/>
      <c r="AI1647" s="23"/>
      <c r="AJ1647" s="23"/>
      <c r="AK1647" s="23"/>
      <c r="AL1647" s="23"/>
      <c r="AM1647" s="23"/>
      <c r="AN1647" s="23"/>
      <c r="AO1647" s="23"/>
      <c r="AP1647" s="23"/>
      <c r="AQ1647" s="23"/>
      <c r="AR1647" s="23"/>
      <c r="AS1647" s="23"/>
      <c r="AT1647" s="23"/>
      <c r="AU1647" s="23"/>
      <c r="AV1647" s="23"/>
      <c r="AW1647" s="23"/>
      <c r="AX1647" s="23"/>
      <c r="AY1647" s="23"/>
      <c r="AZ1647" s="23"/>
      <c r="BA1647" s="23"/>
      <c r="BB1647" s="23"/>
    </row>
    <row r="1648" spans="5:54" x14ac:dyDescent="0.35"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  <c r="AA1648" s="23"/>
      <c r="AB1648" s="23"/>
      <c r="AC1648" s="23"/>
      <c r="AD1648" s="23"/>
      <c r="AE1648" s="23"/>
      <c r="AF1648" s="23"/>
      <c r="AG1648" s="23"/>
      <c r="AH1648" s="23"/>
      <c r="AI1648" s="23"/>
      <c r="AJ1648" s="23"/>
      <c r="AK1648" s="23"/>
      <c r="AL1648" s="23"/>
      <c r="AM1648" s="23"/>
      <c r="AN1648" s="23"/>
      <c r="AO1648" s="23"/>
      <c r="AP1648" s="23"/>
      <c r="AQ1648" s="23"/>
      <c r="AR1648" s="23"/>
      <c r="AS1648" s="23"/>
      <c r="AT1648" s="23"/>
      <c r="AU1648" s="23"/>
      <c r="AV1648" s="23"/>
      <c r="AW1648" s="23"/>
      <c r="AX1648" s="23"/>
      <c r="AY1648" s="23"/>
      <c r="AZ1648" s="23"/>
      <c r="BA1648" s="23"/>
      <c r="BB1648" s="23"/>
    </row>
    <row r="1649" spans="5:54" x14ac:dyDescent="0.35"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  <c r="AA1649" s="23"/>
      <c r="AB1649" s="23"/>
      <c r="AC1649" s="23"/>
      <c r="AD1649" s="23"/>
      <c r="AE1649" s="23"/>
      <c r="AF1649" s="23"/>
      <c r="AG1649" s="23"/>
      <c r="AH1649" s="23"/>
      <c r="AI1649" s="23"/>
      <c r="AJ1649" s="23"/>
      <c r="AK1649" s="23"/>
      <c r="AL1649" s="23"/>
      <c r="AM1649" s="23"/>
      <c r="AN1649" s="23"/>
      <c r="AO1649" s="23"/>
      <c r="AP1649" s="23"/>
      <c r="AQ1649" s="23"/>
      <c r="AR1649" s="23"/>
      <c r="AS1649" s="23"/>
      <c r="AT1649" s="23"/>
      <c r="AU1649" s="23"/>
      <c r="AV1649" s="23"/>
      <c r="AW1649" s="23"/>
      <c r="AX1649" s="23"/>
      <c r="AY1649" s="23"/>
      <c r="AZ1649" s="23"/>
      <c r="BA1649" s="23"/>
      <c r="BB1649" s="23"/>
    </row>
    <row r="1650" spans="5:54" x14ac:dyDescent="0.35"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  <c r="AA1650" s="23"/>
      <c r="AB1650" s="23"/>
      <c r="AC1650" s="23"/>
      <c r="AD1650" s="23"/>
      <c r="AE1650" s="23"/>
      <c r="AF1650" s="23"/>
      <c r="AG1650" s="23"/>
      <c r="AH1650" s="23"/>
      <c r="AI1650" s="23"/>
      <c r="AJ1650" s="23"/>
      <c r="AK1650" s="23"/>
      <c r="AL1650" s="23"/>
      <c r="AM1650" s="23"/>
      <c r="AN1650" s="23"/>
      <c r="AO1650" s="23"/>
      <c r="AP1650" s="23"/>
      <c r="AQ1650" s="23"/>
      <c r="AR1650" s="23"/>
      <c r="AS1650" s="23"/>
      <c r="AT1650" s="23"/>
      <c r="AU1650" s="23"/>
      <c r="AV1650" s="23"/>
      <c r="AW1650" s="23"/>
      <c r="AX1650" s="23"/>
      <c r="AY1650" s="23"/>
      <c r="AZ1650" s="23"/>
      <c r="BA1650" s="23"/>
      <c r="BB1650" s="23"/>
    </row>
    <row r="1651" spans="5:54" x14ac:dyDescent="0.35"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  <c r="AA1651" s="23"/>
      <c r="AB1651" s="23"/>
      <c r="AC1651" s="23"/>
      <c r="AD1651" s="23"/>
      <c r="AE1651" s="23"/>
      <c r="AF1651" s="23"/>
      <c r="AG1651" s="23"/>
      <c r="AH1651" s="23"/>
      <c r="AI1651" s="23"/>
      <c r="AJ1651" s="23"/>
      <c r="AK1651" s="23"/>
      <c r="AL1651" s="23"/>
      <c r="AM1651" s="23"/>
      <c r="AN1651" s="23"/>
      <c r="AO1651" s="23"/>
      <c r="AP1651" s="23"/>
      <c r="AQ1651" s="23"/>
      <c r="AR1651" s="23"/>
      <c r="AS1651" s="23"/>
      <c r="AT1651" s="23"/>
      <c r="AU1651" s="23"/>
      <c r="AV1651" s="23"/>
      <c r="AW1651" s="23"/>
      <c r="AX1651" s="23"/>
      <c r="AY1651" s="23"/>
      <c r="AZ1651" s="23"/>
      <c r="BA1651" s="23"/>
      <c r="BB1651" s="23"/>
    </row>
    <row r="1652" spans="5:54" x14ac:dyDescent="0.35"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  <c r="AA1652" s="23"/>
      <c r="AB1652" s="23"/>
      <c r="AC1652" s="23"/>
      <c r="AD1652" s="23"/>
      <c r="AE1652" s="23"/>
      <c r="AF1652" s="23"/>
      <c r="AG1652" s="23"/>
      <c r="AH1652" s="23"/>
      <c r="AI1652" s="23"/>
      <c r="AJ1652" s="23"/>
      <c r="AK1652" s="23"/>
      <c r="AL1652" s="23"/>
      <c r="AM1652" s="23"/>
      <c r="AN1652" s="23"/>
      <c r="AO1652" s="23"/>
      <c r="AP1652" s="23"/>
      <c r="AQ1652" s="23"/>
      <c r="AR1652" s="23"/>
      <c r="AS1652" s="23"/>
      <c r="AT1652" s="23"/>
      <c r="AU1652" s="23"/>
      <c r="AV1652" s="23"/>
      <c r="AW1652" s="23"/>
      <c r="AX1652" s="23"/>
      <c r="AY1652" s="23"/>
      <c r="AZ1652" s="23"/>
      <c r="BA1652" s="23"/>
      <c r="BB1652" s="23"/>
    </row>
    <row r="1653" spans="5:54" x14ac:dyDescent="0.35"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  <c r="AA1653" s="23"/>
      <c r="AB1653" s="23"/>
      <c r="AC1653" s="23"/>
      <c r="AD1653" s="23"/>
      <c r="AE1653" s="23"/>
      <c r="AF1653" s="23"/>
      <c r="AG1653" s="23"/>
      <c r="AH1653" s="23"/>
      <c r="AI1653" s="23"/>
      <c r="AJ1653" s="23"/>
      <c r="AK1653" s="23"/>
      <c r="AL1653" s="23"/>
      <c r="AM1653" s="23"/>
      <c r="AN1653" s="23"/>
      <c r="AO1653" s="23"/>
      <c r="AP1653" s="23"/>
      <c r="AQ1653" s="23"/>
      <c r="AR1653" s="23"/>
      <c r="AS1653" s="23"/>
      <c r="AT1653" s="23"/>
      <c r="AU1653" s="23"/>
      <c r="AV1653" s="23"/>
      <c r="AW1653" s="23"/>
      <c r="AX1653" s="23"/>
      <c r="AY1653" s="23"/>
      <c r="AZ1653" s="23"/>
      <c r="BA1653" s="23"/>
      <c r="BB1653" s="23"/>
    </row>
    <row r="1654" spans="5:54" x14ac:dyDescent="0.35"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  <c r="AA1654" s="23"/>
      <c r="AB1654" s="23"/>
      <c r="AC1654" s="23"/>
      <c r="AD1654" s="23"/>
      <c r="AE1654" s="23"/>
      <c r="AF1654" s="23"/>
      <c r="AG1654" s="23"/>
      <c r="AH1654" s="23"/>
      <c r="AI1654" s="23"/>
      <c r="AJ1654" s="23"/>
      <c r="AK1654" s="23"/>
      <c r="AL1654" s="23"/>
      <c r="AM1654" s="23"/>
      <c r="AN1654" s="23"/>
      <c r="AO1654" s="23"/>
      <c r="AP1654" s="23"/>
      <c r="AQ1654" s="23"/>
      <c r="AR1654" s="23"/>
      <c r="AS1654" s="23"/>
      <c r="AT1654" s="23"/>
      <c r="AU1654" s="23"/>
      <c r="AV1654" s="23"/>
      <c r="AW1654" s="23"/>
      <c r="AX1654" s="23"/>
      <c r="AY1654" s="23"/>
      <c r="AZ1654" s="23"/>
      <c r="BA1654" s="23"/>
      <c r="BB1654" s="23"/>
    </row>
    <row r="1655" spans="5:54" x14ac:dyDescent="0.35"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  <c r="AA1655" s="23"/>
      <c r="AB1655" s="23"/>
      <c r="AC1655" s="23"/>
      <c r="AD1655" s="23"/>
      <c r="AE1655" s="23"/>
      <c r="AF1655" s="23"/>
      <c r="AG1655" s="23"/>
      <c r="AH1655" s="23"/>
      <c r="AI1655" s="23"/>
      <c r="AJ1655" s="23"/>
      <c r="AK1655" s="23"/>
      <c r="AL1655" s="23"/>
      <c r="AM1655" s="23"/>
      <c r="AN1655" s="23"/>
      <c r="AO1655" s="23"/>
      <c r="AP1655" s="23"/>
      <c r="AQ1655" s="23"/>
      <c r="AR1655" s="23"/>
      <c r="AS1655" s="23"/>
      <c r="AT1655" s="23"/>
      <c r="AU1655" s="23"/>
      <c r="AV1655" s="23"/>
      <c r="AW1655" s="23"/>
      <c r="AX1655" s="23"/>
      <c r="AY1655" s="23"/>
      <c r="AZ1655" s="23"/>
      <c r="BA1655" s="23"/>
      <c r="BB1655" s="23"/>
    </row>
    <row r="1656" spans="5:54" x14ac:dyDescent="0.35"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  <c r="AA1656" s="23"/>
      <c r="AB1656" s="23"/>
      <c r="AC1656" s="23"/>
      <c r="AD1656" s="23"/>
      <c r="AE1656" s="23"/>
      <c r="AF1656" s="23"/>
      <c r="AG1656" s="23"/>
      <c r="AH1656" s="23"/>
      <c r="AI1656" s="23"/>
      <c r="AJ1656" s="23"/>
      <c r="AK1656" s="23"/>
      <c r="AL1656" s="23"/>
      <c r="AM1656" s="23"/>
      <c r="AN1656" s="23"/>
      <c r="AO1656" s="23"/>
      <c r="AP1656" s="23"/>
      <c r="AQ1656" s="23"/>
      <c r="AR1656" s="23"/>
      <c r="AS1656" s="23"/>
      <c r="AT1656" s="23"/>
      <c r="AU1656" s="23"/>
      <c r="AV1656" s="23"/>
      <c r="AW1656" s="23"/>
      <c r="AX1656" s="23"/>
      <c r="AY1656" s="23"/>
      <c r="AZ1656" s="23"/>
      <c r="BA1656" s="23"/>
      <c r="BB1656" s="23"/>
    </row>
    <row r="1657" spans="5:54" x14ac:dyDescent="0.35"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  <c r="AA1657" s="23"/>
      <c r="AB1657" s="23"/>
      <c r="AC1657" s="23"/>
      <c r="AD1657" s="23"/>
      <c r="AE1657" s="23"/>
      <c r="AF1657" s="23"/>
      <c r="AG1657" s="23"/>
      <c r="AH1657" s="23"/>
      <c r="AI1657" s="23"/>
      <c r="AJ1657" s="23"/>
      <c r="AK1657" s="23"/>
      <c r="AL1657" s="23"/>
      <c r="AM1657" s="23"/>
      <c r="AN1657" s="23"/>
      <c r="AO1657" s="23"/>
      <c r="AP1657" s="23"/>
      <c r="AQ1657" s="23"/>
      <c r="AR1657" s="23"/>
      <c r="AS1657" s="23"/>
      <c r="AT1657" s="23"/>
      <c r="AU1657" s="23"/>
      <c r="AV1657" s="23"/>
      <c r="AW1657" s="23"/>
      <c r="AX1657" s="23"/>
      <c r="AY1657" s="23"/>
      <c r="AZ1657" s="23"/>
      <c r="BA1657" s="23"/>
      <c r="BB1657" s="23"/>
    </row>
    <row r="1658" spans="5:54" x14ac:dyDescent="0.35"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  <c r="AA1658" s="23"/>
      <c r="AB1658" s="23"/>
      <c r="AC1658" s="23"/>
      <c r="AD1658" s="23"/>
      <c r="AE1658" s="23"/>
      <c r="AF1658" s="23"/>
      <c r="AG1658" s="23"/>
      <c r="AH1658" s="23"/>
      <c r="AI1658" s="23"/>
      <c r="AJ1658" s="23"/>
      <c r="AK1658" s="23"/>
      <c r="AL1658" s="23"/>
      <c r="AM1658" s="23"/>
      <c r="AN1658" s="23"/>
      <c r="AO1658" s="23"/>
      <c r="AP1658" s="23"/>
      <c r="AQ1658" s="23"/>
      <c r="AR1658" s="23"/>
      <c r="AS1658" s="23"/>
      <c r="AT1658" s="23"/>
      <c r="AU1658" s="23"/>
      <c r="AV1658" s="23"/>
      <c r="AW1658" s="23"/>
      <c r="AX1658" s="23"/>
      <c r="AY1658" s="23"/>
      <c r="AZ1658" s="23"/>
      <c r="BA1658" s="23"/>
      <c r="BB1658" s="23"/>
    </row>
    <row r="1659" spans="5:54" x14ac:dyDescent="0.35"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  <c r="AA1659" s="23"/>
      <c r="AB1659" s="23"/>
      <c r="AC1659" s="23"/>
      <c r="AD1659" s="23"/>
      <c r="AE1659" s="23"/>
      <c r="AF1659" s="23"/>
      <c r="AG1659" s="23"/>
      <c r="AH1659" s="23"/>
      <c r="AI1659" s="23"/>
      <c r="AJ1659" s="23"/>
      <c r="AK1659" s="23"/>
      <c r="AL1659" s="23"/>
      <c r="AM1659" s="23"/>
      <c r="AN1659" s="23"/>
      <c r="AO1659" s="23"/>
      <c r="AP1659" s="23"/>
      <c r="AQ1659" s="23"/>
      <c r="AR1659" s="23"/>
      <c r="AS1659" s="23"/>
      <c r="AT1659" s="23"/>
      <c r="AU1659" s="23"/>
      <c r="AV1659" s="23"/>
      <c r="AW1659" s="23"/>
      <c r="AX1659" s="23"/>
      <c r="AY1659" s="23"/>
      <c r="AZ1659" s="23"/>
      <c r="BA1659" s="23"/>
      <c r="BB1659" s="23"/>
    </row>
    <row r="1660" spans="5:54" x14ac:dyDescent="0.35"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  <c r="AA1660" s="23"/>
      <c r="AB1660" s="23"/>
      <c r="AC1660" s="23"/>
      <c r="AD1660" s="23"/>
      <c r="AE1660" s="23"/>
      <c r="AF1660" s="23"/>
      <c r="AG1660" s="23"/>
      <c r="AH1660" s="23"/>
      <c r="AI1660" s="23"/>
      <c r="AJ1660" s="23"/>
      <c r="AK1660" s="23"/>
      <c r="AL1660" s="23"/>
      <c r="AM1660" s="23"/>
      <c r="AN1660" s="23"/>
      <c r="AO1660" s="23"/>
      <c r="AP1660" s="23"/>
      <c r="AQ1660" s="23"/>
      <c r="AR1660" s="23"/>
      <c r="AS1660" s="23"/>
      <c r="AT1660" s="23"/>
      <c r="AU1660" s="23"/>
      <c r="AV1660" s="23"/>
      <c r="AW1660" s="23"/>
      <c r="AX1660" s="23"/>
      <c r="AY1660" s="23"/>
      <c r="AZ1660" s="23"/>
      <c r="BA1660" s="23"/>
      <c r="BB1660" s="23"/>
    </row>
    <row r="1661" spans="5:54" x14ac:dyDescent="0.35"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  <c r="AA1661" s="23"/>
      <c r="AB1661" s="23"/>
      <c r="AC1661" s="23"/>
      <c r="AD1661" s="23"/>
      <c r="AE1661" s="23"/>
      <c r="AF1661" s="23"/>
      <c r="AG1661" s="23"/>
      <c r="AH1661" s="23"/>
      <c r="AI1661" s="23"/>
      <c r="AJ1661" s="23"/>
      <c r="AK1661" s="23"/>
      <c r="AL1661" s="23"/>
      <c r="AM1661" s="23"/>
      <c r="AN1661" s="23"/>
      <c r="AO1661" s="23"/>
      <c r="AP1661" s="23"/>
      <c r="AQ1661" s="23"/>
      <c r="AR1661" s="23"/>
      <c r="AS1661" s="23"/>
      <c r="AT1661" s="23"/>
      <c r="AU1661" s="23"/>
      <c r="AV1661" s="23"/>
      <c r="AW1661" s="23"/>
      <c r="AX1661" s="23"/>
      <c r="AY1661" s="23"/>
      <c r="AZ1661" s="23"/>
      <c r="BA1661" s="23"/>
      <c r="BB1661" s="23"/>
    </row>
    <row r="1662" spans="5:54" x14ac:dyDescent="0.35"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  <c r="AA1662" s="23"/>
      <c r="AB1662" s="23"/>
      <c r="AC1662" s="23"/>
      <c r="AD1662" s="23"/>
      <c r="AE1662" s="23"/>
      <c r="AF1662" s="23"/>
      <c r="AG1662" s="23"/>
      <c r="AH1662" s="23"/>
      <c r="AI1662" s="23"/>
      <c r="AJ1662" s="23"/>
      <c r="AK1662" s="23"/>
      <c r="AL1662" s="23"/>
      <c r="AM1662" s="23"/>
      <c r="AN1662" s="23"/>
      <c r="AO1662" s="23"/>
      <c r="AP1662" s="23"/>
      <c r="AQ1662" s="23"/>
      <c r="AR1662" s="23"/>
      <c r="AS1662" s="23"/>
      <c r="AT1662" s="23"/>
      <c r="AU1662" s="23"/>
      <c r="AV1662" s="23"/>
      <c r="AW1662" s="23"/>
      <c r="AX1662" s="23"/>
      <c r="AY1662" s="23"/>
      <c r="AZ1662" s="23"/>
      <c r="BA1662" s="23"/>
      <c r="BB1662" s="23"/>
    </row>
    <row r="1663" spans="5:54" x14ac:dyDescent="0.35"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  <c r="AA1663" s="23"/>
      <c r="AB1663" s="23"/>
      <c r="AC1663" s="23"/>
      <c r="AD1663" s="23"/>
      <c r="AE1663" s="23"/>
      <c r="AF1663" s="23"/>
      <c r="AG1663" s="23"/>
      <c r="AH1663" s="23"/>
      <c r="AI1663" s="23"/>
      <c r="AJ1663" s="23"/>
      <c r="AK1663" s="23"/>
      <c r="AL1663" s="23"/>
      <c r="AM1663" s="23"/>
      <c r="AN1663" s="23"/>
      <c r="AO1663" s="23"/>
      <c r="AP1663" s="23"/>
      <c r="AQ1663" s="23"/>
      <c r="AR1663" s="23"/>
      <c r="AS1663" s="23"/>
      <c r="AT1663" s="23"/>
      <c r="AU1663" s="23"/>
      <c r="AV1663" s="23"/>
      <c r="AW1663" s="23"/>
      <c r="AX1663" s="23"/>
      <c r="AY1663" s="23"/>
      <c r="AZ1663" s="23"/>
      <c r="BA1663" s="23"/>
      <c r="BB1663" s="23"/>
    </row>
    <row r="1664" spans="5:54" x14ac:dyDescent="0.35"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  <c r="AA1664" s="23"/>
      <c r="AB1664" s="23"/>
      <c r="AC1664" s="23"/>
      <c r="AD1664" s="23"/>
      <c r="AE1664" s="23"/>
      <c r="AF1664" s="23"/>
      <c r="AG1664" s="23"/>
      <c r="AH1664" s="23"/>
      <c r="AI1664" s="23"/>
      <c r="AJ1664" s="23"/>
      <c r="AK1664" s="23"/>
      <c r="AL1664" s="23"/>
      <c r="AM1664" s="23"/>
      <c r="AN1664" s="23"/>
      <c r="AO1664" s="23"/>
      <c r="AP1664" s="23"/>
      <c r="AQ1664" s="23"/>
      <c r="AR1664" s="23"/>
      <c r="AS1664" s="23"/>
      <c r="AT1664" s="23"/>
      <c r="AU1664" s="23"/>
      <c r="AV1664" s="23"/>
      <c r="AW1664" s="23"/>
      <c r="AX1664" s="23"/>
      <c r="AY1664" s="23"/>
      <c r="AZ1664" s="23"/>
      <c r="BA1664" s="23"/>
      <c r="BB1664" s="23"/>
    </row>
    <row r="1665" spans="5:54" x14ac:dyDescent="0.35"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  <c r="AA1665" s="23"/>
      <c r="AB1665" s="23"/>
      <c r="AC1665" s="23"/>
      <c r="AD1665" s="23"/>
      <c r="AE1665" s="23"/>
      <c r="AF1665" s="23"/>
      <c r="AG1665" s="23"/>
      <c r="AH1665" s="23"/>
      <c r="AI1665" s="23"/>
      <c r="AJ1665" s="23"/>
      <c r="AK1665" s="23"/>
      <c r="AL1665" s="23"/>
      <c r="AM1665" s="23"/>
      <c r="AN1665" s="23"/>
      <c r="AO1665" s="23"/>
      <c r="AP1665" s="23"/>
      <c r="AQ1665" s="23"/>
      <c r="AR1665" s="23"/>
      <c r="AS1665" s="23"/>
      <c r="AT1665" s="23"/>
      <c r="AU1665" s="23"/>
      <c r="AV1665" s="23"/>
      <c r="AW1665" s="23"/>
      <c r="AX1665" s="23"/>
      <c r="AY1665" s="23"/>
      <c r="AZ1665" s="23"/>
      <c r="BA1665" s="23"/>
      <c r="BB1665" s="23"/>
    </row>
    <row r="1666" spans="5:54" x14ac:dyDescent="0.35"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  <c r="AA1666" s="23"/>
      <c r="AB1666" s="23"/>
      <c r="AC1666" s="23"/>
      <c r="AD1666" s="23"/>
      <c r="AE1666" s="23"/>
      <c r="AF1666" s="23"/>
      <c r="AG1666" s="23"/>
      <c r="AH1666" s="23"/>
      <c r="AI1666" s="23"/>
      <c r="AJ1666" s="23"/>
      <c r="AK1666" s="23"/>
      <c r="AL1666" s="23"/>
      <c r="AM1666" s="23"/>
      <c r="AN1666" s="23"/>
      <c r="AO1666" s="23"/>
      <c r="AP1666" s="23"/>
      <c r="AQ1666" s="23"/>
      <c r="AR1666" s="23"/>
      <c r="AS1666" s="23"/>
      <c r="AT1666" s="23"/>
      <c r="AU1666" s="23"/>
      <c r="AV1666" s="23"/>
      <c r="AW1666" s="23"/>
      <c r="AX1666" s="23"/>
      <c r="AY1666" s="23"/>
      <c r="AZ1666" s="23"/>
      <c r="BA1666" s="23"/>
      <c r="BB1666" s="23"/>
    </row>
    <row r="1667" spans="5:54" x14ac:dyDescent="0.35"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  <c r="AA1667" s="23"/>
      <c r="AB1667" s="23"/>
      <c r="AC1667" s="23"/>
      <c r="AD1667" s="23"/>
      <c r="AE1667" s="23"/>
      <c r="AF1667" s="23"/>
      <c r="AG1667" s="23"/>
      <c r="AH1667" s="23"/>
      <c r="AI1667" s="23"/>
      <c r="AJ1667" s="23"/>
      <c r="AK1667" s="23"/>
      <c r="AL1667" s="23"/>
      <c r="AM1667" s="23"/>
      <c r="AN1667" s="23"/>
      <c r="AO1667" s="23"/>
      <c r="AP1667" s="23"/>
      <c r="AQ1667" s="23"/>
      <c r="AR1667" s="23"/>
      <c r="AS1667" s="23"/>
      <c r="AT1667" s="23"/>
      <c r="AU1667" s="23"/>
      <c r="AV1667" s="23"/>
      <c r="AW1667" s="23"/>
      <c r="AX1667" s="23"/>
      <c r="AY1667" s="23"/>
      <c r="AZ1667" s="23"/>
      <c r="BA1667" s="23"/>
      <c r="BB1667" s="23"/>
    </row>
    <row r="1668" spans="5:54" x14ac:dyDescent="0.35"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  <c r="AA1668" s="23"/>
      <c r="AB1668" s="23"/>
      <c r="AC1668" s="23"/>
      <c r="AD1668" s="23"/>
      <c r="AE1668" s="23"/>
      <c r="AF1668" s="23"/>
      <c r="AG1668" s="23"/>
      <c r="AH1668" s="23"/>
      <c r="AI1668" s="23"/>
      <c r="AJ1668" s="23"/>
      <c r="AK1668" s="23"/>
      <c r="AL1668" s="23"/>
      <c r="AM1668" s="23"/>
      <c r="AN1668" s="23"/>
      <c r="AO1668" s="23"/>
      <c r="AP1668" s="23"/>
      <c r="AQ1668" s="23"/>
      <c r="AR1668" s="23"/>
      <c r="AS1668" s="23"/>
      <c r="AT1668" s="23"/>
      <c r="AU1668" s="23"/>
      <c r="AV1668" s="23"/>
      <c r="AW1668" s="23"/>
      <c r="AX1668" s="23"/>
      <c r="AY1668" s="23"/>
      <c r="AZ1668" s="23"/>
      <c r="BA1668" s="23"/>
      <c r="BB1668" s="23"/>
    </row>
    <row r="1669" spans="5:54" x14ac:dyDescent="0.35"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  <c r="AA1669" s="23"/>
      <c r="AB1669" s="23"/>
      <c r="AC1669" s="23"/>
      <c r="AD1669" s="23"/>
      <c r="AE1669" s="23"/>
      <c r="AF1669" s="23"/>
      <c r="AG1669" s="23"/>
      <c r="AH1669" s="23"/>
      <c r="AI1669" s="23"/>
      <c r="AJ1669" s="23"/>
      <c r="AK1669" s="23"/>
      <c r="AL1669" s="23"/>
      <c r="AM1669" s="23"/>
      <c r="AN1669" s="23"/>
      <c r="AO1669" s="23"/>
      <c r="AP1669" s="23"/>
      <c r="AQ1669" s="23"/>
      <c r="AR1669" s="23"/>
      <c r="AS1669" s="23"/>
      <c r="AT1669" s="23"/>
      <c r="AU1669" s="23"/>
      <c r="AV1669" s="23"/>
      <c r="AW1669" s="23"/>
      <c r="AX1669" s="23"/>
      <c r="AY1669" s="23"/>
      <c r="AZ1669" s="23"/>
      <c r="BA1669" s="23"/>
      <c r="BB1669" s="23"/>
    </row>
    <row r="1670" spans="5:54" x14ac:dyDescent="0.35"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  <c r="AA1670" s="23"/>
      <c r="AB1670" s="23"/>
      <c r="AC1670" s="23"/>
      <c r="AD1670" s="23"/>
      <c r="AE1670" s="23"/>
      <c r="AF1670" s="23"/>
      <c r="AG1670" s="23"/>
      <c r="AH1670" s="23"/>
      <c r="AI1670" s="23"/>
      <c r="AJ1670" s="23"/>
      <c r="AK1670" s="23"/>
      <c r="AL1670" s="23"/>
      <c r="AM1670" s="23"/>
      <c r="AN1670" s="23"/>
      <c r="AO1670" s="23"/>
      <c r="AP1670" s="23"/>
      <c r="AQ1670" s="23"/>
      <c r="AR1670" s="23"/>
      <c r="AS1670" s="23"/>
      <c r="AT1670" s="23"/>
      <c r="AU1670" s="23"/>
      <c r="AV1670" s="23"/>
      <c r="AW1670" s="23"/>
      <c r="AX1670" s="23"/>
      <c r="AY1670" s="23"/>
      <c r="AZ1670" s="23"/>
      <c r="BA1670" s="23"/>
      <c r="BB1670" s="23"/>
    </row>
    <row r="1671" spans="5:54" x14ac:dyDescent="0.35"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  <c r="AA1671" s="23"/>
      <c r="AB1671" s="23"/>
      <c r="AC1671" s="23"/>
      <c r="AD1671" s="23"/>
      <c r="AE1671" s="23"/>
      <c r="AF1671" s="23"/>
      <c r="AG1671" s="23"/>
      <c r="AH1671" s="23"/>
      <c r="AI1671" s="23"/>
      <c r="AJ1671" s="23"/>
      <c r="AK1671" s="23"/>
      <c r="AL1671" s="23"/>
      <c r="AM1671" s="23"/>
      <c r="AN1671" s="23"/>
      <c r="AO1671" s="23"/>
      <c r="AP1671" s="23"/>
      <c r="AQ1671" s="23"/>
      <c r="AR1671" s="23"/>
      <c r="AS1671" s="23"/>
      <c r="AT1671" s="23"/>
      <c r="AU1671" s="23"/>
      <c r="AV1671" s="23"/>
      <c r="AW1671" s="23"/>
      <c r="AX1671" s="23"/>
      <c r="AY1671" s="23"/>
      <c r="AZ1671" s="23"/>
      <c r="BA1671" s="23"/>
      <c r="BB1671" s="23"/>
    </row>
    <row r="1672" spans="5:54" x14ac:dyDescent="0.35"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  <c r="AA1672" s="23"/>
      <c r="AB1672" s="23"/>
      <c r="AC1672" s="23"/>
      <c r="AD1672" s="23"/>
      <c r="AE1672" s="23"/>
      <c r="AF1672" s="23"/>
      <c r="AG1672" s="23"/>
      <c r="AH1672" s="23"/>
      <c r="AI1672" s="23"/>
      <c r="AJ1672" s="23"/>
      <c r="AK1672" s="23"/>
      <c r="AL1672" s="23"/>
      <c r="AM1672" s="23"/>
      <c r="AN1672" s="23"/>
      <c r="AO1672" s="23"/>
      <c r="AP1672" s="23"/>
      <c r="AQ1672" s="23"/>
      <c r="AR1672" s="23"/>
      <c r="AS1672" s="23"/>
      <c r="AT1672" s="23"/>
      <c r="AU1672" s="23"/>
      <c r="AV1672" s="23"/>
      <c r="AW1672" s="23"/>
      <c r="AX1672" s="23"/>
      <c r="AY1672" s="23"/>
      <c r="AZ1672" s="23"/>
      <c r="BA1672" s="23"/>
      <c r="BB1672" s="23"/>
    </row>
    <row r="1673" spans="5:54" x14ac:dyDescent="0.35"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  <c r="AA1673" s="23"/>
      <c r="AB1673" s="23"/>
      <c r="AC1673" s="23"/>
      <c r="AD1673" s="23"/>
      <c r="AE1673" s="23"/>
      <c r="AF1673" s="23"/>
      <c r="AG1673" s="23"/>
      <c r="AH1673" s="23"/>
      <c r="AI1673" s="23"/>
      <c r="AJ1673" s="23"/>
      <c r="AK1673" s="23"/>
      <c r="AL1673" s="23"/>
      <c r="AM1673" s="23"/>
      <c r="AN1673" s="23"/>
      <c r="AO1673" s="23"/>
      <c r="AP1673" s="23"/>
      <c r="AQ1673" s="23"/>
      <c r="AR1673" s="23"/>
      <c r="AS1673" s="23"/>
      <c r="AT1673" s="23"/>
      <c r="AU1673" s="23"/>
      <c r="AV1673" s="23"/>
      <c r="AW1673" s="23"/>
      <c r="AX1673" s="23"/>
      <c r="AY1673" s="23"/>
      <c r="AZ1673" s="23"/>
      <c r="BA1673" s="23"/>
      <c r="BB1673" s="23"/>
    </row>
    <row r="1674" spans="5:54" x14ac:dyDescent="0.35"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  <c r="AA1674" s="23"/>
      <c r="AB1674" s="23"/>
      <c r="AC1674" s="23"/>
      <c r="AD1674" s="23"/>
      <c r="AE1674" s="23"/>
      <c r="AF1674" s="23"/>
      <c r="AG1674" s="23"/>
      <c r="AH1674" s="23"/>
      <c r="AI1674" s="23"/>
      <c r="AJ1674" s="23"/>
      <c r="AK1674" s="23"/>
      <c r="AL1674" s="23"/>
      <c r="AM1674" s="23"/>
      <c r="AN1674" s="23"/>
      <c r="AO1674" s="23"/>
      <c r="AP1674" s="23"/>
      <c r="AQ1674" s="23"/>
      <c r="AR1674" s="23"/>
      <c r="AS1674" s="23"/>
      <c r="AT1674" s="23"/>
      <c r="AU1674" s="23"/>
      <c r="AV1674" s="23"/>
      <c r="AW1674" s="23"/>
      <c r="AX1674" s="23"/>
      <c r="AY1674" s="23"/>
      <c r="AZ1674" s="23"/>
      <c r="BA1674" s="23"/>
      <c r="BB1674" s="23"/>
    </row>
    <row r="1675" spans="5:54" x14ac:dyDescent="0.35"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  <c r="AA1675" s="23"/>
      <c r="AB1675" s="23"/>
      <c r="AC1675" s="23"/>
      <c r="AD1675" s="23"/>
      <c r="AE1675" s="23"/>
      <c r="AF1675" s="23"/>
      <c r="AG1675" s="23"/>
      <c r="AH1675" s="23"/>
      <c r="AI1675" s="23"/>
      <c r="AJ1675" s="23"/>
      <c r="AK1675" s="23"/>
      <c r="AL1675" s="23"/>
      <c r="AM1675" s="23"/>
      <c r="AN1675" s="23"/>
      <c r="AO1675" s="23"/>
      <c r="AP1675" s="23"/>
      <c r="AQ1675" s="23"/>
      <c r="AR1675" s="23"/>
      <c r="AS1675" s="23"/>
      <c r="AT1675" s="23"/>
      <c r="AU1675" s="23"/>
      <c r="AV1675" s="23"/>
      <c r="AW1675" s="23"/>
      <c r="AX1675" s="23"/>
      <c r="AY1675" s="23"/>
      <c r="AZ1675" s="23"/>
      <c r="BA1675" s="23"/>
      <c r="BB1675" s="23"/>
    </row>
    <row r="1676" spans="5:54" x14ac:dyDescent="0.35"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  <c r="AA1676" s="23"/>
      <c r="AB1676" s="23"/>
      <c r="AC1676" s="23"/>
      <c r="AD1676" s="23"/>
      <c r="AE1676" s="23"/>
      <c r="AF1676" s="23"/>
      <c r="AG1676" s="23"/>
      <c r="AH1676" s="23"/>
      <c r="AI1676" s="23"/>
      <c r="AJ1676" s="23"/>
      <c r="AK1676" s="23"/>
      <c r="AL1676" s="23"/>
      <c r="AM1676" s="23"/>
      <c r="AN1676" s="23"/>
      <c r="AO1676" s="23"/>
      <c r="AP1676" s="23"/>
      <c r="AQ1676" s="23"/>
      <c r="AR1676" s="23"/>
      <c r="AS1676" s="23"/>
      <c r="AT1676" s="23"/>
      <c r="AU1676" s="23"/>
      <c r="AV1676" s="23"/>
      <c r="AW1676" s="23"/>
      <c r="AX1676" s="23"/>
      <c r="AY1676" s="23"/>
      <c r="AZ1676" s="23"/>
      <c r="BA1676" s="23"/>
      <c r="BB1676" s="23"/>
    </row>
    <row r="1677" spans="5:54" x14ac:dyDescent="0.35"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  <c r="AA1677" s="23"/>
      <c r="AB1677" s="23"/>
      <c r="AC1677" s="23"/>
      <c r="AD1677" s="23"/>
      <c r="AE1677" s="23"/>
      <c r="AF1677" s="23"/>
      <c r="AG1677" s="23"/>
      <c r="AH1677" s="23"/>
      <c r="AI1677" s="23"/>
      <c r="AJ1677" s="23"/>
      <c r="AK1677" s="23"/>
      <c r="AL1677" s="23"/>
      <c r="AM1677" s="23"/>
      <c r="AN1677" s="23"/>
      <c r="AO1677" s="23"/>
      <c r="AP1677" s="23"/>
      <c r="AQ1677" s="23"/>
      <c r="AR1677" s="23"/>
      <c r="AS1677" s="23"/>
      <c r="AT1677" s="23"/>
      <c r="AU1677" s="23"/>
      <c r="AV1677" s="23"/>
      <c r="AW1677" s="23"/>
      <c r="AX1677" s="23"/>
      <c r="AY1677" s="23"/>
      <c r="AZ1677" s="23"/>
      <c r="BA1677" s="23"/>
      <c r="BB1677" s="23"/>
    </row>
    <row r="1678" spans="5:54" x14ac:dyDescent="0.35"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  <c r="AA1678" s="23"/>
      <c r="AB1678" s="23"/>
      <c r="AC1678" s="23"/>
      <c r="AD1678" s="23"/>
      <c r="AE1678" s="23"/>
      <c r="AF1678" s="23"/>
      <c r="AG1678" s="23"/>
      <c r="AH1678" s="23"/>
      <c r="AI1678" s="23"/>
      <c r="AJ1678" s="23"/>
      <c r="AK1678" s="23"/>
      <c r="AL1678" s="23"/>
      <c r="AM1678" s="23"/>
      <c r="AN1678" s="23"/>
      <c r="AO1678" s="23"/>
      <c r="AP1678" s="23"/>
      <c r="AQ1678" s="23"/>
      <c r="AR1678" s="23"/>
      <c r="AS1678" s="23"/>
      <c r="AT1678" s="23"/>
      <c r="AU1678" s="23"/>
      <c r="AV1678" s="23"/>
      <c r="AW1678" s="23"/>
      <c r="AX1678" s="23"/>
      <c r="AY1678" s="23"/>
      <c r="AZ1678" s="23"/>
      <c r="BA1678" s="23"/>
      <c r="BB1678" s="23"/>
    </row>
    <row r="1679" spans="5:54" x14ac:dyDescent="0.35"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  <c r="AA1679" s="23"/>
      <c r="AB1679" s="23"/>
      <c r="AC1679" s="23"/>
      <c r="AD1679" s="23"/>
      <c r="AE1679" s="23"/>
      <c r="AF1679" s="23"/>
      <c r="AG1679" s="23"/>
      <c r="AH1679" s="23"/>
      <c r="AI1679" s="23"/>
      <c r="AJ1679" s="23"/>
      <c r="AK1679" s="23"/>
      <c r="AL1679" s="23"/>
      <c r="AM1679" s="23"/>
      <c r="AN1679" s="23"/>
      <c r="AO1679" s="23"/>
      <c r="AP1679" s="23"/>
      <c r="AQ1679" s="23"/>
      <c r="AR1679" s="23"/>
      <c r="AS1679" s="23"/>
      <c r="AT1679" s="23"/>
      <c r="AU1679" s="23"/>
      <c r="AV1679" s="23"/>
      <c r="AW1679" s="23"/>
      <c r="AX1679" s="23"/>
      <c r="AY1679" s="23"/>
      <c r="AZ1679" s="23"/>
      <c r="BA1679" s="23"/>
      <c r="BB1679" s="23"/>
    </row>
    <row r="1680" spans="5:54" x14ac:dyDescent="0.35"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  <c r="AA1680" s="23"/>
      <c r="AB1680" s="23"/>
      <c r="AC1680" s="23"/>
      <c r="AD1680" s="23"/>
      <c r="AE1680" s="23"/>
      <c r="AF1680" s="23"/>
      <c r="AG1680" s="23"/>
      <c r="AH1680" s="23"/>
      <c r="AI1680" s="23"/>
      <c r="AJ1680" s="23"/>
      <c r="AK1680" s="23"/>
      <c r="AL1680" s="23"/>
      <c r="AM1680" s="23"/>
      <c r="AN1680" s="23"/>
      <c r="AO1680" s="23"/>
      <c r="AP1680" s="23"/>
      <c r="AQ1680" s="23"/>
      <c r="AR1680" s="23"/>
      <c r="AS1680" s="23"/>
      <c r="AT1680" s="23"/>
      <c r="AU1680" s="23"/>
      <c r="AV1680" s="23"/>
      <c r="AW1680" s="23"/>
      <c r="AX1680" s="23"/>
      <c r="AY1680" s="23"/>
      <c r="AZ1680" s="23"/>
      <c r="BA1680" s="23"/>
      <c r="BB1680" s="23"/>
    </row>
    <row r="1681" spans="5:54" x14ac:dyDescent="0.35"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  <c r="AA1681" s="23"/>
      <c r="AB1681" s="23"/>
      <c r="AC1681" s="23"/>
      <c r="AD1681" s="23"/>
      <c r="AE1681" s="23"/>
      <c r="AF1681" s="23"/>
      <c r="AG1681" s="23"/>
      <c r="AH1681" s="23"/>
      <c r="AI1681" s="23"/>
      <c r="AJ1681" s="23"/>
      <c r="AK1681" s="23"/>
      <c r="AL1681" s="23"/>
      <c r="AM1681" s="23"/>
      <c r="AN1681" s="23"/>
      <c r="AO1681" s="23"/>
      <c r="AP1681" s="23"/>
      <c r="AQ1681" s="23"/>
      <c r="AR1681" s="23"/>
      <c r="AS1681" s="23"/>
      <c r="AT1681" s="23"/>
      <c r="AU1681" s="23"/>
      <c r="AV1681" s="23"/>
      <c r="AW1681" s="23"/>
      <c r="AX1681" s="23"/>
      <c r="AY1681" s="23"/>
      <c r="AZ1681" s="23"/>
      <c r="BA1681" s="23"/>
      <c r="BB1681" s="23"/>
    </row>
    <row r="1682" spans="5:54" x14ac:dyDescent="0.35"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  <c r="AA1682" s="23"/>
      <c r="AB1682" s="23"/>
      <c r="AC1682" s="23"/>
      <c r="AD1682" s="23"/>
      <c r="AE1682" s="23"/>
      <c r="AF1682" s="23"/>
      <c r="AG1682" s="23"/>
      <c r="AH1682" s="23"/>
      <c r="AI1682" s="23"/>
      <c r="AJ1682" s="23"/>
      <c r="AK1682" s="23"/>
      <c r="AL1682" s="23"/>
      <c r="AM1682" s="23"/>
      <c r="AN1682" s="23"/>
      <c r="AO1682" s="23"/>
      <c r="AP1682" s="23"/>
      <c r="AQ1682" s="23"/>
      <c r="AR1682" s="23"/>
      <c r="AS1682" s="23"/>
      <c r="AT1682" s="23"/>
      <c r="AU1682" s="23"/>
      <c r="AV1682" s="23"/>
      <c r="AW1682" s="23"/>
      <c r="AX1682" s="23"/>
      <c r="AY1682" s="23"/>
      <c r="AZ1682" s="23"/>
      <c r="BA1682" s="23"/>
      <c r="BB1682" s="23"/>
    </row>
    <row r="1683" spans="5:54" x14ac:dyDescent="0.35"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  <c r="AA1683" s="23"/>
      <c r="AB1683" s="23"/>
      <c r="AC1683" s="23"/>
      <c r="AD1683" s="23"/>
      <c r="AE1683" s="23"/>
      <c r="AF1683" s="23"/>
      <c r="AG1683" s="23"/>
      <c r="AH1683" s="23"/>
      <c r="AI1683" s="23"/>
      <c r="AJ1683" s="23"/>
      <c r="AK1683" s="23"/>
      <c r="AL1683" s="23"/>
      <c r="AM1683" s="23"/>
      <c r="AN1683" s="23"/>
      <c r="AO1683" s="23"/>
      <c r="AP1683" s="23"/>
      <c r="AQ1683" s="23"/>
      <c r="AR1683" s="23"/>
      <c r="AS1683" s="23"/>
      <c r="AT1683" s="23"/>
      <c r="AU1683" s="23"/>
      <c r="AV1683" s="23"/>
      <c r="AW1683" s="23"/>
      <c r="AX1683" s="23"/>
      <c r="AY1683" s="23"/>
      <c r="AZ1683" s="23"/>
      <c r="BA1683" s="23"/>
      <c r="BB1683" s="23"/>
    </row>
    <row r="1684" spans="5:54" x14ac:dyDescent="0.35"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  <c r="AA1684" s="23"/>
      <c r="AB1684" s="23"/>
      <c r="AC1684" s="23"/>
      <c r="AD1684" s="23"/>
      <c r="AE1684" s="23"/>
      <c r="AF1684" s="23"/>
      <c r="AG1684" s="23"/>
      <c r="AH1684" s="23"/>
      <c r="AI1684" s="23"/>
      <c r="AJ1684" s="23"/>
      <c r="AK1684" s="23"/>
      <c r="AL1684" s="23"/>
      <c r="AM1684" s="23"/>
      <c r="AN1684" s="23"/>
      <c r="AO1684" s="23"/>
      <c r="AP1684" s="23"/>
      <c r="AQ1684" s="23"/>
      <c r="AR1684" s="23"/>
      <c r="AS1684" s="23"/>
      <c r="AT1684" s="23"/>
      <c r="AU1684" s="23"/>
      <c r="AV1684" s="23"/>
      <c r="AW1684" s="23"/>
      <c r="AX1684" s="23"/>
      <c r="AY1684" s="23"/>
      <c r="AZ1684" s="23"/>
      <c r="BA1684" s="23"/>
      <c r="BB1684" s="23"/>
    </row>
    <row r="1685" spans="5:54" x14ac:dyDescent="0.35"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  <c r="AA1685" s="23"/>
      <c r="AB1685" s="23"/>
      <c r="AC1685" s="23"/>
      <c r="AD1685" s="23"/>
      <c r="AE1685" s="23"/>
      <c r="AF1685" s="23"/>
      <c r="AG1685" s="23"/>
      <c r="AH1685" s="23"/>
      <c r="AI1685" s="23"/>
      <c r="AJ1685" s="23"/>
      <c r="AK1685" s="23"/>
      <c r="AL1685" s="23"/>
      <c r="AM1685" s="23"/>
      <c r="AN1685" s="23"/>
      <c r="AO1685" s="23"/>
      <c r="AP1685" s="23"/>
      <c r="AQ1685" s="23"/>
      <c r="AR1685" s="23"/>
      <c r="AS1685" s="23"/>
      <c r="AT1685" s="23"/>
      <c r="AU1685" s="23"/>
      <c r="AV1685" s="23"/>
      <c r="AW1685" s="23"/>
      <c r="AX1685" s="23"/>
      <c r="AY1685" s="23"/>
      <c r="AZ1685" s="23"/>
      <c r="BA1685" s="23"/>
      <c r="BB1685" s="23"/>
    </row>
    <row r="1686" spans="5:54" x14ac:dyDescent="0.35"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  <c r="AA1686" s="23"/>
      <c r="AB1686" s="23"/>
      <c r="AC1686" s="23"/>
      <c r="AD1686" s="23"/>
      <c r="AE1686" s="23"/>
      <c r="AF1686" s="23"/>
      <c r="AG1686" s="23"/>
      <c r="AH1686" s="23"/>
      <c r="AI1686" s="23"/>
      <c r="AJ1686" s="23"/>
      <c r="AK1686" s="23"/>
      <c r="AL1686" s="23"/>
      <c r="AM1686" s="23"/>
      <c r="AN1686" s="23"/>
      <c r="AO1686" s="23"/>
      <c r="AP1686" s="23"/>
      <c r="AQ1686" s="23"/>
      <c r="AR1686" s="23"/>
      <c r="AS1686" s="23"/>
      <c r="AT1686" s="23"/>
      <c r="AU1686" s="23"/>
      <c r="AV1686" s="23"/>
      <c r="AW1686" s="23"/>
      <c r="AX1686" s="23"/>
      <c r="AY1686" s="23"/>
      <c r="AZ1686" s="23"/>
      <c r="BA1686" s="23"/>
      <c r="BB1686" s="23"/>
    </row>
    <row r="1687" spans="5:54" x14ac:dyDescent="0.35"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  <c r="AA1687" s="23"/>
      <c r="AB1687" s="23"/>
      <c r="AC1687" s="23"/>
      <c r="AD1687" s="23"/>
      <c r="AE1687" s="23"/>
      <c r="AF1687" s="23"/>
      <c r="AG1687" s="23"/>
      <c r="AH1687" s="23"/>
      <c r="AI1687" s="23"/>
      <c r="AJ1687" s="23"/>
      <c r="AK1687" s="23"/>
      <c r="AL1687" s="23"/>
      <c r="AM1687" s="23"/>
      <c r="AN1687" s="23"/>
      <c r="AO1687" s="23"/>
      <c r="AP1687" s="23"/>
      <c r="AQ1687" s="23"/>
      <c r="AR1687" s="23"/>
      <c r="AS1687" s="23"/>
      <c r="AT1687" s="23"/>
      <c r="AU1687" s="23"/>
      <c r="AV1687" s="23"/>
      <c r="AW1687" s="23"/>
      <c r="AX1687" s="23"/>
      <c r="AY1687" s="23"/>
      <c r="AZ1687" s="23"/>
      <c r="BA1687" s="23"/>
      <c r="BB1687" s="23"/>
    </row>
    <row r="1688" spans="5:54" x14ac:dyDescent="0.35"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  <c r="AA1688" s="23"/>
      <c r="AB1688" s="23"/>
      <c r="AC1688" s="23"/>
      <c r="AD1688" s="23"/>
      <c r="AE1688" s="23"/>
      <c r="AF1688" s="23"/>
      <c r="AG1688" s="23"/>
      <c r="AH1688" s="23"/>
      <c r="AI1688" s="23"/>
      <c r="AJ1688" s="23"/>
      <c r="AK1688" s="23"/>
      <c r="AL1688" s="23"/>
      <c r="AM1688" s="23"/>
      <c r="AN1688" s="23"/>
      <c r="AO1688" s="23"/>
      <c r="AP1688" s="23"/>
      <c r="AQ1688" s="23"/>
      <c r="AR1688" s="23"/>
      <c r="AS1688" s="23"/>
      <c r="AT1688" s="23"/>
      <c r="AU1688" s="23"/>
      <c r="AV1688" s="23"/>
      <c r="AW1688" s="23"/>
      <c r="AX1688" s="23"/>
      <c r="AY1688" s="23"/>
      <c r="AZ1688" s="23"/>
      <c r="BA1688" s="23"/>
      <c r="BB1688" s="23"/>
    </row>
    <row r="1689" spans="5:54" x14ac:dyDescent="0.35"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  <c r="AA1689" s="23"/>
      <c r="AB1689" s="23"/>
      <c r="AC1689" s="23"/>
      <c r="AD1689" s="23"/>
      <c r="AE1689" s="23"/>
      <c r="AF1689" s="23"/>
      <c r="AG1689" s="23"/>
      <c r="AH1689" s="23"/>
      <c r="AI1689" s="23"/>
      <c r="AJ1689" s="23"/>
      <c r="AK1689" s="23"/>
      <c r="AL1689" s="23"/>
      <c r="AM1689" s="23"/>
      <c r="AN1689" s="23"/>
      <c r="AO1689" s="23"/>
      <c r="AP1689" s="23"/>
      <c r="AQ1689" s="23"/>
      <c r="AR1689" s="23"/>
      <c r="AS1689" s="23"/>
      <c r="AT1689" s="23"/>
      <c r="AU1689" s="23"/>
      <c r="AV1689" s="23"/>
      <c r="AW1689" s="23"/>
      <c r="AX1689" s="23"/>
      <c r="AY1689" s="23"/>
      <c r="AZ1689" s="23"/>
      <c r="BA1689" s="23"/>
      <c r="BB1689" s="23"/>
    </row>
    <row r="1690" spans="5:54" x14ac:dyDescent="0.35"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  <c r="AA1690" s="23"/>
      <c r="AB1690" s="23"/>
      <c r="AC1690" s="23"/>
      <c r="AD1690" s="23"/>
      <c r="AE1690" s="23"/>
      <c r="AF1690" s="23"/>
      <c r="AG1690" s="23"/>
      <c r="AH1690" s="23"/>
      <c r="AI1690" s="23"/>
      <c r="AJ1690" s="23"/>
      <c r="AK1690" s="23"/>
      <c r="AL1690" s="23"/>
      <c r="AM1690" s="23"/>
      <c r="AN1690" s="23"/>
      <c r="AO1690" s="23"/>
      <c r="AP1690" s="23"/>
      <c r="AQ1690" s="23"/>
      <c r="AR1690" s="23"/>
      <c r="AS1690" s="23"/>
      <c r="AT1690" s="23"/>
      <c r="AU1690" s="23"/>
      <c r="AV1690" s="23"/>
      <c r="AW1690" s="23"/>
      <c r="AX1690" s="23"/>
      <c r="AY1690" s="23"/>
      <c r="AZ1690" s="23"/>
      <c r="BA1690" s="23"/>
      <c r="BB1690" s="23"/>
    </row>
    <row r="1691" spans="5:54" x14ac:dyDescent="0.35"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  <c r="AA1691" s="23"/>
      <c r="AB1691" s="23"/>
      <c r="AC1691" s="23"/>
      <c r="AD1691" s="23"/>
      <c r="AE1691" s="23"/>
      <c r="AF1691" s="23"/>
      <c r="AG1691" s="23"/>
      <c r="AH1691" s="23"/>
      <c r="AI1691" s="23"/>
      <c r="AJ1691" s="23"/>
      <c r="AK1691" s="23"/>
      <c r="AL1691" s="23"/>
      <c r="AM1691" s="23"/>
      <c r="AN1691" s="23"/>
      <c r="AO1691" s="23"/>
      <c r="AP1691" s="23"/>
      <c r="AQ1691" s="23"/>
      <c r="AR1691" s="23"/>
      <c r="AS1691" s="23"/>
      <c r="AT1691" s="23"/>
      <c r="AU1691" s="23"/>
      <c r="AV1691" s="23"/>
      <c r="AW1691" s="23"/>
      <c r="AX1691" s="23"/>
      <c r="AY1691" s="23"/>
      <c r="AZ1691" s="23"/>
      <c r="BA1691" s="23"/>
      <c r="BB1691" s="23"/>
    </row>
    <row r="1692" spans="5:54" x14ac:dyDescent="0.35"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  <c r="AA1692" s="23"/>
      <c r="AB1692" s="23"/>
      <c r="AC1692" s="23"/>
      <c r="AD1692" s="23"/>
      <c r="AE1692" s="23"/>
      <c r="AF1692" s="23"/>
      <c r="AG1692" s="23"/>
      <c r="AH1692" s="23"/>
      <c r="AI1692" s="23"/>
      <c r="AJ1692" s="23"/>
      <c r="AK1692" s="23"/>
      <c r="AL1692" s="23"/>
      <c r="AM1692" s="23"/>
      <c r="AN1692" s="23"/>
      <c r="AO1692" s="23"/>
      <c r="AP1692" s="23"/>
      <c r="AQ1692" s="23"/>
      <c r="AR1692" s="23"/>
      <c r="AS1692" s="23"/>
      <c r="AT1692" s="23"/>
      <c r="AU1692" s="23"/>
      <c r="AV1692" s="23"/>
      <c r="AW1692" s="23"/>
      <c r="AX1692" s="23"/>
      <c r="AY1692" s="23"/>
      <c r="AZ1692" s="23"/>
      <c r="BA1692" s="23"/>
      <c r="BB1692" s="23"/>
    </row>
    <row r="1693" spans="5:54" x14ac:dyDescent="0.35"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  <c r="AA1693" s="23"/>
      <c r="AB1693" s="23"/>
      <c r="AC1693" s="23"/>
      <c r="AD1693" s="23"/>
      <c r="AE1693" s="23"/>
      <c r="AF1693" s="23"/>
      <c r="AG1693" s="23"/>
      <c r="AH1693" s="23"/>
      <c r="AI1693" s="23"/>
      <c r="AJ1693" s="23"/>
      <c r="AK1693" s="23"/>
      <c r="AL1693" s="23"/>
      <c r="AM1693" s="23"/>
      <c r="AN1693" s="23"/>
      <c r="AO1693" s="23"/>
      <c r="AP1693" s="23"/>
      <c r="AQ1693" s="23"/>
      <c r="AR1693" s="23"/>
      <c r="AS1693" s="23"/>
      <c r="AT1693" s="23"/>
      <c r="AU1693" s="23"/>
      <c r="AV1693" s="23"/>
      <c r="AW1693" s="23"/>
      <c r="AX1693" s="23"/>
      <c r="AY1693" s="23"/>
      <c r="AZ1693" s="23"/>
      <c r="BA1693" s="23"/>
      <c r="BB1693" s="23"/>
    </row>
    <row r="1694" spans="5:54" x14ac:dyDescent="0.35"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  <c r="AA1694" s="23"/>
      <c r="AB1694" s="23"/>
      <c r="AC1694" s="23"/>
      <c r="AD1694" s="23"/>
      <c r="AE1694" s="23"/>
      <c r="AF1694" s="23"/>
      <c r="AG1694" s="23"/>
      <c r="AH1694" s="23"/>
      <c r="AI1694" s="23"/>
      <c r="AJ1694" s="23"/>
      <c r="AK1694" s="23"/>
      <c r="AL1694" s="23"/>
      <c r="AM1694" s="23"/>
      <c r="AN1694" s="23"/>
      <c r="AO1694" s="23"/>
      <c r="AP1694" s="23"/>
      <c r="AQ1694" s="23"/>
      <c r="AR1694" s="23"/>
      <c r="AS1694" s="23"/>
      <c r="AT1694" s="23"/>
      <c r="AU1694" s="23"/>
      <c r="AV1694" s="23"/>
      <c r="AW1694" s="23"/>
      <c r="AX1694" s="23"/>
      <c r="AY1694" s="23"/>
      <c r="AZ1694" s="23"/>
      <c r="BA1694" s="23"/>
      <c r="BB1694" s="23"/>
    </row>
    <row r="1695" spans="5:54" x14ac:dyDescent="0.35"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  <c r="AA1695" s="23"/>
      <c r="AB1695" s="23"/>
      <c r="AC1695" s="23"/>
      <c r="AD1695" s="23"/>
      <c r="AE1695" s="23"/>
      <c r="AF1695" s="23"/>
      <c r="AG1695" s="23"/>
      <c r="AH1695" s="23"/>
      <c r="AI1695" s="23"/>
      <c r="AJ1695" s="23"/>
      <c r="AK1695" s="23"/>
      <c r="AL1695" s="23"/>
      <c r="AM1695" s="23"/>
      <c r="AN1695" s="23"/>
      <c r="AO1695" s="23"/>
      <c r="AP1695" s="23"/>
      <c r="AQ1695" s="23"/>
      <c r="AR1695" s="23"/>
      <c r="AS1695" s="23"/>
      <c r="AT1695" s="23"/>
      <c r="AU1695" s="23"/>
      <c r="AV1695" s="23"/>
      <c r="AW1695" s="23"/>
      <c r="AX1695" s="23"/>
      <c r="AY1695" s="23"/>
      <c r="AZ1695" s="23"/>
      <c r="BA1695" s="23"/>
      <c r="BB1695" s="23"/>
    </row>
    <row r="1696" spans="5:54" x14ac:dyDescent="0.35"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  <c r="AA1696" s="23"/>
      <c r="AB1696" s="23"/>
      <c r="AC1696" s="23"/>
      <c r="AD1696" s="23"/>
      <c r="AE1696" s="23"/>
      <c r="AF1696" s="23"/>
      <c r="AG1696" s="23"/>
      <c r="AH1696" s="23"/>
      <c r="AI1696" s="23"/>
      <c r="AJ1696" s="23"/>
      <c r="AK1696" s="23"/>
      <c r="AL1696" s="23"/>
      <c r="AM1696" s="23"/>
      <c r="AN1696" s="23"/>
      <c r="AO1696" s="23"/>
      <c r="AP1696" s="23"/>
      <c r="AQ1696" s="23"/>
      <c r="AR1696" s="23"/>
      <c r="AS1696" s="23"/>
      <c r="AT1696" s="23"/>
      <c r="AU1696" s="23"/>
      <c r="AV1696" s="23"/>
      <c r="AW1696" s="23"/>
      <c r="AX1696" s="23"/>
      <c r="AY1696" s="23"/>
      <c r="AZ1696" s="23"/>
      <c r="BA1696" s="23"/>
      <c r="BB1696" s="23"/>
    </row>
    <row r="1697" spans="5:54" x14ac:dyDescent="0.35"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  <c r="AA1697" s="23"/>
      <c r="AB1697" s="23"/>
      <c r="AC1697" s="23"/>
      <c r="AD1697" s="23"/>
      <c r="AE1697" s="23"/>
      <c r="AF1697" s="23"/>
      <c r="AG1697" s="23"/>
      <c r="AH1697" s="23"/>
      <c r="AI1697" s="23"/>
      <c r="AJ1697" s="23"/>
      <c r="AK1697" s="23"/>
      <c r="AL1697" s="23"/>
      <c r="AM1697" s="23"/>
      <c r="AN1697" s="23"/>
      <c r="AO1697" s="23"/>
      <c r="AP1697" s="23"/>
      <c r="AQ1697" s="23"/>
      <c r="AR1697" s="23"/>
      <c r="AS1697" s="23"/>
      <c r="AT1697" s="23"/>
      <c r="AU1697" s="23"/>
      <c r="AV1697" s="23"/>
      <c r="AW1697" s="23"/>
      <c r="AX1697" s="23"/>
      <c r="AY1697" s="23"/>
      <c r="AZ1697" s="23"/>
      <c r="BA1697" s="23"/>
      <c r="BB1697" s="23"/>
    </row>
    <row r="1698" spans="5:54" x14ac:dyDescent="0.35"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  <c r="AA1698" s="23"/>
      <c r="AB1698" s="23"/>
      <c r="AC1698" s="23"/>
      <c r="AD1698" s="23"/>
      <c r="AE1698" s="23"/>
      <c r="AF1698" s="23"/>
      <c r="AG1698" s="23"/>
      <c r="AH1698" s="23"/>
      <c r="AI1698" s="23"/>
      <c r="AJ1698" s="23"/>
      <c r="AK1698" s="23"/>
      <c r="AL1698" s="23"/>
      <c r="AM1698" s="23"/>
      <c r="AN1698" s="23"/>
      <c r="AO1698" s="23"/>
      <c r="AP1698" s="23"/>
      <c r="AQ1698" s="23"/>
      <c r="AR1698" s="23"/>
      <c r="AS1698" s="23"/>
      <c r="AT1698" s="23"/>
      <c r="AU1698" s="23"/>
      <c r="AV1698" s="23"/>
      <c r="AW1698" s="23"/>
      <c r="AX1698" s="23"/>
      <c r="AY1698" s="23"/>
      <c r="AZ1698" s="23"/>
      <c r="BA1698" s="23"/>
      <c r="BB1698" s="23"/>
    </row>
    <row r="1699" spans="5:54" x14ac:dyDescent="0.35"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  <c r="AA1699" s="23"/>
      <c r="AB1699" s="23"/>
      <c r="AC1699" s="23"/>
      <c r="AD1699" s="23"/>
      <c r="AE1699" s="23"/>
      <c r="AF1699" s="23"/>
      <c r="AG1699" s="23"/>
      <c r="AH1699" s="23"/>
      <c r="AI1699" s="23"/>
      <c r="AJ1699" s="23"/>
      <c r="AK1699" s="23"/>
      <c r="AL1699" s="23"/>
      <c r="AM1699" s="23"/>
      <c r="AN1699" s="23"/>
      <c r="AO1699" s="23"/>
      <c r="AP1699" s="23"/>
      <c r="AQ1699" s="23"/>
      <c r="AR1699" s="23"/>
      <c r="AS1699" s="23"/>
      <c r="AT1699" s="23"/>
      <c r="AU1699" s="23"/>
      <c r="AV1699" s="23"/>
      <c r="AW1699" s="23"/>
      <c r="AX1699" s="23"/>
      <c r="AY1699" s="23"/>
      <c r="AZ1699" s="23"/>
      <c r="BA1699" s="23"/>
      <c r="BB1699" s="23"/>
    </row>
    <row r="1700" spans="5:54" x14ac:dyDescent="0.35"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  <c r="AA1700" s="23"/>
      <c r="AB1700" s="23"/>
      <c r="AC1700" s="23"/>
      <c r="AD1700" s="23"/>
      <c r="AE1700" s="23"/>
      <c r="AF1700" s="23"/>
      <c r="AG1700" s="23"/>
      <c r="AH1700" s="23"/>
      <c r="AI1700" s="23"/>
      <c r="AJ1700" s="23"/>
      <c r="AK1700" s="23"/>
      <c r="AL1700" s="23"/>
      <c r="AM1700" s="23"/>
      <c r="AN1700" s="23"/>
      <c r="AO1700" s="23"/>
      <c r="AP1700" s="23"/>
      <c r="AQ1700" s="23"/>
      <c r="AR1700" s="23"/>
      <c r="AS1700" s="23"/>
      <c r="AT1700" s="23"/>
      <c r="AU1700" s="23"/>
      <c r="AV1700" s="23"/>
      <c r="AW1700" s="23"/>
      <c r="AX1700" s="23"/>
      <c r="AY1700" s="23"/>
      <c r="AZ1700" s="23"/>
      <c r="BA1700" s="23"/>
      <c r="BB1700" s="23"/>
    </row>
    <row r="1701" spans="5:54" x14ac:dyDescent="0.35"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  <c r="AA1701" s="23"/>
      <c r="AB1701" s="23"/>
      <c r="AC1701" s="23"/>
      <c r="AD1701" s="23"/>
      <c r="AE1701" s="23"/>
      <c r="AF1701" s="23"/>
      <c r="AG1701" s="23"/>
      <c r="AH1701" s="23"/>
      <c r="AI1701" s="23"/>
      <c r="AJ1701" s="23"/>
      <c r="AK1701" s="23"/>
      <c r="AL1701" s="23"/>
      <c r="AM1701" s="23"/>
      <c r="AN1701" s="23"/>
      <c r="AO1701" s="23"/>
      <c r="AP1701" s="23"/>
      <c r="AQ1701" s="23"/>
      <c r="AR1701" s="23"/>
      <c r="AS1701" s="23"/>
      <c r="AT1701" s="23"/>
      <c r="AU1701" s="23"/>
      <c r="AV1701" s="23"/>
      <c r="AW1701" s="23"/>
      <c r="AX1701" s="23"/>
      <c r="AY1701" s="23"/>
      <c r="AZ1701" s="23"/>
      <c r="BA1701" s="23"/>
      <c r="BB1701" s="23"/>
    </row>
    <row r="1702" spans="5:54" x14ac:dyDescent="0.35"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  <c r="AA1702" s="23"/>
      <c r="AB1702" s="23"/>
      <c r="AC1702" s="23"/>
      <c r="AD1702" s="23"/>
      <c r="AE1702" s="23"/>
      <c r="AF1702" s="23"/>
      <c r="AG1702" s="23"/>
      <c r="AH1702" s="23"/>
      <c r="AI1702" s="23"/>
      <c r="AJ1702" s="23"/>
      <c r="AK1702" s="23"/>
      <c r="AL1702" s="23"/>
      <c r="AM1702" s="23"/>
      <c r="AN1702" s="23"/>
      <c r="AO1702" s="23"/>
      <c r="AP1702" s="23"/>
      <c r="AQ1702" s="23"/>
      <c r="AR1702" s="23"/>
      <c r="AS1702" s="23"/>
      <c r="AT1702" s="23"/>
      <c r="AU1702" s="23"/>
      <c r="AV1702" s="23"/>
      <c r="AW1702" s="23"/>
      <c r="AX1702" s="23"/>
      <c r="AY1702" s="23"/>
      <c r="AZ1702" s="23"/>
      <c r="BA1702" s="23"/>
      <c r="BB1702" s="23"/>
    </row>
    <row r="1703" spans="5:54" x14ac:dyDescent="0.35"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  <c r="AA1703" s="23"/>
      <c r="AB1703" s="23"/>
      <c r="AC1703" s="23"/>
      <c r="AD1703" s="23"/>
      <c r="AE1703" s="23"/>
      <c r="AF1703" s="23"/>
      <c r="AG1703" s="23"/>
      <c r="AH1703" s="23"/>
      <c r="AI1703" s="23"/>
      <c r="AJ1703" s="23"/>
      <c r="AK1703" s="23"/>
      <c r="AL1703" s="23"/>
      <c r="AM1703" s="23"/>
      <c r="AN1703" s="23"/>
      <c r="AO1703" s="23"/>
      <c r="AP1703" s="23"/>
      <c r="AQ1703" s="23"/>
      <c r="AR1703" s="23"/>
      <c r="AS1703" s="23"/>
      <c r="AT1703" s="23"/>
      <c r="AU1703" s="23"/>
      <c r="AV1703" s="23"/>
      <c r="AW1703" s="23"/>
      <c r="AX1703" s="23"/>
      <c r="AY1703" s="23"/>
      <c r="AZ1703" s="23"/>
      <c r="BA1703" s="23"/>
      <c r="BB1703" s="23"/>
    </row>
    <row r="1704" spans="5:54" x14ac:dyDescent="0.35"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  <c r="AA1704" s="23"/>
      <c r="AB1704" s="23"/>
      <c r="AC1704" s="23"/>
      <c r="AD1704" s="23"/>
      <c r="AE1704" s="23"/>
      <c r="AF1704" s="23"/>
      <c r="AG1704" s="23"/>
      <c r="AH1704" s="23"/>
      <c r="AI1704" s="23"/>
      <c r="AJ1704" s="23"/>
      <c r="AK1704" s="23"/>
      <c r="AL1704" s="23"/>
      <c r="AM1704" s="23"/>
      <c r="AN1704" s="23"/>
      <c r="AO1704" s="23"/>
      <c r="AP1704" s="23"/>
      <c r="AQ1704" s="23"/>
      <c r="AR1704" s="23"/>
      <c r="AS1704" s="23"/>
      <c r="AT1704" s="23"/>
      <c r="AU1704" s="23"/>
      <c r="AV1704" s="23"/>
      <c r="AW1704" s="23"/>
      <c r="AX1704" s="23"/>
      <c r="AY1704" s="23"/>
      <c r="AZ1704" s="23"/>
      <c r="BA1704" s="23"/>
      <c r="BB1704" s="23"/>
    </row>
    <row r="1705" spans="5:54" x14ac:dyDescent="0.35"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  <c r="AA1705" s="23"/>
      <c r="AB1705" s="23"/>
      <c r="AC1705" s="23"/>
      <c r="AD1705" s="23"/>
      <c r="AE1705" s="23"/>
      <c r="AF1705" s="23"/>
      <c r="AG1705" s="23"/>
      <c r="AH1705" s="23"/>
      <c r="AI1705" s="23"/>
      <c r="AJ1705" s="23"/>
      <c r="AK1705" s="23"/>
      <c r="AL1705" s="23"/>
      <c r="AM1705" s="23"/>
      <c r="AN1705" s="23"/>
      <c r="AO1705" s="23"/>
      <c r="AP1705" s="23"/>
      <c r="AQ1705" s="23"/>
      <c r="AR1705" s="23"/>
      <c r="AS1705" s="23"/>
      <c r="AT1705" s="23"/>
      <c r="AU1705" s="23"/>
      <c r="AV1705" s="23"/>
      <c r="AW1705" s="23"/>
      <c r="AX1705" s="23"/>
      <c r="AY1705" s="23"/>
      <c r="AZ1705" s="23"/>
      <c r="BA1705" s="23"/>
      <c r="BB1705" s="23"/>
    </row>
    <row r="1706" spans="5:54" x14ac:dyDescent="0.35"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  <c r="AA1706" s="23"/>
      <c r="AB1706" s="23"/>
      <c r="AC1706" s="23"/>
      <c r="AD1706" s="23"/>
      <c r="AE1706" s="23"/>
      <c r="AF1706" s="23"/>
      <c r="AG1706" s="23"/>
      <c r="AH1706" s="23"/>
      <c r="AI1706" s="23"/>
      <c r="AJ1706" s="23"/>
      <c r="AK1706" s="23"/>
      <c r="AL1706" s="23"/>
      <c r="AM1706" s="23"/>
      <c r="AN1706" s="23"/>
      <c r="AO1706" s="23"/>
      <c r="AP1706" s="23"/>
      <c r="AQ1706" s="23"/>
      <c r="AR1706" s="23"/>
      <c r="AS1706" s="23"/>
      <c r="AT1706" s="23"/>
      <c r="AU1706" s="23"/>
      <c r="AV1706" s="23"/>
      <c r="AW1706" s="23"/>
      <c r="AX1706" s="23"/>
      <c r="AY1706" s="23"/>
      <c r="AZ1706" s="23"/>
      <c r="BA1706" s="23"/>
      <c r="BB1706" s="23"/>
    </row>
    <row r="1707" spans="5:54" x14ac:dyDescent="0.35"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  <c r="AA1707" s="23"/>
      <c r="AB1707" s="23"/>
      <c r="AC1707" s="23"/>
      <c r="AD1707" s="23"/>
      <c r="AE1707" s="23"/>
      <c r="AF1707" s="23"/>
      <c r="AG1707" s="23"/>
      <c r="AH1707" s="23"/>
      <c r="AI1707" s="23"/>
      <c r="AJ1707" s="23"/>
      <c r="AK1707" s="23"/>
      <c r="AL1707" s="23"/>
      <c r="AM1707" s="23"/>
      <c r="AN1707" s="23"/>
      <c r="AO1707" s="23"/>
      <c r="AP1707" s="23"/>
      <c r="AQ1707" s="23"/>
      <c r="AR1707" s="23"/>
      <c r="AS1707" s="23"/>
      <c r="AT1707" s="23"/>
      <c r="AU1707" s="23"/>
      <c r="AV1707" s="23"/>
      <c r="AW1707" s="23"/>
      <c r="AX1707" s="23"/>
      <c r="AY1707" s="23"/>
      <c r="AZ1707" s="23"/>
      <c r="BA1707" s="23"/>
      <c r="BB1707" s="23"/>
    </row>
    <row r="1708" spans="5:54" x14ac:dyDescent="0.35"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  <c r="AA1708" s="23"/>
      <c r="AB1708" s="23"/>
      <c r="AC1708" s="23"/>
      <c r="AD1708" s="23"/>
      <c r="AE1708" s="23"/>
      <c r="AF1708" s="23"/>
      <c r="AG1708" s="23"/>
      <c r="AH1708" s="23"/>
      <c r="AI1708" s="23"/>
      <c r="AJ1708" s="23"/>
      <c r="AK1708" s="23"/>
      <c r="AL1708" s="23"/>
      <c r="AM1708" s="23"/>
      <c r="AN1708" s="23"/>
      <c r="AO1708" s="23"/>
      <c r="AP1708" s="23"/>
      <c r="AQ1708" s="23"/>
      <c r="AR1708" s="23"/>
      <c r="AS1708" s="23"/>
      <c r="AT1708" s="23"/>
      <c r="AU1708" s="23"/>
      <c r="AV1708" s="23"/>
      <c r="AW1708" s="23"/>
      <c r="AX1708" s="23"/>
      <c r="AY1708" s="23"/>
      <c r="AZ1708" s="23"/>
      <c r="BA1708" s="23"/>
      <c r="BB1708" s="23"/>
    </row>
    <row r="1709" spans="5:54" x14ac:dyDescent="0.35"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  <c r="AA1709" s="23"/>
      <c r="AB1709" s="23"/>
      <c r="AC1709" s="23"/>
      <c r="AD1709" s="23"/>
      <c r="AE1709" s="23"/>
      <c r="AF1709" s="23"/>
      <c r="AG1709" s="23"/>
      <c r="AH1709" s="23"/>
      <c r="AI1709" s="23"/>
      <c r="AJ1709" s="23"/>
      <c r="AK1709" s="23"/>
      <c r="AL1709" s="23"/>
      <c r="AM1709" s="23"/>
      <c r="AN1709" s="23"/>
      <c r="AO1709" s="23"/>
      <c r="AP1709" s="23"/>
      <c r="AQ1709" s="23"/>
      <c r="AR1709" s="23"/>
      <c r="AS1709" s="23"/>
      <c r="AT1709" s="23"/>
      <c r="AU1709" s="23"/>
      <c r="AV1709" s="23"/>
      <c r="AW1709" s="23"/>
      <c r="AX1709" s="23"/>
      <c r="AY1709" s="23"/>
      <c r="AZ1709" s="23"/>
      <c r="BA1709" s="23"/>
      <c r="BB1709" s="23"/>
    </row>
    <row r="1710" spans="5:54" x14ac:dyDescent="0.35"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  <c r="AA1710" s="23"/>
      <c r="AB1710" s="23"/>
      <c r="AC1710" s="23"/>
      <c r="AD1710" s="23"/>
      <c r="AE1710" s="23"/>
      <c r="AF1710" s="23"/>
      <c r="AG1710" s="23"/>
      <c r="AH1710" s="23"/>
      <c r="AI1710" s="23"/>
      <c r="AJ1710" s="23"/>
      <c r="AK1710" s="23"/>
      <c r="AL1710" s="23"/>
      <c r="AM1710" s="23"/>
      <c r="AN1710" s="23"/>
      <c r="AO1710" s="23"/>
      <c r="AP1710" s="23"/>
      <c r="AQ1710" s="23"/>
      <c r="AR1710" s="23"/>
      <c r="AS1710" s="23"/>
      <c r="AT1710" s="23"/>
      <c r="AU1710" s="23"/>
      <c r="AV1710" s="23"/>
      <c r="AW1710" s="23"/>
      <c r="AX1710" s="23"/>
      <c r="AY1710" s="23"/>
      <c r="AZ1710" s="23"/>
      <c r="BA1710" s="23"/>
      <c r="BB1710" s="23"/>
    </row>
    <row r="1711" spans="5:54" x14ac:dyDescent="0.35"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  <c r="AA1711" s="23"/>
      <c r="AB1711" s="23"/>
      <c r="AC1711" s="23"/>
      <c r="AD1711" s="23"/>
      <c r="AE1711" s="23"/>
      <c r="AF1711" s="23"/>
      <c r="AG1711" s="23"/>
      <c r="AH1711" s="23"/>
      <c r="AI1711" s="23"/>
      <c r="AJ1711" s="23"/>
      <c r="AK1711" s="23"/>
      <c r="AL1711" s="23"/>
      <c r="AM1711" s="23"/>
      <c r="AN1711" s="23"/>
      <c r="AO1711" s="23"/>
      <c r="AP1711" s="23"/>
      <c r="AQ1711" s="23"/>
      <c r="AR1711" s="23"/>
      <c r="AS1711" s="23"/>
      <c r="AT1711" s="23"/>
      <c r="AU1711" s="23"/>
      <c r="AV1711" s="23"/>
      <c r="AW1711" s="23"/>
      <c r="AX1711" s="23"/>
      <c r="AY1711" s="23"/>
      <c r="AZ1711" s="23"/>
      <c r="BA1711" s="23"/>
      <c r="BB1711" s="23"/>
    </row>
    <row r="1712" spans="5:54" x14ac:dyDescent="0.35"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  <c r="AA1712" s="23"/>
      <c r="AB1712" s="23"/>
      <c r="AC1712" s="23"/>
      <c r="AD1712" s="23"/>
      <c r="AE1712" s="23"/>
      <c r="AF1712" s="23"/>
      <c r="AG1712" s="23"/>
      <c r="AH1712" s="23"/>
      <c r="AI1712" s="23"/>
      <c r="AJ1712" s="23"/>
      <c r="AK1712" s="23"/>
      <c r="AL1712" s="23"/>
      <c r="AM1712" s="23"/>
      <c r="AN1712" s="23"/>
      <c r="AO1712" s="23"/>
      <c r="AP1712" s="23"/>
      <c r="AQ1712" s="23"/>
      <c r="AR1712" s="23"/>
      <c r="AS1712" s="23"/>
      <c r="AT1712" s="23"/>
      <c r="AU1712" s="23"/>
      <c r="AV1712" s="23"/>
      <c r="AW1712" s="23"/>
      <c r="AX1712" s="23"/>
      <c r="AY1712" s="23"/>
      <c r="AZ1712" s="23"/>
      <c r="BA1712" s="23"/>
      <c r="BB1712" s="23"/>
    </row>
    <row r="1713" spans="5:54" x14ac:dyDescent="0.35"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  <c r="AA1713" s="23"/>
      <c r="AB1713" s="23"/>
      <c r="AC1713" s="23"/>
      <c r="AD1713" s="23"/>
      <c r="AE1713" s="23"/>
      <c r="AF1713" s="23"/>
      <c r="AG1713" s="23"/>
      <c r="AH1713" s="23"/>
      <c r="AI1713" s="23"/>
      <c r="AJ1713" s="23"/>
      <c r="AK1713" s="23"/>
      <c r="AL1713" s="23"/>
      <c r="AM1713" s="23"/>
      <c r="AN1713" s="23"/>
      <c r="AO1713" s="23"/>
      <c r="AP1713" s="23"/>
      <c r="AQ1713" s="23"/>
      <c r="AR1713" s="23"/>
      <c r="AS1713" s="23"/>
      <c r="AT1713" s="23"/>
      <c r="AU1713" s="23"/>
      <c r="AV1713" s="23"/>
      <c r="AW1713" s="23"/>
      <c r="AX1713" s="23"/>
      <c r="AY1713" s="23"/>
      <c r="AZ1713" s="23"/>
      <c r="BA1713" s="23"/>
      <c r="BB1713" s="23"/>
    </row>
    <row r="1714" spans="5:54" x14ac:dyDescent="0.35"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  <c r="AA1714" s="23"/>
      <c r="AB1714" s="23"/>
      <c r="AC1714" s="23"/>
      <c r="AD1714" s="23"/>
      <c r="AE1714" s="23"/>
      <c r="AF1714" s="23"/>
      <c r="AG1714" s="23"/>
      <c r="AH1714" s="23"/>
      <c r="AI1714" s="23"/>
      <c r="AJ1714" s="23"/>
      <c r="AK1714" s="23"/>
      <c r="AL1714" s="23"/>
      <c r="AM1714" s="23"/>
      <c r="AN1714" s="23"/>
      <c r="AO1714" s="23"/>
      <c r="AP1714" s="23"/>
      <c r="AQ1714" s="23"/>
      <c r="AR1714" s="23"/>
      <c r="AS1714" s="23"/>
      <c r="AT1714" s="23"/>
      <c r="AU1714" s="23"/>
      <c r="AV1714" s="23"/>
      <c r="AW1714" s="23"/>
      <c r="AX1714" s="23"/>
      <c r="AY1714" s="23"/>
      <c r="AZ1714" s="23"/>
      <c r="BA1714" s="23"/>
      <c r="BB1714" s="23"/>
    </row>
    <row r="1715" spans="5:54" x14ac:dyDescent="0.35"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  <c r="AA1715" s="23"/>
      <c r="AB1715" s="23"/>
      <c r="AC1715" s="23"/>
      <c r="AD1715" s="23"/>
      <c r="AE1715" s="23"/>
      <c r="AF1715" s="23"/>
      <c r="AG1715" s="23"/>
      <c r="AH1715" s="23"/>
      <c r="AI1715" s="23"/>
      <c r="AJ1715" s="23"/>
      <c r="AK1715" s="23"/>
      <c r="AL1715" s="23"/>
      <c r="AM1715" s="23"/>
      <c r="AN1715" s="23"/>
      <c r="AO1715" s="23"/>
      <c r="AP1715" s="23"/>
      <c r="AQ1715" s="23"/>
      <c r="AR1715" s="23"/>
      <c r="AS1715" s="23"/>
      <c r="AT1715" s="23"/>
      <c r="AU1715" s="23"/>
      <c r="AV1715" s="23"/>
      <c r="AW1715" s="23"/>
      <c r="AX1715" s="23"/>
      <c r="AY1715" s="23"/>
      <c r="AZ1715" s="23"/>
      <c r="BA1715" s="23"/>
      <c r="BB1715" s="23"/>
    </row>
    <row r="1716" spans="5:54" x14ac:dyDescent="0.35"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  <c r="AA1716" s="23"/>
      <c r="AB1716" s="23"/>
      <c r="AC1716" s="23"/>
      <c r="AD1716" s="23"/>
      <c r="AE1716" s="23"/>
      <c r="AF1716" s="23"/>
      <c r="AG1716" s="23"/>
      <c r="AH1716" s="23"/>
      <c r="AI1716" s="23"/>
      <c r="AJ1716" s="23"/>
      <c r="AK1716" s="23"/>
      <c r="AL1716" s="23"/>
      <c r="AM1716" s="23"/>
      <c r="AN1716" s="23"/>
      <c r="AO1716" s="23"/>
      <c r="AP1716" s="23"/>
      <c r="AQ1716" s="23"/>
      <c r="AR1716" s="23"/>
      <c r="AS1716" s="23"/>
      <c r="AT1716" s="23"/>
      <c r="AU1716" s="23"/>
      <c r="AV1716" s="23"/>
      <c r="AW1716" s="23"/>
      <c r="AX1716" s="23"/>
      <c r="AY1716" s="23"/>
      <c r="AZ1716" s="23"/>
      <c r="BA1716" s="23"/>
      <c r="BB1716" s="23"/>
    </row>
    <row r="1717" spans="5:54" x14ac:dyDescent="0.35"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  <c r="AA1717" s="23"/>
      <c r="AB1717" s="23"/>
      <c r="AC1717" s="23"/>
      <c r="AD1717" s="23"/>
      <c r="AE1717" s="23"/>
      <c r="AF1717" s="23"/>
      <c r="AG1717" s="23"/>
      <c r="AH1717" s="23"/>
      <c r="AI1717" s="23"/>
      <c r="AJ1717" s="23"/>
      <c r="AK1717" s="23"/>
      <c r="AL1717" s="23"/>
      <c r="AM1717" s="23"/>
      <c r="AN1717" s="23"/>
      <c r="AO1717" s="23"/>
      <c r="AP1717" s="23"/>
      <c r="AQ1717" s="23"/>
      <c r="AR1717" s="23"/>
      <c r="AS1717" s="23"/>
      <c r="AT1717" s="23"/>
      <c r="AU1717" s="23"/>
      <c r="AV1717" s="23"/>
      <c r="AW1717" s="23"/>
      <c r="AX1717" s="23"/>
      <c r="AY1717" s="23"/>
      <c r="AZ1717" s="23"/>
      <c r="BA1717" s="23"/>
      <c r="BB1717" s="23"/>
    </row>
    <row r="1718" spans="5:54" x14ac:dyDescent="0.35"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  <c r="AA1718" s="23"/>
      <c r="AB1718" s="23"/>
      <c r="AC1718" s="23"/>
      <c r="AD1718" s="23"/>
      <c r="AE1718" s="23"/>
      <c r="AF1718" s="23"/>
      <c r="AG1718" s="23"/>
      <c r="AH1718" s="23"/>
      <c r="AI1718" s="23"/>
      <c r="AJ1718" s="23"/>
      <c r="AK1718" s="23"/>
      <c r="AL1718" s="23"/>
      <c r="AM1718" s="23"/>
      <c r="AN1718" s="23"/>
      <c r="AO1718" s="23"/>
      <c r="AP1718" s="23"/>
      <c r="AQ1718" s="23"/>
      <c r="AR1718" s="23"/>
      <c r="AS1718" s="23"/>
      <c r="AT1718" s="23"/>
      <c r="AU1718" s="23"/>
      <c r="AV1718" s="23"/>
      <c r="AW1718" s="23"/>
      <c r="AX1718" s="23"/>
      <c r="AY1718" s="23"/>
      <c r="AZ1718" s="23"/>
      <c r="BA1718" s="23"/>
      <c r="BB1718" s="23"/>
    </row>
    <row r="1719" spans="5:54" x14ac:dyDescent="0.35"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  <c r="AA1719" s="23"/>
      <c r="AB1719" s="23"/>
      <c r="AC1719" s="23"/>
      <c r="AD1719" s="23"/>
      <c r="AE1719" s="23"/>
      <c r="AF1719" s="23"/>
      <c r="AG1719" s="23"/>
      <c r="AH1719" s="23"/>
      <c r="AI1719" s="23"/>
      <c r="AJ1719" s="23"/>
      <c r="AK1719" s="23"/>
      <c r="AL1719" s="23"/>
      <c r="AM1719" s="23"/>
      <c r="AN1719" s="23"/>
      <c r="AO1719" s="23"/>
      <c r="AP1719" s="23"/>
      <c r="AQ1719" s="23"/>
      <c r="AR1719" s="23"/>
      <c r="AS1719" s="23"/>
      <c r="AT1719" s="23"/>
      <c r="AU1719" s="23"/>
      <c r="AV1719" s="23"/>
      <c r="AW1719" s="23"/>
      <c r="AX1719" s="23"/>
      <c r="AY1719" s="23"/>
      <c r="AZ1719" s="23"/>
      <c r="BA1719" s="23"/>
      <c r="BB1719" s="23"/>
    </row>
    <row r="1720" spans="5:54" x14ac:dyDescent="0.35"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  <c r="AA1720" s="23"/>
      <c r="AB1720" s="23"/>
      <c r="AC1720" s="23"/>
      <c r="AD1720" s="23"/>
      <c r="AE1720" s="23"/>
      <c r="AF1720" s="23"/>
      <c r="AG1720" s="23"/>
      <c r="AH1720" s="23"/>
      <c r="AI1720" s="23"/>
      <c r="AJ1720" s="23"/>
      <c r="AK1720" s="23"/>
      <c r="AL1720" s="23"/>
      <c r="AM1720" s="23"/>
      <c r="AN1720" s="23"/>
      <c r="AO1720" s="23"/>
      <c r="AP1720" s="23"/>
      <c r="AQ1720" s="23"/>
      <c r="AR1720" s="23"/>
      <c r="AS1720" s="23"/>
      <c r="AT1720" s="23"/>
      <c r="AU1720" s="23"/>
      <c r="AV1720" s="23"/>
      <c r="AW1720" s="23"/>
      <c r="AX1720" s="23"/>
      <c r="AY1720" s="23"/>
      <c r="AZ1720" s="23"/>
      <c r="BA1720" s="23"/>
      <c r="BB1720" s="23"/>
    </row>
    <row r="1721" spans="5:54" x14ac:dyDescent="0.35"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  <c r="AA1721" s="23"/>
      <c r="AB1721" s="23"/>
      <c r="AC1721" s="23"/>
      <c r="AD1721" s="23"/>
      <c r="AE1721" s="23"/>
      <c r="AF1721" s="23"/>
      <c r="AG1721" s="23"/>
      <c r="AH1721" s="23"/>
      <c r="AI1721" s="23"/>
      <c r="AJ1721" s="23"/>
      <c r="AK1721" s="23"/>
      <c r="AL1721" s="23"/>
      <c r="AM1721" s="23"/>
      <c r="AN1721" s="23"/>
      <c r="AO1721" s="23"/>
      <c r="AP1721" s="23"/>
      <c r="AQ1721" s="23"/>
      <c r="AR1721" s="23"/>
      <c r="AS1721" s="23"/>
      <c r="AT1721" s="23"/>
      <c r="AU1721" s="23"/>
      <c r="AV1721" s="23"/>
      <c r="AW1721" s="23"/>
      <c r="AX1721" s="23"/>
      <c r="AY1721" s="23"/>
      <c r="AZ1721" s="23"/>
      <c r="BA1721" s="23"/>
      <c r="BB1721" s="23"/>
    </row>
    <row r="1722" spans="5:54" x14ac:dyDescent="0.35"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  <c r="AA1722" s="23"/>
      <c r="AB1722" s="23"/>
      <c r="AC1722" s="23"/>
      <c r="AD1722" s="23"/>
      <c r="AE1722" s="23"/>
      <c r="AF1722" s="23"/>
      <c r="AG1722" s="23"/>
      <c r="AH1722" s="23"/>
      <c r="AI1722" s="23"/>
      <c r="AJ1722" s="23"/>
      <c r="AK1722" s="23"/>
      <c r="AL1722" s="23"/>
      <c r="AM1722" s="23"/>
      <c r="AN1722" s="23"/>
      <c r="AO1722" s="23"/>
      <c r="AP1722" s="23"/>
      <c r="AQ1722" s="23"/>
      <c r="AR1722" s="23"/>
      <c r="AS1722" s="23"/>
      <c r="AT1722" s="23"/>
      <c r="AU1722" s="23"/>
      <c r="AV1722" s="23"/>
      <c r="AW1722" s="23"/>
      <c r="AX1722" s="23"/>
      <c r="AY1722" s="23"/>
      <c r="AZ1722" s="23"/>
      <c r="BA1722" s="23"/>
      <c r="BB1722" s="23"/>
    </row>
    <row r="1723" spans="5:54" x14ac:dyDescent="0.35"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  <c r="AA1723" s="23"/>
      <c r="AB1723" s="23"/>
      <c r="AC1723" s="23"/>
      <c r="AD1723" s="23"/>
      <c r="AE1723" s="23"/>
      <c r="AF1723" s="23"/>
      <c r="AG1723" s="23"/>
      <c r="AH1723" s="23"/>
      <c r="AI1723" s="23"/>
      <c r="AJ1723" s="23"/>
      <c r="AK1723" s="23"/>
      <c r="AL1723" s="23"/>
      <c r="AM1723" s="23"/>
      <c r="AN1723" s="23"/>
      <c r="AO1723" s="23"/>
      <c r="AP1723" s="23"/>
      <c r="AQ1723" s="23"/>
      <c r="AR1723" s="23"/>
      <c r="AS1723" s="23"/>
      <c r="AT1723" s="23"/>
      <c r="AU1723" s="23"/>
      <c r="AV1723" s="23"/>
      <c r="AW1723" s="23"/>
      <c r="AX1723" s="23"/>
      <c r="AY1723" s="23"/>
      <c r="AZ1723" s="23"/>
      <c r="BA1723" s="23"/>
      <c r="BB1723" s="23"/>
    </row>
    <row r="1724" spans="5:54" x14ac:dyDescent="0.35"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  <c r="AA1724" s="23"/>
      <c r="AB1724" s="23"/>
      <c r="AC1724" s="23"/>
      <c r="AD1724" s="23"/>
      <c r="AE1724" s="23"/>
      <c r="AF1724" s="23"/>
      <c r="AG1724" s="23"/>
      <c r="AH1724" s="23"/>
      <c r="AI1724" s="23"/>
      <c r="AJ1724" s="23"/>
      <c r="AK1724" s="23"/>
      <c r="AL1724" s="23"/>
      <c r="AM1724" s="23"/>
      <c r="AN1724" s="23"/>
      <c r="AO1724" s="23"/>
      <c r="AP1724" s="23"/>
      <c r="AQ1724" s="23"/>
      <c r="AR1724" s="23"/>
      <c r="AS1724" s="23"/>
      <c r="AT1724" s="23"/>
      <c r="AU1724" s="23"/>
      <c r="AV1724" s="23"/>
      <c r="AW1724" s="23"/>
      <c r="AX1724" s="23"/>
      <c r="AY1724" s="23"/>
      <c r="AZ1724" s="23"/>
      <c r="BA1724" s="23"/>
      <c r="BB1724" s="23"/>
    </row>
    <row r="1725" spans="5:54" x14ac:dyDescent="0.35"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  <c r="AA1725" s="23"/>
      <c r="AB1725" s="23"/>
      <c r="AC1725" s="23"/>
      <c r="AD1725" s="23"/>
      <c r="AE1725" s="23"/>
      <c r="AF1725" s="23"/>
      <c r="AG1725" s="23"/>
      <c r="AH1725" s="23"/>
      <c r="AI1725" s="23"/>
      <c r="AJ1725" s="23"/>
      <c r="AK1725" s="23"/>
      <c r="AL1725" s="23"/>
      <c r="AM1725" s="23"/>
      <c r="AN1725" s="23"/>
      <c r="AO1725" s="23"/>
      <c r="AP1725" s="23"/>
      <c r="AQ1725" s="23"/>
      <c r="AR1725" s="23"/>
      <c r="AS1725" s="23"/>
      <c r="AT1725" s="23"/>
      <c r="AU1725" s="23"/>
      <c r="AV1725" s="23"/>
      <c r="AW1725" s="23"/>
      <c r="AX1725" s="23"/>
      <c r="AY1725" s="23"/>
      <c r="AZ1725" s="23"/>
      <c r="BA1725" s="23"/>
      <c r="BB1725" s="23"/>
    </row>
    <row r="1726" spans="5:54" x14ac:dyDescent="0.35"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  <c r="AA1726" s="23"/>
      <c r="AB1726" s="23"/>
      <c r="AC1726" s="23"/>
      <c r="AD1726" s="23"/>
      <c r="AE1726" s="23"/>
      <c r="AF1726" s="23"/>
      <c r="AG1726" s="23"/>
      <c r="AH1726" s="23"/>
      <c r="AI1726" s="23"/>
      <c r="AJ1726" s="23"/>
      <c r="AK1726" s="23"/>
      <c r="AL1726" s="23"/>
      <c r="AM1726" s="23"/>
      <c r="AN1726" s="23"/>
      <c r="AO1726" s="23"/>
      <c r="AP1726" s="23"/>
      <c r="AQ1726" s="23"/>
      <c r="AR1726" s="23"/>
      <c r="AS1726" s="23"/>
      <c r="AT1726" s="23"/>
      <c r="AU1726" s="23"/>
      <c r="AV1726" s="23"/>
      <c r="AW1726" s="23"/>
      <c r="AX1726" s="23"/>
      <c r="AY1726" s="23"/>
      <c r="AZ1726" s="23"/>
      <c r="BA1726" s="23"/>
      <c r="BB1726" s="23"/>
    </row>
    <row r="1727" spans="5:54" x14ac:dyDescent="0.35"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  <c r="AA1727" s="23"/>
      <c r="AB1727" s="23"/>
      <c r="AC1727" s="23"/>
      <c r="AD1727" s="23"/>
      <c r="AE1727" s="23"/>
      <c r="AF1727" s="23"/>
      <c r="AG1727" s="23"/>
      <c r="AH1727" s="23"/>
      <c r="AI1727" s="23"/>
      <c r="AJ1727" s="23"/>
      <c r="AK1727" s="23"/>
      <c r="AL1727" s="23"/>
      <c r="AM1727" s="23"/>
      <c r="AN1727" s="23"/>
      <c r="AO1727" s="23"/>
      <c r="AP1727" s="23"/>
      <c r="AQ1727" s="23"/>
      <c r="AR1727" s="23"/>
      <c r="AS1727" s="23"/>
      <c r="AT1727" s="23"/>
      <c r="AU1727" s="23"/>
      <c r="AV1727" s="23"/>
      <c r="AW1727" s="23"/>
      <c r="AX1727" s="23"/>
      <c r="AY1727" s="23"/>
      <c r="AZ1727" s="23"/>
      <c r="BA1727" s="23"/>
      <c r="BB1727" s="23"/>
    </row>
    <row r="1728" spans="5:54" x14ac:dyDescent="0.35"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  <c r="AA1728" s="23"/>
      <c r="AB1728" s="23"/>
      <c r="AC1728" s="23"/>
      <c r="AD1728" s="23"/>
      <c r="AE1728" s="23"/>
      <c r="AF1728" s="23"/>
      <c r="AG1728" s="23"/>
      <c r="AH1728" s="23"/>
      <c r="AI1728" s="23"/>
      <c r="AJ1728" s="23"/>
      <c r="AK1728" s="23"/>
      <c r="AL1728" s="23"/>
      <c r="AM1728" s="23"/>
      <c r="AN1728" s="23"/>
      <c r="AO1728" s="23"/>
      <c r="AP1728" s="23"/>
      <c r="AQ1728" s="23"/>
      <c r="AR1728" s="23"/>
      <c r="AS1728" s="23"/>
      <c r="AT1728" s="23"/>
      <c r="AU1728" s="23"/>
      <c r="AV1728" s="23"/>
      <c r="AW1728" s="23"/>
      <c r="AX1728" s="23"/>
      <c r="AY1728" s="23"/>
      <c r="AZ1728" s="23"/>
      <c r="BA1728" s="23"/>
      <c r="BB1728" s="23"/>
    </row>
    <row r="1729" spans="5:54" x14ac:dyDescent="0.35"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  <c r="AA1729" s="23"/>
      <c r="AB1729" s="23"/>
      <c r="AC1729" s="23"/>
      <c r="AD1729" s="23"/>
      <c r="AE1729" s="23"/>
      <c r="AF1729" s="23"/>
      <c r="AG1729" s="23"/>
      <c r="AH1729" s="23"/>
      <c r="AI1729" s="23"/>
      <c r="AJ1729" s="23"/>
      <c r="AK1729" s="23"/>
      <c r="AL1729" s="23"/>
      <c r="AM1729" s="23"/>
      <c r="AN1729" s="23"/>
      <c r="AO1729" s="23"/>
      <c r="AP1729" s="23"/>
      <c r="AQ1729" s="23"/>
      <c r="AR1729" s="23"/>
      <c r="AS1729" s="23"/>
      <c r="AT1729" s="23"/>
      <c r="AU1729" s="23"/>
      <c r="AV1729" s="23"/>
      <c r="AW1729" s="23"/>
      <c r="AX1729" s="23"/>
      <c r="AY1729" s="23"/>
      <c r="AZ1729" s="23"/>
      <c r="BA1729" s="23"/>
      <c r="BB1729" s="23"/>
    </row>
    <row r="1730" spans="5:54" x14ac:dyDescent="0.35"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  <c r="AA1730" s="23"/>
      <c r="AB1730" s="23"/>
      <c r="AC1730" s="23"/>
      <c r="AD1730" s="23"/>
      <c r="AE1730" s="23"/>
      <c r="AF1730" s="23"/>
      <c r="AG1730" s="23"/>
      <c r="AH1730" s="23"/>
      <c r="AI1730" s="23"/>
      <c r="AJ1730" s="23"/>
      <c r="AK1730" s="23"/>
      <c r="AL1730" s="23"/>
      <c r="AM1730" s="23"/>
      <c r="AN1730" s="23"/>
      <c r="AO1730" s="23"/>
      <c r="AP1730" s="23"/>
      <c r="AQ1730" s="23"/>
      <c r="AR1730" s="23"/>
      <c r="AS1730" s="23"/>
      <c r="AT1730" s="23"/>
      <c r="AU1730" s="23"/>
      <c r="AV1730" s="23"/>
      <c r="AW1730" s="23"/>
      <c r="AX1730" s="23"/>
      <c r="AY1730" s="23"/>
      <c r="AZ1730" s="23"/>
      <c r="BA1730" s="23"/>
      <c r="BB1730" s="23"/>
    </row>
    <row r="1731" spans="5:54" x14ac:dyDescent="0.35"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  <c r="AA1731" s="23"/>
      <c r="AB1731" s="23"/>
      <c r="AC1731" s="23"/>
      <c r="AD1731" s="23"/>
      <c r="AE1731" s="23"/>
      <c r="AF1731" s="23"/>
      <c r="AG1731" s="23"/>
      <c r="AH1731" s="23"/>
      <c r="AI1731" s="23"/>
      <c r="AJ1731" s="23"/>
      <c r="AK1731" s="23"/>
      <c r="AL1731" s="23"/>
      <c r="AM1731" s="23"/>
      <c r="AN1731" s="23"/>
      <c r="AO1731" s="23"/>
      <c r="AP1731" s="23"/>
      <c r="AQ1731" s="23"/>
      <c r="AR1731" s="23"/>
      <c r="AS1731" s="23"/>
      <c r="AT1731" s="23"/>
      <c r="AU1731" s="23"/>
      <c r="AV1731" s="23"/>
      <c r="AW1731" s="23"/>
      <c r="AX1731" s="23"/>
      <c r="AY1731" s="23"/>
      <c r="AZ1731" s="23"/>
      <c r="BA1731" s="23"/>
      <c r="BB1731" s="23"/>
    </row>
    <row r="1732" spans="5:54" x14ac:dyDescent="0.35"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  <c r="AA1732" s="23"/>
      <c r="AB1732" s="23"/>
      <c r="AC1732" s="23"/>
      <c r="AD1732" s="23"/>
      <c r="AE1732" s="23"/>
      <c r="AF1732" s="23"/>
      <c r="AG1732" s="23"/>
      <c r="AH1732" s="23"/>
      <c r="AI1732" s="23"/>
      <c r="AJ1732" s="23"/>
      <c r="AK1732" s="23"/>
      <c r="AL1732" s="23"/>
      <c r="AM1732" s="23"/>
      <c r="AN1732" s="23"/>
      <c r="AO1732" s="23"/>
      <c r="AP1732" s="23"/>
      <c r="AQ1732" s="23"/>
      <c r="AR1732" s="23"/>
      <c r="AS1732" s="23"/>
      <c r="AT1732" s="23"/>
      <c r="AU1732" s="23"/>
      <c r="AV1732" s="23"/>
      <c r="AW1732" s="23"/>
      <c r="AX1732" s="23"/>
      <c r="AY1732" s="23"/>
      <c r="AZ1732" s="23"/>
      <c r="BA1732" s="23"/>
      <c r="BB1732" s="23"/>
    </row>
    <row r="1733" spans="5:54" x14ac:dyDescent="0.35"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  <c r="AA1733" s="23"/>
      <c r="AB1733" s="23"/>
      <c r="AC1733" s="23"/>
      <c r="AD1733" s="23"/>
      <c r="AE1733" s="23"/>
      <c r="AF1733" s="23"/>
      <c r="AG1733" s="23"/>
      <c r="AH1733" s="23"/>
      <c r="AI1733" s="23"/>
      <c r="AJ1733" s="23"/>
      <c r="AK1733" s="23"/>
      <c r="AL1733" s="23"/>
      <c r="AM1733" s="23"/>
      <c r="AN1733" s="23"/>
      <c r="AO1733" s="23"/>
      <c r="AP1733" s="23"/>
      <c r="AQ1733" s="23"/>
      <c r="AR1733" s="23"/>
      <c r="AS1733" s="23"/>
      <c r="AT1733" s="23"/>
      <c r="AU1733" s="23"/>
      <c r="AV1733" s="23"/>
      <c r="AW1733" s="23"/>
      <c r="AX1733" s="23"/>
      <c r="AY1733" s="23"/>
      <c r="AZ1733" s="23"/>
      <c r="BA1733" s="23"/>
      <c r="BB1733" s="23"/>
    </row>
    <row r="1734" spans="5:54" x14ac:dyDescent="0.35"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  <c r="AA1734" s="23"/>
      <c r="AB1734" s="23"/>
      <c r="AC1734" s="23"/>
      <c r="AD1734" s="23"/>
      <c r="AE1734" s="23"/>
      <c r="AF1734" s="23"/>
      <c r="AG1734" s="23"/>
      <c r="AH1734" s="23"/>
      <c r="AI1734" s="23"/>
      <c r="AJ1734" s="23"/>
      <c r="AK1734" s="23"/>
      <c r="AL1734" s="23"/>
      <c r="AM1734" s="23"/>
      <c r="AN1734" s="23"/>
      <c r="AO1734" s="23"/>
      <c r="AP1734" s="23"/>
      <c r="AQ1734" s="23"/>
      <c r="AR1734" s="23"/>
      <c r="AS1734" s="23"/>
      <c r="AT1734" s="23"/>
      <c r="AU1734" s="23"/>
      <c r="AV1734" s="23"/>
      <c r="AW1734" s="23"/>
      <c r="AX1734" s="23"/>
      <c r="AY1734" s="23"/>
      <c r="AZ1734" s="23"/>
      <c r="BA1734" s="23"/>
      <c r="BB1734" s="23"/>
    </row>
    <row r="1735" spans="5:54" x14ac:dyDescent="0.35"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  <c r="AA1735" s="23"/>
      <c r="AB1735" s="23"/>
      <c r="AC1735" s="23"/>
      <c r="AD1735" s="23"/>
      <c r="AE1735" s="23"/>
      <c r="AF1735" s="23"/>
      <c r="AG1735" s="23"/>
      <c r="AH1735" s="23"/>
      <c r="AI1735" s="23"/>
      <c r="AJ1735" s="23"/>
      <c r="AK1735" s="23"/>
      <c r="AL1735" s="23"/>
      <c r="AM1735" s="23"/>
      <c r="AN1735" s="23"/>
      <c r="AO1735" s="23"/>
      <c r="AP1735" s="23"/>
      <c r="AQ1735" s="23"/>
      <c r="AR1735" s="23"/>
      <c r="AS1735" s="23"/>
      <c r="AT1735" s="23"/>
      <c r="AU1735" s="23"/>
      <c r="AV1735" s="23"/>
      <c r="AW1735" s="23"/>
      <c r="AX1735" s="23"/>
      <c r="AY1735" s="23"/>
      <c r="AZ1735" s="23"/>
      <c r="BA1735" s="23"/>
      <c r="BB1735" s="23"/>
    </row>
    <row r="1736" spans="5:54" x14ac:dyDescent="0.35"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  <c r="AA1736" s="23"/>
      <c r="AB1736" s="23"/>
      <c r="AC1736" s="23"/>
      <c r="AD1736" s="23"/>
      <c r="AE1736" s="23"/>
      <c r="AF1736" s="23"/>
      <c r="AG1736" s="23"/>
      <c r="AH1736" s="23"/>
      <c r="AI1736" s="23"/>
      <c r="AJ1736" s="23"/>
      <c r="AK1736" s="23"/>
      <c r="AL1736" s="23"/>
      <c r="AM1736" s="23"/>
      <c r="AN1736" s="23"/>
      <c r="AO1736" s="23"/>
      <c r="AP1736" s="23"/>
      <c r="AQ1736" s="23"/>
      <c r="AR1736" s="23"/>
      <c r="AS1736" s="23"/>
      <c r="AT1736" s="23"/>
      <c r="AU1736" s="23"/>
      <c r="AV1736" s="23"/>
      <c r="AW1736" s="23"/>
      <c r="AX1736" s="23"/>
      <c r="AY1736" s="23"/>
      <c r="AZ1736" s="23"/>
      <c r="BA1736" s="23"/>
      <c r="BB1736" s="23"/>
    </row>
    <row r="1737" spans="5:54" x14ac:dyDescent="0.35"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  <c r="AA1737" s="23"/>
      <c r="AB1737" s="23"/>
      <c r="AC1737" s="23"/>
      <c r="AD1737" s="23"/>
      <c r="AE1737" s="23"/>
      <c r="AF1737" s="23"/>
      <c r="AG1737" s="23"/>
      <c r="AH1737" s="23"/>
      <c r="AI1737" s="23"/>
      <c r="AJ1737" s="23"/>
      <c r="AK1737" s="23"/>
      <c r="AL1737" s="23"/>
      <c r="AM1737" s="23"/>
      <c r="AN1737" s="23"/>
      <c r="AO1737" s="23"/>
      <c r="AP1737" s="23"/>
      <c r="AQ1737" s="23"/>
      <c r="AR1737" s="23"/>
      <c r="AS1737" s="23"/>
      <c r="AT1737" s="23"/>
      <c r="AU1737" s="23"/>
      <c r="AV1737" s="23"/>
      <c r="AW1737" s="23"/>
      <c r="AX1737" s="23"/>
      <c r="AY1737" s="23"/>
      <c r="AZ1737" s="23"/>
      <c r="BA1737" s="23"/>
      <c r="BB1737" s="23"/>
    </row>
    <row r="1738" spans="5:54" x14ac:dyDescent="0.35"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  <c r="AA1738" s="23"/>
      <c r="AB1738" s="23"/>
      <c r="AC1738" s="23"/>
      <c r="AD1738" s="23"/>
      <c r="AE1738" s="23"/>
      <c r="AF1738" s="23"/>
      <c r="AG1738" s="23"/>
      <c r="AH1738" s="23"/>
      <c r="AI1738" s="23"/>
      <c r="AJ1738" s="23"/>
      <c r="AK1738" s="23"/>
      <c r="AL1738" s="23"/>
      <c r="AM1738" s="23"/>
      <c r="AN1738" s="23"/>
      <c r="AO1738" s="23"/>
      <c r="AP1738" s="23"/>
      <c r="AQ1738" s="23"/>
      <c r="AR1738" s="23"/>
      <c r="AS1738" s="23"/>
      <c r="AT1738" s="23"/>
      <c r="AU1738" s="23"/>
      <c r="AV1738" s="23"/>
      <c r="AW1738" s="23"/>
      <c r="AX1738" s="23"/>
      <c r="AY1738" s="23"/>
      <c r="AZ1738" s="23"/>
      <c r="BA1738" s="23"/>
      <c r="BB1738" s="23"/>
    </row>
    <row r="1739" spans="5:54" x14ac:dyDescent="0.35"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  <c r="AA1739" s="23"/>
      <c r="AB1739" s="23"/>
      <c r="AC1739" s="23"/>
      <c r="AD1739" s="23"/>
      <c r="AE1739" s="23"/>
      <c r="AF1739" s="23"/>
      <c r="AG1739" s="23"/>
      <c r="AH1739" s="23"/>
      <c r="AI1739" s="23"/>
      <c r="AJ1739" s="23"/>
      <c r="AK1739" s="23"/>
      <c r="AL1739" s="23"/>
      <c r="AM1739" s="23"/>
      <c r="AN1739" s="23"/>
      <c r="AO1739" s="23"/>
      <c r="AP1739" s="23"/>
      <c r="AQ1739" s="23"/>
      <c r="AR1739" s="23"/>
      <c r="AS1739" s="23"/>
      <c r="AT1739" s="23"/>
      <c r="AU1739" s="23"/>
      <c r="AV1739" s="23"/>
      <c r="AW1739" s="23"/>
      <c r="AX1739" s="23"/>
      <c r="AY1739" s="23"/>
      <c r="AZ1739" s="23"/>
      <c r="BA1739" s="23"/>
      <c r="BB1739" s="23"/>
    </row>
    <row r="1740" spans="5:54" x14ac:dyDescent="0.35"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  <c r="AA1740" s="23"/>
      <c r="AB1740" s="23"/>
      <c r="AC1740" s="23"/>
      <c r="AD1740" s="23"/>
      <c r="AE1740" s="23"/>
      <c r="AF1740" s="23"/>
      <c r="AG1740" s="23"/>
      <c r="AH1740" s="23"/>
      <c r="AI1740" s="23"/>
      <c r="AJ1740" s="23"/>
      <c r="AK1740" s="23"/>
      <c r="AL1740" s="23"/>
      <c r="AM1740" s="23"/>
      <c r="AN1740" s="23"/>
      <c r="AO1740" s="23"/>
      <c r="AP1740" s="23"/>
      <c r="AQ1740" s="23"/>
      <c r="AR1740" s="23"/>
      <c r="AS1740" s="23"/>
      <c r="AT1740" s="23"/>
      <c r="AU1740" s="23"/>
      <c r="AV1740" s="23"/>
      <c r="AW1740" s="23"/>
      <c r="AX1740" s="23"/>
      <c r="AY1740" s="23"/>
      <c r="AZ1740" s="23"/>
      <c r="BA1740" s="23"/>
      <c r="BB1740" s="23"/>
    </row>
    <row r="1741" spans="5:54" x14ac:dyDescent="0.35"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  <c r="AA1741" s="23"/>
      <c r="AB1741" s="23"/>
      <c r="AC1741" s="23"/>
      <c r="AD1741" s="23"/>
      <c r="AE1741" s="23"/>
      <c r="AF1741" s="23"/>
      <c r="AG1741" s="23"/>
      <c r="AH1741" s="23"/>
      <c r="AI1741" s="23"/>
      <c r="AJ1741" s="23"/>
      <c r="AK1741" s="23"/>
      <c r="AL1741" s="23"/>
      <c r="AM1741" s="23"/>
      <c r="AN1741" s="23"/>
      <c r="AO1741" s="23"/>
      <c r="AP1741" s="23"/>
      <c r="AQ1741" s="23"/>
      <c r="AR1741" s="23"/>
      <c r="AS1741" s="23"/>
      <c r="AT1741" s="23"/>
      <c r="AU1741" s="23"/>
      <c r="AV1741" s="23"/>
      <c r="AW1741" s="23"/>
      <c r="AX1741" s="23"/>
      <c r="AY1741" s="23"/>
      <c r="AZ1741" s="23"/>
      <c r="BA1741" s="23"/>
      <c r="BB1741" s="23"/>
    </row>
    <row r="1742" spans="5:54" x14ac:dyDescent="0.35"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  <c r="AA1742" s="23"/>
      <c r="AB1742" s="23"/>
      <c r="AC1742" s="23"/>
      <c r="AD1742" s="23"/>
      <c r="AE1742" s="23"/>
      <c r="AF1742" s="23"/>
      <c r="AG1742" s="23"/>
      <c r="AH1742" s="23"/>
      <c r="AI1742" s="23"/>
      <c r="AJ1742" s="23"/>
      <c r="AK1742" s="23"/>
      <c r="AL1742" s="23"/>
      <c r="AM1742" s="23"/>
      <c r="AN1742" s="23"/>
      <c r="AO1742" s="23"/>
      <c r="AP1742" s="23"/>
      <c r="AQ1742" s="23"/>
      <c r="AR1742" s="23"/>
      <c r="AS1742" s="23"/>
      <c r="AT1742" s="23"/>
      <c r="AU1742" s="23"/>
      <c r="AV1742" s="23"/>
      <c r="AW1742" s="23"/>
      <c r="AX1742" s="23"/>
      <c r="AY1742" s="23"/>
      <c r="AZ1742" s="23"/>
      <c r="BA1742" s="23"/>
      <c r="BB1742" s="23"/>
    </row>
    <row r="1743" spans="5:54" x14ac:dyDescent="0.35"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  <c r="AA1743" s="23"/>
      <c r="AB1743" s="23"/>
      <c r="AC1743" s="23"/>
      <c r="AD1743" s="23"/>
      <c r="AE1743" s="23"/>
      <c r="AF1743" s="23"/>
      <c r="AG1743" s="23"/>
      <c r="AH1743" s="23"/>
      <c r="AI1743" s="23"/>
      <c r="AJ1743" s="23"/>
      <c r="AK1743" s="23"/>
      <c r="AL1743" s="23"/>
      <c r="AM1743" s="23"/>
      <c r="AN1743" s="23"/>
      <c r="AO1743" s="23"/>
      <c r="AP1743" s="23"/>
      <c r="AQ1743" s="23"/>
      <c r="AR1743" s="23"/>
      <c r="AS1743" s="23"/>
      <c r="AT1743" s="23"/>
      <c r="AU1743" s="23"/>
      <c r="AV1743" s="23"/>
      <c r="AW1743" s="23"/>
      <c r="AX1743" s="23"/>
      <c r="AY1743" s="23"/>
      <c r="AZ1743" s="23"/>
      <c r="BA1743" s="23"/>
      <c r="BB1743" s="23"/>
    </row>
    <row r="1744" spans="5:54" x14ac:dyDescent="0.35"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  <c r="AA1744" s="23"/>
      <c r="AB1744" s="23"/>
      <c r="AC1744" s="23"/>
      <c r="AD1744" s="23"/>
      <c r="AE1744" s="23"/>
      <c r="AF1744" s="23"/>
      <c r="AG1744" s="23"/>
      <c r="AH1744" s="23"/>
      <c r="AI1744" s="23"/>
      <c r="AJ1744" s="23"/>
      <c r="AK1744" s="23"/>
      <c r="AL1744" s="23"/>
      <c r="AM1744" s="23"/>
      <c r="AN1744" s="23"/>
      <c r="AO1744" s="23"/>
      <c r="AP1744" s="23"/>
      <c r="AQ1744" s="23"/>
      <c r="AR1744" s="23"/>
      <c r="AS1744" s="23"/>
      <c r="AT1744" s="23"/>
      <c r="AU1744" s="23"/>
      <c r="AV1744" s="23"/>
      <c r="AW1744" s="23"/>
      <c r="AX1744" s="23"/>
      <c r="AY1744" s="23"/>
      <c r="AZ1744" s="23"/>
      <c r="BA1744" s="23"/>
      <c r="BB1744" s="23"/>
    </row>
    <row r="1745" spans="5:54" x14ac:dyDescent="0.35"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  <c r="AA1745" s="23"/>
      <c r="AB1745" s="23"/>
      <c r="AC1745" s="23"/>
      <c r="AD1745" s="23"/>
      <c r="AE1745" s="23"/>
      <c r="AF1745" s="23"/>
      <c r="AG1745" s="23"/>
      <c r="AH1745" s="23"/>
      <c r="AI1745" s="23"/>
      <c r="AJ1745" s="23"/>
      <c r="AK1745" s="23"/>
      <c r="AL1745" s="23"/>
      <c r="AM1745" s="23"/>
      <c r="AN1745" s="23"/>
      <c r="AO1745" s="23"/>
      <c r="AP1745" s="23"/>
      <c r="AQ1745" s="23"/>
      <c r="AR1745" s="23"/>
      <c r="AS1745" s="23"/>
      <c r="AT1745" s="23"/>
      <c r="AU1745" s="23"/>
      <c r="AV1745" s="23"/>
      <c r="AW1745" s="23"/>
      <c r="AX1745" s="23"/>
      <c r="AY1745" s="23"/>
      <c r="AZ1745" s="23"/>
      <c r="BA1745" s="23"/>
      <c r="BB1745" s="23"/>
    </row>
    <row r="1746" spans="5:54" x14ac:dyDescent="0.35"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  <c r="AA1746" s="23"/>
      <c r="AB1746" s="23"/>
      <c r="AC1746" s="23"/>
      <c r="AD1746" s="23"/>
      <c r="AE1746" s="23"/>
      <c r="AF1746" s="23"/>
      <c r="AG1746" s="23"/>
      <c r="AH1746" s="23"/>
      <c r="AI1746" s="23"/>
      <c r="AJ1746" s="23"/>
      <c r="AK1746" s="23"/>
      <c r="AL1746" s="23"/>
      <c r="AM1746" s="23"/>
      <c r="AN1746" s="23"/>
      <c r="AO1746" s="23"/>
      <c r="AP1746" s="23"/>
      <c r="AQ1746" s="23"/>
      <c r="AR1746" s="23"/>
      <c r="AS1746" s="23"/>
      <c r="AT1746" s="23"/>
      <c r="AU1746" s="23"/>
      <c r="AV1746" s="23"/>
      <c r="AW1746" s="23"/>
      <c r="AX1746" s="23"/>
      <c r="AY1746" s="23"/>
      <c r="AZ1746" s="23"/>
      <c r="BA1746" s="23"/>
      <c r="BB1746" s="23"/>
    </row>
    <row r="1747" spans="5:54" x14ac:dyDescent="0.35"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  <c r="AA1747" s="23"/>
      <c r="AB1747" s="23"/>
      <c r="AC1747" s="23"/>
      <c r="AD1747" s="23"/>
      <c r="AE1747" s="23"/>
      <c r="AF1747" s="23"/>
      <c r="AG1747" s="23"/>
      <c r="AH1747" s="23"/>
      <c r="AI1747" s="23"/>
      <c r="AJ1747" s="23"/>
      <c r="AK1747" s="23"/>
      <c r="AL1747" s="23"/>
      <c r="AM1747" s="23"/>
      <c r="AN1747" s="23"/>
      <c r="AO1747" s="23"/>
      <c r="AP1747" s="23"/>
      <c r="AQ1747" s="23"/>
      <c r="AR1747" s="23"/>
      <c r="AS1747" s="23"/>
      <c r="AT1747" s="23"/>
      <c r="AU1747" s="23"/>
      <c r="AV1747" s="23"/>
      <c r="AW1747" s="23"/>
      <c r="AX1747" s="23"/>
      <c r="AY1747" s="23"/>
      <c r="AZ1747" s="23"/>
      <c r="BA1747" s="23"/>
      <c r="BB1747" s="23"/>
    </row>
    <row r="1748" spans="5:54" x14ac:dyDescent="0.35"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  <c r="AA1748" s="23"/>
      <c r="AB1748" s="23"/>
      <c r="AC1748" s="23"/>
      <c r="AD1748" s="23"/>
      <c r="AE1748" s="23"/>
      <c r="AF1748" s="23"/>
      <c r="AG1748" s="23"/>
      <c r="AH1748" s="23"/>
      <c r="AI1748" s="23"/>
      <c r="AJ1748" s="23"/>
      <c r="AK1748" s="23"/>
      <c r="AL1748" s="23"/>
      <c r="AM1748" s="23"/>
      <c r="AN1748" s="23"/>
      <c r="AO1748" s="23"/>
      <c r="AP1748" s="23"/>
      <c r="AQ1748" s="23"/>
      <c r="AR1748" s="23"/>
      <c r="AS1748" s="23"/>
      <c r="AT1748" s="23"/>
      <c r="AU1748" s="23"/>
      <c r="AV1748" s="23"/>
      <c r="AW1748" s="23"/>
      <c r="AX1748" s="23"/>
      <c r="AY1748" s="23"/>
      <c r="AZ1748" s="23"/>
      <c r="BA1748" s="23"/>
      <c r="BB1748" s="23"/>
    </row>
    <row r="1749" spans="5:54" x14ac:dyDescent="0.35"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  <c r="AA1749" s="23"/>
      <c r="AB1749" s="23"/>
      <c r="AC1749" s="23"/>
      <c r="AD1749" s="23"/>
      <c r="AE1749" s="23"/>
      <c r="AF1749" s="23"/>
      <c r="AG1749" s="23"/>
      <c r="AH1749" s="23"/>
      <c r="AI1749" s="23"/>
      <c r="AJ1749" s="23"/>
      <c r="AK1749" s="23"/>
      <c r="AL1749" s="23"/>
      <c r="AM1749" s="23"/>
      <c r="AN1749" s="23"/>
      <c r="AO1749" s="23"/>
      <c r="AP1749" s="23"/>
      <c r="AQ1749" s="23"/>
      <c r="AR1749" s="23"/>
      <c r="AS1749" s="23"/>
      <c r="AT1749" s="23"/>
      <c r="AU1749" s="23"/>
      <c r="AV1749" s="23"/>
      <c r="AW1749" s="23"/>
      <c r="AX1749" s="23"/>
      <c r="AY1749" s="23"/>
      <c r="AZ1749" s="23"/>
      <c r="BA1749" s="23"/>
      <c r="BB1749" s="23"/>
    </row>
    <row r="1750" spans="5:54" x14ac:dyDescent="0.35"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  <c r="AA1750" s="23"/>
      <c r="AB1750" s="23"/>
      <c r="AC1750" s="23"/>
      <c r="AD1750" s="23"/>
      <c r="AE1750" s="23"/>
      <c r="AF1750" s="23"/>
      <c r="AG1750" s="23"/>
      <c r="AH1750" s="23"/>
      <c r="AI1750" s="23"/>
      <c r="AJ1750" s="23"/>
      <c r="AK1750" s="23"/>
      <c r="AL1750" s="23"/>
      <c r="AM1750" s="23"/>
      <c r="AN1750" s="23"/>
      <c r="AO1750" s="23"/>
      <c r="AP1750" s="23"/>
      <c r="AQ1750" s="23"/>
      <c r="AR1750" s="23"/>
      <c r="AS1750" s="23"/>
      <c r="AT1750" s="23"/>
      <c r="AU1750" s="23"/>
      <c r="AV1750" s="23"/>
      <c r="AW1750" s="23"/>
      <c r="AX1750" s="23"/>
      <c r="AY1750" s="23"/>
      <c r="AZ1750" s="23"/>
      <c r="BA1750" s="23"/>
      <c r="BB1750" s="23"/>
    </row>
    <row r="1751" spans="5:54" x14ac:dyDescent="0.35"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  <c r="AA1751" s="23"/>
      <c r="AB1751" s="23"/>
      <c r="AC1751" s="23"/>
      <c r="AD1751" s="23"/>
      <c r="AE1751" s="23"/>
      <c r="AF1751" s="23"/>
      <c r="AG1751" s="23"/>
      <c r="AH1751" s="23"/>
      <c r="AI1751" s="23"/>
      <c r="AJ1751" s="23"/>
      <c r="AK1751" s="23"/>
      <c r="AL1751" s="23"/>
      <c r="AM1751" s="23"/>
      <c r="AN1751" s="23"/>
      <c r="AO1751" s="23"/>
      <c r="AP1751" s="23"/>
      <c r="AQ1751" s="23"/>
      <c r="AR1751" s="23"/>
      <c r="AS1751" s="23"/>
      <c r="AT1751" s="23"/>
      <c r="AU1751" s="23"/>
      <c r="AV1751" s="23"/>
      <c r="AW1751" s="23"/>
      <c r="AX1751" s="23"/>
      <c r="AY1751" s="23"/>
      <c r="AZ1751" s="23"/>
      <c r="BA1751" s="23"/>
      <c r="BB1751" s="23"/>
    </row>
    <row r="1752" spans="5:54" x14ac:dyDescent="0.35"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  <c r="AA1752" s="23"/>
      <c r="AB1752" s="23"/>
      <c r="AC1752" s="23"/>
      <c r="AD1752" s="23"/>
      <c r="AE1752" s="23"/>
      <c r="AF1752" s="23"/>
      <c r="AG1752" s="23"/>
      <c r="AH1752" s="23"/>
      <c r="AI1752" s="23"/>
      <c r="AJ1752" s="23"/>
      <c r="AK1752" s="23"/>
      <c r="AL1752" s="23"/>
      <c r="AM1752" s="23"/>
      <c r="AN1752" s="23"/>
      <c r="AO1752" s="23"/>
      <c r="AP1752" s="23"/>
      <c r="AQ1752" s="23"/>
      <c r="AR1752" s="23"/>
      <c r="AS1752" s="23"/>
      <c r="AT1752" s="23"/>
      <c r="AU1752" s="23"/>
      <c r="AV1752" s="23"/>
      <c r="AW1752" s="23"/>
      <c r="AX1752" s="23"/>
      <c r="AY1752" s="23"/>
      <c r="AZ1752" s="23"/>
      <c r="BA1752" s="23"/>
      <c r="BB1752" s="23"/>
    </row>
    <row r="1753" spans="5:54" x14ac:dyDescent="0.35"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  <c r="AA1753" s="23"/>
      <c r="AB1753" s="23"/>
      <c r="AC1753" s="23"/>
      <c r="AD1753" s="23"/>
      <c r="AE1753" s="23"/>
      <c r="AF1753" s="23"/>
      <c r="AG1753" s="23"/>
      <c r="AH1753" s="23"/>
      <c r="AI1753" s="23"/>
      <c r="AJ1753" s="23"/>
      <c r="AK1753" s="23"/>
      <c r="AL1753" s="23"/>
      <c r="AM1753" s="23"/>
      <c r="AN1753" s="23"/>
      <c r="AO1753" s="23"/>
      <c r="AP1753" s="23"/>
      <c r="AQ1753" s="23"/>
      <c r="AR1753" s="23"/>
      <c r="AS1753" s="23"/>
      <c r="AT1753" s="23"/>
      <c r="AU1753" s="23"/>
      <c r="AV1753" s="23"/>
      <c r="AW1753" s="23"/>
      <c r="AX1753" s="23"/>
      <c r="AY1753" s="23"/>
      <c r="AZ1753" s="23"/>
      <c r="BA1753" s="23"/>
      <c r="BB1753" s="23"/>
    </row>
    <row r="1754" spans="5:54" x14ac:dyDescent="0.35"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  <c r="AA1754" s="23"/>
      <c r="AB1754" s="23"/>
      <c r="AC1754" s="23"/>
      <c r="AD1754" s="23"/>
      <c r="AE1754" s="23"/>
      <c r="AF1754" s="23"/>
      <c r="AG1754" s="23"/>
      <c r="AH1754" s="23"/>
      <c r="AI1754" s="23"/>
      <c r="AJ1754" s="23"/>
      <c r="AK1754" s="23"/>
      <c r="AL1754" s="23"/>
      <c r="AM1754" s="23"/>
      <c r="AN1754" s="23"/>
      <c r="AO1754" s="23"/>
      <c r="AP1754" s="23"/>
      <c r="AQ1754" s="23"/>
      <c r="AR1754" s="23"/>
      <c r="AS1754" s="23"/>
      <c r="AT1754" s="23"/>
      <c r="AU1754" s="23"/>
      <c r="AV1754" s="23"/>
      <c r="AW1754" s="23"/>
      <c r="AX1754" s="23"/>
      <c r="AY1754" s="23"/>
      <c r="AZ1754" s="23"/>
      <c r="BA1754" s="23"/>
      <c r="BB1754" s="23"/>
    </row>
    <row r="1755" spans="5:54" x14ac:dyDescent="0.35"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  <c r="AA1755" s="23"/>
      <c r="AB1755" s="23"/>
      <c r="AC1755" s="23"/>
      <c r="AD1755" s="23"/>
      <c r="AE1755" s="23"/>
      <c r="AF1755" s="23"/>
      <c r="AG1755" s="23"/>
      <c r="AH1755" s="23"/>
      <c r="AI1755" s="23"/>
      <c r="AJ1755" s="23"/>
      <c r="AK1755" s="23"/>
      <c r="AL1755" s="23"/>
      <c r="AM1755" s="23"/>
      <c r="AN1755" s="23"/>
      <c r="AO1755" s="23"/>
      <c r="AP1755" s="23"/>
      <c r="AQ1755" s="23"/>
      <c r="AR1755" s="23"/>
      <c r="AS1755" s="23"/>
      <c r="AT1755" s="23"/>
      <c r="AU1755" s="23"/>
      <c r="AV1755" s="23"/>
      <c r="AW1755" s="23"/>
      <c r="AX1755" s="23"/>
      <c r="AY1755" s="23"/>
      <c r="AZ1755" s="23"/>
      <c r="BA1755" s="23"/>
      <c r="BB1755" s="23"/>
    </row>
    <row r="1756" spans="5:54" x14ac:dyDescent="0.35"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  <c r="AA1756" s="23"/>
      <c r="AB1756" s="23"/>
      <c r="AC1756" s="23"/>
      <c r="AD1756" s="23"/>
      <c r="AE1756" s="23"/>
      <c r="AF1756" s="23"/>
      <c r="AG1756" s="23"/>
      <c r="AH1756" s="23"/>
      <c r="AI1756" s="23"/>
      <c r="AJ1756" s="23"/>
      <c r="AK1756" s="23"/>
      <c r="AL1756" s="23"/>
      <c r="AM1756" s="23"/>
      <c r="AN1756" s="23"/>
      <c r="AO1756" s="23"/>
      <c r="AP1756" s="23"/>
      <c r="AQ1756" s="23"/>
      <c r="AR1756" s="23"/>
      <c r="AS1756" s="23"/>
      <c r="AT1756" s="23"/>
      <c r="AU1756" s="23"/>
      <c r="AV1756" s="23"/>
      <c r="AW1756" s="23"/>
      <c r="AX1756" s="23"/>
      <c r="AY1756" s="23"/>
      <c r="AZ1756" s="23"/>
      <c r="BA1756" s="23"/>
      <c r="BB1756" s="23"/>
    </row>
    <row r="1757" spans="5:54" x14ac:dyDescent="0.35"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  <c r="AA1757" s="23"/>
      <c r="AB1757" s="23"/>
      <c r="AC1757" s="23"/>
      <c r="AD1757" s="23"/>
      <c r="AE1757" s="23"/>
      <c r="AF1757" s="23"/>
      <c r="AG1757" s="23"/>
      <c r="AH1757" s="23"/>
      <c r="AI1757" s="23"/>
      <c r="AJ1757" s="23"/>
      <c r="AK1757" s="23"/>
      <c r="AL1757" s="23"/>
      <c r="AM1757" s="23"/>
      <c r="AN1757" s="23"/>
      <c r="AO1757" s="23"/>
      <c r="AP1757" s="23"/>
      <c r="AQ1757" s="23"/>
      <c r="AR1757" s="23"/>
      <c r="AS1757" s="23"/>
      <c r="AT1757" s="23"/>
      <c r="AU1757" s="23"/>
      <c r="AV1757" s="23"/>
      <c r="AW1757" s="23"/>
      <c r="AX1757" s="23"/>
      <c r="AY1757" s="23"/>
      <c r="AZ1757" s="23"/>
      <c r="BA1757" s="23"/>
      <c r="BB1757" s="23"/>
    </row>
    <row r="1758" spans="5:54" x14ac:dyDescent="0.35"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  <c r="AA1758" s="23"/>
      <c r="AB1758" s="23"/>
      <c r="AC1758" s="23"/>
      <c r="AD1758" s="23"/>
      <c r="AE1758" s="23"/>
      <c r="AF1758" s="23"/>
      <c r="AG1758" s="23"/>
      <c r="AH1758" s="23"/>
      <c r="AI1758" s="23"/>
      <c r="AJ1758" s="23"/>
      <c r="AK1758" s="23"/>
      <c r="AL1758" s="23"/>
      <c r="AM1758" s="23"/>
      <c r="AN1758" s="23"/>
      <c r="AO1758" s="23"/>
      <c r="AP1758" s="23"/>
      <c r="AQ1758" s="23"/>
      <c r="AR1758" s="23"/>
      <c r="AS1758" s="23"/>
      <c r="AT1758" s="23"/>
      <c r="AU1758" s="23"/>
      <c r="AV1758" s="23"/>
      <c r="AW1758" s="23"/>
      <c r="AX1758" s="23"/>
      <c r="AY1758" s="23"/>
      <c r="AZ1758" s="23"/>
      <c r="BA1758" s="23"/>
      <c r="BB1758" s="23"/>
    </row>
    <row r="1759" spans="5:54" x14ac:dyDescent="0.35"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  <c r="AA1759" s="23"/>
      <c r="AB1759" s="23"/>
      <c r="AC1759" s="23"/>
      <c r="AD1759" s="23"/>
      <c r="AE1759" s="23"/>
      <c r="AF1759" s="23"/>
      <c r="AG1759" s="23"/>
      <c r="AH1759" s="23"/>
      <c r="AI1759" s="23"/>
      <c r="AJ1759" s="23"/>
      <c r="AK1759" s="23"/>
      <c r="AL1759" s="23"/>
      <c r="AM1759" s="23"/>
      <c r="AN1759" s="23"/>
      <c r="AO1759" s="23"/>
      <c r="AP1759" s="23"/>
      <c r="AQ1759" s="23"/>
      <c r="AR1759" s="23"/>
      <c r="AS1759" s="23"/>
      <c r="AT1759" s="23"/>
      <c r="AU1759" s="23"/>
      <c r="AV1759" s="23"/>
      <c r="AW1759" s="23"/>
      <c r="AX1759" s="23"/>
      <c r="AY1759" s="23"/>
      <c r="AZ1759" s="23"/>
      <c r="BA1759" s="23"/>
      <c r="BB1759" s="23"/>
    </row>
    <row r="1760" spans="5:54" x14ac:dyDescent="0.35"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  <c r="AA1760" s="23"/>
      <c r="AB1760" s="23"/>
      <c r="AC1760" s="23"/>
      <c r="AD1760" s="23"/>
      <c r="AE1760" s="23"/>
      <c r="AF1760" s="23"/>
      <c r="AG1760" s="23"/>
      <c r="AH1760" s="23"/>
      <c r="AI1760" s="23"/>
      <c r="AJ1760" s="23"/>
      <c r="AK1760" s="23"/>
      <c r="AL1760" s="23"/>
      <c r="AM1760" s="23"/>
      <c r="AN1760" s="23"/>
      <c r="AO1760" s="23"/>
      <c r="AP1760" s="23"/>
      <c r="AQ1760" s="23"/>
      <c r="AR1760" s="23"/>
      <c r="AS1760" s="23"/>
      <c r="AT1760" s="23"/>
      <c r="AU1760" s="23"/>
      <c r="AV1760" s="23"/>
      <c r="AW1760" s="23"/>
      <c r="AX1760" s="23"/>
      <c r="AY1760" s="23"/>
      <c r="AZ1760" s="23"/>
      <c r="BA1760" s="23"/>
      <c r="BB1760" s="23"/>
    </row>
    <row r="1761" spans="5:54" x14ac:dyDescent="0.35"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  <c r="AA1761" s="23"/>
      <c r="AB1761" s="23"/>
      <c r="AC1761" s="23"/>
      <c r="AD1761" s="23"/>
      <c r="AE1761" s="23"/>
      <c r="AF1761" s="23"/>
      <c r="AG1761" s="23"/>
      <c r="AH1761" s="23"/>
      <c r="AI1761" s="23"/>
      <c r="AJ1761" s="23"/>
      <c r="AK1761" s="23"/>
      <c r="AL1761" s="23"/>
      <c r="AM1761" s="23"/>
      <c r="AN1761" s="23"/>
      <c r="AO1761" s="23"/>
      <c r="AP1761" s="23"/>
      <c r="AQ1761" s="23"/>
      <c r="AR1761" s="23"/>
      <c r="AS1761" s="23"/>
      <c r="AT1761" s="23"/>
      <c r="AU1761" s="23"/>
      <c r="AV1761" s="23"/>
      <c r="AW1761" s="23"/>
      <c r="AX1761" s="23"/>
      <c r="AY1761" s="23"/>
      <c r="AZ1761" s="23"/>
      <c r="BA1761" s="23"/>
      <c r="BB1761" s="23"/>
    </row>
    <row r="1762" spans="5:54" x14ac:dyDescent="0.35"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  <c r="AA1762" s="23"/>
      <c r="AB1762" s="23"/>
      <c r="AC1762" s="23"/>
      <c r="AD1762" s="23"/>
      <c r="AE1762" s="23"/>
      <c r="AF1762" s="23"/>
      <c r="AG1762" s="23"/>
      <c r="AH1762" s="23"/>
      <c r="AI1762" s="23"/>
      <c r="AJ1762" s="23"/>
      <c r="AK1762" s="23"/>
      <c r="AL1762" s="23"/>
      <c r="AM1762" s="23"/>
      <c r="AN1762" s="23"/>
      <c r="AO1762" s="23"/>
      <c r="AP1762" s="23"/>
      <c r="AQ1762" s="23"/>
      <c r="AR1762" s="23"/>
      <c r="AS1762" s="23"/>
      <c r="AT1762" s="23"/>
      <c r="AU1762" s="23"/>
      <c r="AV1762" s="23"/>
      <c r="AW1762" s="23"/>
      <c r="AX1762" s="23"/>
      <c r="AY1762" s="23"/>
      <c r="AZ1762" s="23"/>
      <c r="BA1762" s="23"/>
      <c r="BB1762" s="23"/>
    </row>
    <row r="1763" spans="5:54" x14ac:dyDescent="0.35"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  <c r="AA1763" s="23"/>
      <c r="AB1763" s="23"/>
      <c r="AC1763" s="23"/>
      <c r="AD1763" s="23"/>
      <c r="AE1763" s="23"/>
      <c r="AF1763" s="23"/>
      <c r="AG1763" s="23"/>
      <c r="AH1763" s="23"/>
      <c r="AI1763" s="23"/>
      <c r="AJ1763" s="23"/>
      <c r="AK1763" s="23"/>
      <c r="AL1763" s="23"/>
      <c r="AM1763" s="23"/>
      <c r="AN1763" s="23"/>
      <c r="AO1763" s="23"/>
      <c r="AP1763" s="23"/>
      <c r="AQ1763" s="23"/>
      <c r="AR1763" s="23"/>
      <c r="AS1763" s="23"/>
      <c r="AT1763" s="23"/>
      <c r="AU1763" s="23"/>
      <c r="AV1763" s="23"/>
      <c r="AW1763" s="23"/>
      <c r="AX1763" s="23"/>
      <c r="AY1763" s="23"/>
      <c r="AZ1763" s="23"/>
      <c r="BA1763" s="23"/>
      <c r="BB1763" s="23"/>
    </row>
    <row r="1764" spans="5:54" x14ac:dyDescent="0.35"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  <c r="AA1764" s="23"/>
      <c r="AB1764" s="23"/>
      <c r="AC1764" s="23"/>
      <c r="AD1764" s="23"/>
      <c r="AE1764" s="23"/>
      <c r="AF1764" s="23"/>
      <c r="AG1764" s="23"/>
      <c r="AH1764" s="23"/>
      <c r="AI1764" s="23"/>
      <c r="AJ1764" s="23"/>
      <c r="AK1764" s="23"/>
      <c r="AL1764" s="23"/>
      <c r="AM1764" s="23"/>
      <c r="AN1764" s="23"/>
      <c r="AO1764" s="23"/>
      <c r="AP1764" s="23"/>
      <c r="AQ1764" s="23"/>
      <c r="AR1764" s="23"/>
      <c r="AS1764" s="23"/>
      <c r="AT1764" s="23"/>
      <c r="AU1764" s="23"/>
      <c r="AV1764" s="23"/>
      <c r="AW1764" s="23"/>
      <c r="AX1764" s="23"/>
      <c r="AY1764" s="23"/>
      <c r="AZ1764" s="23"/>
      <c r="BA1764" s="23"/>
      <c r="BB1764" s="23"/>
    </row>
    <row r="1765" spans="5:54" x14ac:dyDescent="0.35"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  <c r="AA1765" s="23"/>
      <c r="AB1765" s="23"/>
      <c r="AC1765" s="23"/>
      <c r="AD1765" s="23"/>
      <c r="AE1765" s="23"/>
      <c r="AF1765" s="23"/>
      <c r="AG1765" s="23"/>
      <c r="AH1765" s="23"/>
      <c r="AI1765" s="23"/>
      <c r="AJ1765" s="23"/>
      <c r="AK1765" s="23"/>
      <c r="AL1765" s="23"/>
      <c r="AM1765" s="23"/>
      <c r="AN1765" s="23"/>
      <c r="AO1765" s="23"/>
      <c r="AP1765" s="23"/>
      <c r="AQ1765" s="23"/>
      <c r="AR1765" s="23"/>
      <c r="AS1765" s="23"/>
      <c r="AT1765" s="23"/>
      <c r="AU1765" s="23"/>
      <c r="AV1765" s="23"/>
      <c r="AW1765" s="23"/>
      <c r="AX1765" s="23"/>
      <c r="AY1765" s="23"/>
      <c r="AZ1765" s="23"/>
      <c r="BA1765" s="23"/>
      <c r="BB1765" s="23"/>
    </row>
    <row r="1766" spans="5:54" x14ac:dyDescent="0.35"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  <c r="AA1766" s="23"/>
      <c r="AB1766" s="23"/>
      <c r="AC1766" s="23"/>
      <c r="AD1766" s="23"/>
      <c r="AE1766" s="23"/>
      <c r="AF1766" s="23"/>
      <c r="AG1766" s="23"/>
      <c r="AH1766" s="23"/>
      <c r="AI1766" s="23"/>
      <c r="AJ1766" s="23"/>
      <c r="AK1766" s="23"/>
      <c r="AL1766" s="23"/>
      <c r="AM1766" s="23"/>
      <c r="AN1766" s="23"/>
      <c r="AO1766" s="23"/>
      <c r="AP1766" s="23"/>
      <c r="AQ1766" s="23"/>
      <c r="AR1766" s="23"/>
      <c r="AS1766" s="23"/>
      <c r="AT1766" s="23"/>
      <c r="AU1766" s="23"/>
      <c r="AV1766" s="23"/>
      <c r="AW1766" s="23"/>
      <c r="AX1766" s="23"/>
      <c r="AY1766" s="23"/>
      <c r="AZ1766" s="23"/>
      <c r="BA1766" s="23"/>
      <c r="BB1766" s="23"/>
    </row>
    <row r="1767" spans="5:54" x14ac:dyDescent="0.35"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  <c r="AA1767" s="23"/>
      <c r="AB1767" s="23"/>
      <c r="AC1767" s="23"/>
      <c r="AD1767" s="23"/>
      <c r="AE1767" s="23"/>
      <c r="AF1767" s="23"/>
      <c r="AG1767" s="23"/>
      <c r="AH1767" s="23"/>
      <c r="AI1767" s="23"/>
      <c r="AJ1767" s="23"/>
      <c r="AK1767" s="23"/>
      <c r="AL1767" s="23"/>
      <c r="AM1767" s="23"/>
      <c r="AN1767" s="23"/>
      <c r="AO1767" s="23"/>
      <c r="AP1767" s="23"/>
      <c r="AQ1767" s="23"/>
      <c r="AR1767" s="23"/>
      <c r="AS1767" s="23"/>
      <c r="AT1767" s="23"/>
      <c r="AU1767" s="23"/>
      <c r="AV1767" s="23"/>
      <c r="AW1767" s="23"/>
      <c r="AX1767" s="23"/>
      <c r="AY1767" s="23"/>
      <c r="AZ1767" s="23"/>
      <c r="BA1767" s="23"/>
      <c r="BB1767" s="23"/>
    </row>
    <row r="1768" spans="5:54" x14ac:dyDescent="0.35"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  <c r="AA1768" s="23"/>
      <c r="AB1768" s="23"/>
      <c r="AC1768" s="23"/>
      <c r="AD1768" s="23"/>
      <c r="AE1768" s="23"/>
      <c r="AF1768" s="23"/>
      <c r="AG1768" s="23"/>
      <c r="AH1768" s="23"/>
      <c r="AI1768" s="23"/>
      <c r="AJ1768" s="23"/>
      <c r="AK1768" s="23"/>
      <c r="AL1768" s="23"/>
      <c r="AM1768" s="23"/>
      <c r="AN1768" s="23"/>
      <c r="AO1768" s="23"/>
      <c r="AP1768" s="23"/>
      <c r="AQ1768" s="23"/>
      <c r="AR1768" s="23"/>
      <c r="AS1768" s="23"/>
      <c r="AT1768" s="23"/>
      <c r="AU1768" s="23"/>
      <c r="AV1768" s="23"/>
      <c r="AW1768" s="23"/>
      <c r="AX1768" s="23"/>
      <c r="AY1768" s="23"/>
      <c r="AZ1768" s="23"/>
      <c r="BA1768" s="23"/>
      <c r="BB1768" s="23"/>
    </row>
    <row r="1769" spans="5:54" x14ac:dyDescent="0.35"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  <c r="AA1769" s="23"/>
      <c r="AB1769" s="23"/>
      <c r="AC1769" s="23"/>
      <c r="AD1769" s="23"/>
      <c r="AE1769" s="23"/>
      <c r="AF1769" s="23"/>
      <c r="AG1769" s="23"/>
      <c r="AH1769" s="23"/>
      <c r="AI1769" s="23"/>
      <c r="AJ1769" s="23"/>
      <c r="AK1769" s="23"/>
      <c r="AL1769" s="23"/>
      <c r="AM1769" s="23"/>
      <c r="AN1769" s="23"/>
      <c r="AO1769" s="23"/>
      <c r="AP1769" s="23"/>
      <c r="AQ1769" s="23"/>
      <c r="AR1769" s="23"/>
      <c r="AS1769" s="23"/>
      <c r="AT1769" s="23"/>
      <c r="AU1769" s="23"/>
      <c r="AV1769" s="23"/>
      <c r="AW1769" s="23"/>
      <c r="AX1769" s="23"/>
      <c r="AY1769" s="23"/>
      <c r="AZ1769" s="23"/>
      <c r="BA1769" s="23"/>
      <c r="BB1769" s="23"/>
    </row>
    <row r="1770" spans="5:54" x14ac:dyDescent="0.35"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  <c r="AA1770" s="23"/>
      <c r="AB1770" s="23"/>
      <c r="AC1770" s="23"/>
      <c r="AD1770" s="23"/>
      <c r="AE1770" s="23"/>
      <c r="AF1770" s="23"/>
      <c r="AG1770" s="23"/>
      <c r="AH1770" s="23"/>
      <c r="AI1770" s="23"/>
      <c r="AJ1770" s="23"/>
      <c r="AK1770" s="23"/>
      <c r="AL1770" s="23"/>
      <c r="AM1770" s="23"/>
      <c r="AN1770" s="23"/>
      <c r="AO1770" s="23"/>
      <c r="AP1770" s="23"/>
      <c r="AQ1770" s="23"/>
      <c r="AR1770" s="23"/>
      <c r="AS1770" s="23"/>
      <c r="AT1770" s="23"/>
      <c r="AU1770" s="23"/>
      <c r="AV1770" s="23"/>
      <c r="AW1770" s="23"/>
      <c r="AX1770" s="23"/>
      <c r="AY1770" s="23"/>
      <c r="AZ1770" s="23"/>
      <c r="BA1770" s="23"/>
      <c r="BB1770" s="23"/>
    </row>
    <row r="1771" spans="5:54" x14ac:dyDescent="0.35"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  <c r="AA1771" s="23"/>
      <c r="AB1771" s="23"/>
      <c r="AC1771" s="23"/>
      <c r="AD1771" s="23"/>
      <c r="AE1771" s="23"/>
      <c r="AF1771" s="23"/>
      <c r="AG1771" s="23"/>
      <c r="AH1771" s="23"/>
      <c r="AI1771" s="23"/>
      <c r="AJ1771" s="23"/>
      <c r="AK1771" s="23"/>
      <c r="AL1771" s="23"/>
      <c r="AM1771" s="23"/>
      <c r="AN1771" s="23"/>
      <c r="AO1771" s="23"/>
      <c r="AP1771" s="23"/>
      <c r="AQ1771" s="23"/>
      <c r="AR1771" s="23"/>
      <c r="AS1771" s="23"/>
      <c r="AT1771" s="23"/>
      <c r="AU1771" s="23"/>
      <c r="AV1771" s="23"/>
      <c r="AW1771" s="23"/>
      <c r="AX1771" s="23"/>
      <c r="AY1771" s="23"/>
      <c r="AZ1771" s="23"/>
      <c r="BA1771" s="23"/>
      <c r="BB1771" s="23"/>
    </row>
    <row r="1772" spans="5:54" x14ac:dyDescent="0.35"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  <c r="AA1772" s="23"/>
      <c r="AB1772" s="23"/>
      <c r="AC1772" s="23"/>
      <c r="AD1772" s="23"/>
      <c r="AE1772" s="23"/>
      <c r="AF1772" s="23"/>
      <c r="AG1772" s="23"/>
      <c r="AH1772" s="23"/>
      <c r="AI1772" s="23"/>
      <c r="AJ1772" s="23"/>
      <c r="AK1772" s="23"/>
      <c r="AL1772" s="23"/>
      <c r="AM1772" s="23"/>
      <c r="AN1772" s="23"/>
      <c r="AO1772" s="23"/>
      <c r="AP1772" s="23"/>
      <c r="AQ1772" s="23"/>
      <c r="AR1772" s="23"/>
      <c r="AS1772" s="23"/>
      <c r="AT1772" s="23"/>
      <c r="AU1772" s="23"/>
      <c r="AV1772" s="23"/>
      <c r="AW1772" s="23"/>
      <c r="AX1772" s="23"/>
      <c r="AY1772" s="23"/>
      <c r="AZ1772" s="23"/>
      <c r="BA1772" s="23"/>
      <c r="BB1772" s="23"/>
    </row>
    <row r="1773" spans="5:54" x14ac:dyDescent="0.35"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  <c r="AA1773" s="23"/>
      <c r="AB1773" s="23"/>
      <c r="AC1773" s="23"/>
      <c r="AD1773" s="23"/>
      <c r="AE1773" s="23"/>
      <c r="AF1773" s="23"/>
      <c r="AG1773" s="23"/>
      <c r="AH1773" s="23"/>
      <c r="AI1773" s="23"/>
      <c r="AJ1773" s="23"/>
      <c r="AK1773" s="23"/>
      <c r="AL1773" s="23"/>
      <c r="AM1773" s="23"/>
      <c r="AN1773" s="23"/>
      <c r="AO1773" s="23"/>
      <c r="AP1773" s="23"/>
      <c r="AQ1773" s="23"/>
      <c r="AR1773" s="23"/>
      <c r="AS1773" s="23"/>
      <c r="AT1773" s="23"/>
      <c r="AU1773" s="23"/>
      <c r="AV1773" s="23"/>
      <c r="AW1773" s="23"/>
      <c r="AX1773" s="23"/>
      <c r="AY1773" s="23"/>
      <c r="AZ1773" s="23"/>
      <c r="BA1773" s="23"/>
      <c r="BB1773" s="23"/>
    </row>
    <row r="1774" spans="5:54" x14ac:dyDescent="0.35"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  <c r="AA1774" s="23"/>
      <c r="AB1774" s="23"/>
      <c r="AC1774" s="23"/>
      <c r="AD1774" s="23"/>
      <c r="AE1774" s="23"/>
      <c r="AF1774" s="23"/>
      <c r="AG1774" s="23"/>
      <c r="AH1774" s="23"/>
      <c r="AI1774" s="23"/>
      <c r="AJ1774" s="23"/>
      <c r="AK1774" s="23"/>
      <c r="AL1774" s="23"/>
      <c r="AM1774" s="23"/>
      <c r="AN1774" s="23"/>
      <c r="AO1774" s="23"/>
      <c r="AP1774" s="23"/>
      <c r="AQ1774" s="23"/>
      <c r="AR1774" s="23"/>
      <c r="AS1774" s="23"/>
      <c r="AT1774" s="23"/>
      <c r="AU1774" s="23"/>
      <c r="AV1774" s="23"/>
      <c r="AW1774" s="23"/>
      <c r="AX1774" s="23"/>
      <c r="AY1774" s="23"/>
      <c r="AZ1774" s="23"/>
      <c r="BA1774" s="23"/>
      <c r="BB1774" s="23"/>
    </row>
    <row r="1775" spans="5:54" x14ac:dyDescent="0.35"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  <c r="AA1775" s="23"/>
      <c r="AB1775" s="23"/>
      <c r="AC1775" s="23"/>
      <c r="AD1775" s="23"/>
      <c r="AE1775" s="23"/>
      <c r="AF1775" s="23"/>
      <c r="AG1775" s="23"/>
      <c r="AH1775" s="23"/>
      <c r="AI1775" s="23"/>
      <c r="AJ1775" s="23"/>
      <c r="AK1775" s="23"/>
      <c r="AL1775" s="23"/>
      <c r="AM1775" s="23"/>
      <c r="AN1775" s="23"/>
      <c r="AO1775" s="23"/>
      <c r="AP1775" s="23"/>
      <c r="AQ1775" s="23"/>
      <c r="AR1775" s="23"/>
      <c r="AS1775" s="23"/>
      <c r="AT1775" s="23"/>
      <c r="AU1775" s="23"/>
      <c r="AV1775" s="23"/>
      <c r="AW1775" s="23"/>
      <c r="AX1775" s="23"/>
      <c r="AY1775" s="23"/>
      <c r="AZ1775" s="23"/>
      <c r="BA1775" s="23"/>
      <c r="BB1775" s="23"/>
    </row>
    <row r="1776" spans="5:54" x14ac:dyDescent="0.35"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  <c r="AA1776" s="23"/>
      <c r="AB1776" s="23"/>
      <c r="AC1776" s="23"/>
      <c r="AD1776" s="23"/>
      <c r="AE1776" s="23"/>
      <c r="AF1776" s="23"/>
      <c r="AG1776" s="23"/>
      <c r="AH1776" s="23"/>
      <c r="AI1776" s="23"/>
      <c r="AJ1776" s="23"/>
      <c r="AK1776" s="23"/>
      <c r="AL1776" s="23"/>
      <c r="AM1776" s="23"/>
      <c r="AN1776" s="23"/>
      <c r="AO1776" s="23"/>
      <c r="AP1776" s="23"/>
      <c r="AQ1776" s="23"/>
      <c r="AR1776" s="23"/>
      <c r="AS1776" s="23"/>
      <c r="AT1776" s="23"/>
      <c r="AU1776" s="23"/>
      <c r="AV1776" s="23"/>
      <c r="AW1776" s="23"/>
      <c r="AX1776" s="23"/>
      <c r="AY1776" s="23"/>
      <c r="AZ1776" s="23"/>
      <c r="BA1776" s="23"/>
      <c r="BB1776" s="23"/>
    </row>
    <row r="1777" spans="5:54" x14ac:dyDescent="0.35"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  <c r="AA1777" s="23"/>
      <c r="AB1777" s="23"/>
      <c r="AC1777" s="23"/>
      <c r="AD1777" s="23"/>
      <c r="AE1777" s="23"/>
      <c r="AF1777" s="23"/>
      <c r="AG1777" s="23"/>
      <c r="AH1777" s="23"/>
      <c r="AI1777" s="23"/>
      <c r="AJ1777" s="23"/>
      <c r="AK1777" s="23"/>
      <c r="AL1777" s="23"/>
      <c r="AM1777" s="23"/>
      <c r="AN1777" s="23"/>
      <c r="AO1777" s="23"/>
      <c r="AP1777" s="23"/>
      <c r="AQ1777" s="23"/>
      <c r="AR1777" s="23"/>
      <c r="AS1777" s="23"/>
      <c r="AT1777" s="23"/>
      <c r="AU1777" s="23"/>
      <c r="AV1777" s="23"/>
      <c r="AW1777" s="23"/>
      <c r="AX1777" s="23"/>
      <c r="AY1777" s="23"/>
      <c r="AZ1777" s="23"/>
      <c r="BA1777" s="23"/>
      <c r="BB1777" s="23"/>
    </row>
    <row r="1778" spans="5:54" x14ac:dyDescent="0.35"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  <c r="AA1778" s="23"/>
      <c r="AB1778" s="23"/>
      <c r="AC1778" s="23"/>
      <c r="AD1778" s="23"/>
      <c r="AE1778" s="23"/>
      <c r="AF1778" s="23"/>
      <c r="AG1778" s="23"/>
      <c r="AH1778" s="23"/>
      <c r="AI1778" s="23"/>
      <c r="AJ1778" s="23"/>
      <c r="AK1778" s="23"/>
      <c r="AL1778" s="23"/>
      <c r="AM1778" s="23"/>
      <c r="AN1778" s="23"/>
      <c r="AO1778" s="23"/>
      <c r="AP1778" s="23"/>
      <c r="AQ1778" s="23"/>
      <c r="AR1778" s="23"/>
      <c r="AS1778" s="23"/>
      <c r="AT1778" s="23"/>
      <c r="AU1778" s="23"/>
      <c r="AV1778" s="23"/>
      <c r="AW1778" s="23"/>
      <c r="AX1778" s="23"/>
      <c r="AY1778" s="23"/>
      <c r="AZ1778" s="23"/>
      <c r="BA1778" s="23"/>
      <c r="BB1778" s="23"/>
    </row>
    <row r="1779" spans="5:54" x14ac:dyDescent="0.35"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  <c r="AA1779" s="23"/>
      <c r="AB1779" s="23"/>
      <c r="AC1779" s="23"/>
      <c r="AD1779" s="23"/>
      <c r="AE1779" s="23"/>
      <c r="AF1779" s="23"/>
      <c r="AG1779" s="23"/>
      <c r="AH1779" s="23"/>
      <c r="AI1779" s="23"/>
      <c r="AJ1779" s="23"/>
      <c r="AK1779" s="23"/>
      <c r="AL1779" s="23"/>
      <c r="AM1779" s="23"/>
      <c r="AN1779" s="23"/>
      <c r="AO1779" s="23"/>
      <c r="AP1779" s="23"/>
      <c r="AQ1779" s="23"/>
      <c r="AR1779" s="23"/>
      <c r="AS1779" s="23"/>
      <c r="AT1779" s="23"/>
      <c r="AU1779" s="23"/>
      <c r="AV1779" s="23"/>
      <c r="AW1779" s="23"/>
      <c r="AX1779" s="23"/>
      <c r="AY1779" s="23"/>
      <c r="AZ1779" s="23"/>
      <c r="BA1779" s="23"/>
      <c r="BB1779" s="23"/>
    </row>
    <row r="1780" spans="5:54" x14ac:dyDescent="0.35"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  <c r="AA1780" s="23"/>
      <c r="AB1780" s="23"/>
      <c r="AC1780" s="23"/>
      <c r="AD1780" s="23"/>
      <c r="AE1780" s="23"/>
      <c r="AF1780" s="23"/>
      <c r="AG1780" s="23"/>
      <c r="AH1780" s="23"/>
      <c r="AI1780" s="23"/>
      <c r="AJ1780" s="23"/>
      <c r="AK1780" s="23"/>
      <c r="AL1780" s="23"/>
      <c r="AM1780" s="23"/>
      <c r="AN1780" s="23"/>
      <c r="AO1780" s="23"/>
      <c r="AP1780" s="23"/>
      <c r="AQ1780" s="23"/>
      <c r="AR1780" s="23"/>
      <c r="AS1780" s="23"/>
      <c r="AT1780" s="23"/>
      <c r="AU1780" s="23"/>
      <c r="AV1780" s="23"/>
      <c r="AW1780" s="23"/>
      <c r="AX1780" s="23"/>
      <c r="AY1780" s="23"/>
      <c r="AZ1780" s="23"/>
      <c r="BA1780" s="23"/>
      <c r="BB1780" s="23"/>
    </row>
    <row r="1781" spans="5:54" x14ac:dyDescent="0.35"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  <c r="AA1781" s="23"/>
      <c r="AB1781" s="23"/>
      <c r="AC1781" s="23"/>
      <c r="AD1781" s="23"/>
      <c r="AE1781" s="23"/>
      <c r="AF1781" s="23"/>
      <c r="AG1781" s="23"/>
      <c r="AH1781" s="23"/>
      <c r="AI1781" s="23"/>
      <c r="AJ1781" s="23"/>
      <c r="AK1781" s="23"/>
      <c r="AL1781" s="23"/>
      <c r="AM1781" s="23"/>
      <c r="AN1781" s="23"/>
      <c r="AO1781" s="23"/>
      <c r="AP1781" s="23"/>
      <c r="AQ1781" s="23"/>
      <c r="AR1781" s="23"/>
      <c r="AS1781" s="23"/>
      <c r="AT1781" s="23"/>
      <c r="AU1781" s="23"/>
      <c r="AV1781" s="23"/>
      <c r="AW1781" s="23"/>
      <c r="AX1781" s="23"/>
      <c r="AY1781" s="23"/>
      <c r="AZ1781" s="23"/>
      <c r="BA1781" s="23"/>
      <c r="BB1781" s="23"/>
    </row>
    <row r="1782" spans="5:54" x14ac:dyDescent="0.35"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  <c r="AA1782" s="23"/>
      <c r="AB1782" s="23"/>
      <c r="AC1782" s="23"/>
      <c r="AD1782" s="23"/>
      <c r="AE1782" s="23"/>
      <c r="AF1782" s="23"/>
      <c r="AG1782" s="23"/>
      <c r="AH1782" s="23"/>
      <c r="AI1782" s="23"/>
      <c r="AJ1782" s="23"/>
      <c r="AK1782" s="23"/>
      <c r="AL1782" s="23"/>
      <c r="AM1782" s="23"/>
      <c r="AN1782" s="23"/>
      <c r="AO1782" s="23"/>
      <c r="AP1782" s="23"/>
      <c r="AQ1782" s="23"/>
      <c r="AR1782" s="23"/>
      <c r="AS1782" s="23"/>
      <c r="AT1782" s="23"/>
      <c r="AU1782" s="23"/>
      <c r="AV1782" s="23"/>
      <c r="AW1782" s="23"/>
      <c r="AX1782" s="23"/>
      <c r="AY1782" s="23"/>
      <c r="AZ1782" s="23"/>
      <c r="BA1782" s="23"/>
      <c r="BB1782" s="23"/>
    </row>
    <row r="1783" spans="5:54" x14ac:dyDescent="0.35"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  <c r="AA1783" s="23"/>
      <c r="AB1783" s="23"/>
      <c r="AC1783" s="23"/>
      <c r="AD1783" s="23"/>
      <c r="AE1783" s="23"/>
      <c r="AF1783" s="23"/>
      <c r="AG1783" s="23"/>
      <c r="AH1783" s="23"/>
      <c r="AI1783" s="23"/>
      <c r="AJ1783" s="23"/>
      <c r="AK1783" s="23"/>
      <c r="AL1783" s="23"/>
      <c r="AM1783" s="23"/>
      <c r="AN1783" s="23"/>
      <c r="AO1783" s="23"/>
      <c r="AP1783" s="23"/>
      <c r="AQ1783" s="23"/>
      <c r="AR1783" s="23"/>
      <c r="AS1783" s="23"/>
      <c r="AT1783" s="23"/>
      <c r="AU1783" s="23"/>
      <c r="AV1783" s="23"/>
      <c r="AW1783" s="23"/>
      <c r="AX1783" s="23"/>
      <c r="AY1783" s="23"/>
      <c r="AZ1783" s="23"/>
      <c r="BA1783" s="23"/>
      <c r="BB1783" s="23"/>
    </row>
    <row r="1784" spans="5:54" x14ac:dyDescent="0.35"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  <c r="AA1784" s="23"/>
      <c r="AB1784" s="23"/>
      <c r="AC1784" s="23"/>
      <c r="AD1784" s="23"/>
      <c r="AE1784" s="23"/>
      <c r="AF1784" s="23"/>
      <c r="AG1784" s="23"/>
      <c r="AH1784" s="23"/>
      <c r="AI1784" s="23"/>
      <c r="AJ1784" s="23"/>
      <c r="AK1784" s="23"/>
      <c r="AL1784" s="23"/>
      <c r="AM1784" s="23"/>
      <c r="AN1784" s="23"/>
      <c r="AO1784" s="23"/>
      <c r="AP1784" s="23"/>
      <c r="AQ1784" s="23"/>
      <c r="AR1784" s="23"/>
      <c r="AS1784" s="23"/>
      <c r="AT1784" s="23"/>
      <c r="AU1784" s="23"/>
      <c r="AV1784" s="23"/>
      <c r="AW1784" s="23"/>
      <c r="AX1784" s="23"/>
      <c r="AY1784" s="23"/>
      <c r="AZ1784" s="23"/>
      <c r="BA1784" s="23"/>
      <c r="BB1784" s="23"/>
    </row>
    <row r="1785" spans="5:54" x14ac:dyDescent="0.35"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  <c r="AA1785" s="23"/>
      <c r="AB1785" s="23"/>
      <c r="AC1785" s="23"/>
      <c r="AD1785" s="23"/>
      <c r="AE1785" s="23"/>
      <c r="AF1785" s="23"/>
      <c r="AG1785" s="23"/>
      <c r="AH1785" s="23"/>
      <c r="AI1785" s="23"/>
      <c r="AJ1785" s="23"/>
      <c r="AK1785" s="23"/>
      <c r="AL1785" s="23"/>
      <c r="AM1785" s="23"/>
      <c r="AN1785" s="23"/>
      <c r="AO1785" s="23"/>
      <c r="AP1785" s="23"/>
      <c r="AQ1785" s="23"/>
      <c r="AR1785" s="23"/>
      <c r="AS1785" s="23"/>
      <c r="AT1785" s="23"/>
      <c r="AU1785" s="23"/>
      <c r="AV1785" s="23"/>
      <c r="AW1785" s="23"/>
      <c r="AX1785" s="23"/>
      <c r="AY1785" s="23"/>
      <c r="AZ1785" s="23"/>
      <c r="BA1785" s="23"/>
      <c r="BB1785" s="23"/>
    </row>
    <row r="1786" spans="5:54" x14ac:dyDescent="0.35"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  <c r="AA1786" s="23"/>
      <c r="AB1786" s="23"/>
      <c r="AC1786" s="23"/>
      <c r="AD1786" s="23"/>
      <c r="AE1786" s="23"/>
      <c r="AF1786" s="23"/>
      <c r="AG1786" s="23"/>
      <c r="AH1786" s="23"/>
      <c r="AI1786" s="23"/>
      <c r="AJ1786" s="23"/>
      <c r="AK1786" s="23"/>
      <c r="AL1786" s="23"/>
      <c r="AM1786" s="23"/>
      <c r="AN1786" s="23"/>
      <c r="AO1786" s="23"/>
      <c r="AP1786" s="23"/>
      <c r="AQ1786" s="23"/>
      <c r="AR1786" s="23"/>
      <c r="AS1786" s="23"/>
      <c r="AT1786" s="23"/>
      <c r="AU1786" s="23"/>
      <c r="AV1786" s="23"/>
      <c r="AW1786" s="23"/>
      <c r="AX1786" s="23"/>
      <c r="AY1786" s="23"/>
      <c r="AZ1786" s="23"/>
      <c r="BA1786" s="23"/>
      <c r="BB1786" s="23"/>
    </row>
    <row r="1787" spans="5:54" x14ac:dyDescent="0.35"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  <c r="AA1787" s="23"/>
      <c r="AB1787" s="23"/>
      <c r="AC1787" s="23"/>
      <c r="AD1787" s="23"/>
      <c r="AE1787" s="23"/>
      <c r="AF1787" s="23"/>
      <c r="AG1787" s="23"/>
      <c r="AH1787" s="23"/>
      <c r="AI1787" s="23"/>
      <c r="AJ1787" s="23"/>
      <c r="AK1787" s="23"/>
      <c r="AL1787" s="23"/>
      <c r="AM1787" s="23"/>
      <c r="AN1787" s="23"/>
      <c r="AO1787" s="23"/>
      <c r="AP1787" s="23"/>
      <c r="AQ1787" s="23"/>
      <c r="AR1787" s="23"/>
      <c r="AS1787" s="23"/>
      <c r="AT1787" s="23"/>
      <c r="AU1787" s="23"/>
      <c r="AV1787" s="23"/>
      <c r="AW1787" s="23"/>
      <c r="AX1787" s="23"/>
      <c r="AY1787" s="23"/>
      <c r="AZ1787" s="23"/>
      <c r="BA1787" s="23"/>
      <c r="BB1787" s="23"/>
    </row>
    <row r="1788" spans="5:54" x14ac:dyDescent="0.35"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  <c r="AA1788" s="23"/>
      <c r="AB1788" s="23"/>
      <c r="AC1788" s="23"/>
      <c r="AD1788" s="23"/>
      <c r="AE1788" s="23"/>
      <c r="AF1788" s="23"/>
      <c r="AG1788" s="23"/>
      <c r="AH1788" s="23"/>
      <c r="AI1788" s="23"/>
      <c r="AJ1788" s="23"/>
      <c r="AK1788" s="23"/>
      <c r="AL1788" s="23"/>
      <c r="AM1788" s="23"/>
      <c r="AN1788" s="23"/>
      <c r="AO1788" s="23"/>
      <c r="AP1788" s="23"/>
      <c r="AQ1788" s="23"/>
      <c r="AR1788" s="23"/>
      <c r="AS1788" s="23"/>
      <c r="AT1788" s="23"/>
      <c r="AU1788" s="23"/>
      <c r="AV1788" s="23"/>
      <c r="AW1788" s="23"/>
      <c r="AX1788" s="23"/>
      <c r="AY1788" s="23"/>
      <c r="AZ1788" s="23"/>
      <c r="BA1788" s="23"/>
      <c r="BB1788" s="23"/>
    </row>
    <row r="1789" spans="5:54" x14ac:dyDescent="0.35"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  <c r="AA1789" s="23"/>
      <c r="AB1789" s="23"/>
      <c r="AC1789" s="23"/>
      <c r="AD1789" s="23"/>
      <c r="AE1789" s="23"/>
      <c r="AF1789" s="23"/>
      <c r="AG1789" s="23"/>
      <c r="AH1789" s="23"/>
      <c r="AI1789" s="23"/>
      <c r="AJ1789" s="23"/>
      <c r="AK1789" s="23"/>
      <c r="AL1789" s="23"/>
      <c r="AM1789" s="23"/>
      <c r="AN1789" s="23"/>
      <c r="AO1789" s="23"/>
      <c r="AP1789" s="23"/>
      <c r="AQ1789" s="23"/>
      <c r="AR1789" s="23"/>
      <c r="AS1789" s="23"/>
      <c r="AT1789" s="23"/>
      <c r="AU1789" s="23"/>
      <c r="AV1789" s="23"/>
      <c r="AW1789" s="23"/>
      <c r="AX1789" s="23"/>
      <c r="AY1789" s="23"/>
      <c r="AZ1789" s="23"/>
      <c r="BA1789" s="23"/>
      <c r="BB1789" s="23"/>
    </row>
    <row r="1790" spans="5:54" x14ac:dyDescent="0.35"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  <c r="AA1790" s="23"/>
      <c r="AB1790" s="23"/>
      <c r="AC1790" s="23"/>
      <c r="AD1790" s="23"/>
      <c r="AE1790" s="23"/>
      <c r="AF1790" s="23"/>
      <c r="AG1790" s="23"/>
      <c r="AH1790" s="23"/>
      <c r="AI1790" s="23"/>
      <c r="AJ1790" s="23"/>
      <c r="AK1790" s="23"/>
      <c r="AL1790" s="23"/>
      <c r="AM1790" s="23"/>
      <c r="AN1790" s="23"/>
      <c r="AO1790" s="23"/>
      <c r="AP1790" s="23"/>
      <c r="AQ1790" s="23"/>
      <c r="AR1790" s="23"/>
      <c r="AS1790" s="23"/>
      <c r="AT1790" s="23"/>
      <c r="AU1790" s="23"/>
      <c r="AV1790" s="23"/>
      <c r="AW1790" s="23"/>
      <c r="AX1790" s="23"/>
      <c r="AY1790" s="23"/>
      <c r="AZ1790" s="23"/>
      <c r="BA1790" s="23"/>
      <c r="BB1790" s="23"/>
    </row>
    <row r="1791" spans="5:54" x14ac:dyDescent="0.35"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  <c r="AA1791" s="23"/>
      <c r="AB1791" s="23"/>
      <c r="AC1791" s="23"/>
      <c r="AD1791" s="23"/>
      <c r="AE1791" s="23"/>
      <c r="AF1791" s="23"/>
      <c r="AG1791" s="23"/>
      <c r="AH1791" s="23"/>
      <c r="AI1791" s="23"/>
      <c r="AJ1791" s="23"/>
      <c r="AK1791" s="23"/>
      <c r="AL1791" s="23"/>
      <c r="AM1791" s="23"/>
      <c r="AN1791" s="23"/>
      <c r="AO1791" s="23"/>
      <c r="AP1791" s="23"/>
      <c r="AQ1791" s="23"/>
      <c r="AR1791" s="23"/>
      <c r="AS1791" s="23"/>
      <c r="AT1791" s="23"/>
      <c r="AU1791" s="23"/>
      <c r="AV1791" s="23"/>
      <c r="AW1791" s="23"/>
      <c r="AX1791" s="23"/>
      <c r="AY1791" s="23"/>
      <c r="AZ1791" s="23"/>
      <c r="BA1791" s="23"/>
      <c r="BB1791" s="23"/>
    </row>
    <row r="1792" spans="5:54" x14ac:dyDescent="0.35"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  <c r="AA1792" s="23"/>
      <c r="AB1792" s="23"/>
      <c r="AC1792" s="23"/>
      <c r="AD1792" s="23"/>
      <c r="AE1792" s="23"/>
      <c r="AF1792" s="23"/>
      <c r="AG1792" s="23"/>
      <c r="AH1792" s="23"/>
      <c r="AI1792" s="23"/>
      <c r="AJ1792" s="23"/>
      <c r="AK1792" s="23"/>
      <c r="AL1792" s="23"/>
      <c r="AM1792" s="23"/>
      <c r="AN1792" s="23"/>
      <c r="AO1792" s="23"/>
      <c r="AP1792" s="23"/>
      <c r="AQ1792" s="23"/>
      <c r="AR1792" s="23"/>
      <c r="AS1792" s="23"/>
      <c r="AT1792" s="23"/>
      <c r="AU1792" s="23"/>
      <c r="AV1792" s="23"/>
      <c r="AW1792" s="23"/>
      <c r="AX1792" s="23"/>
      <c r="AY1792" s="23"/>
      <c r="AZ1792" s="23"/>
      <c r="BA1792" s="23"/>
      <c r="BB1792" s="23"/>
    </row>
    <row r="1793" spans="5:54" x14ac:dyDescent="0.35"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  <c r="AA1793" s="23"/>
      <c r="AB1793" s="23"/>
      <c r="AC1793" s="23"/>
      <c r="AD1793" s="23"/>
      <c r="AE1793" s="23"/>
      <c r="AF1793" s="23"/>
      <c r="AG1793" s="23"/>
      <c r="AH1793" s="23"/>
      <c r="AI1793" s="23"/>
      <c r="AJ1793" s="23"/>
      <c r="AK1793" s="23"/>
      <c r="AL1793" s="23"/>
      <c r="AM1793" s="23"/>
      <c r="AN1793" s="23"/>
      <c r="AO1793" s="23"/>
      <c r="AP1793" s="23"/>
      <c r="AQ1793" s="23"/>
      <c r="AR1793" s="23"/>
      <c r="AS1793" s="23"/>
      <c r="AT1793" s="23"/>
      <c r="AU1793" s="23"/>
      <c r="AV1793" s="23"/>
      <c r="AW1793" s="23"/>
      <c r="AX1793" s="23"/>
      <c r="AY1793" s="23"/>
      <c r="AZ1793" s="23"/>
      <c r="BA1793" s="23"/>
      <c r="BB1793" s="23"/>
    </row>
    <row r="1794" spans="5:54" x14ac:dyDescent="0.35"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  <c r="AA1794" s="23"/>
      <c r="AB1794" s="23"/>
      <c r="AC1794" s="23"/>
      <c r="AD1794" s="23"/>
      <c r="AE1794" s="23"/>
      <c r="AF1794" s="23"/>
      <c r="AG1794" s="23"/>
      <c r="AH1794" s="23"/>
      <c r="AI1794" s="23"/>
      <c r="AJ1794" s="23"/>
      <c r="AK1794" s="23"/>
      <c r="AL1794" s="23"/>
      <c r="AM1794" s="23"/>
      <c r="AN1794" s="23"/>
      <c r="AO1794" s="23"/>
      <c r="AP1794" s="23"/>
      <c r="AQ1794" s="23"/>
      <c r="AR1794" s="23"/>
      <c r="AS1794" s="23"/>
      <c r="AT1794" s="23"/>
      <c r="AU1794" s="23"/>
      <c r="AV1794" s="23"/>
      <c r="AW1794" s="23"/>
      <c r="AX1794" s="23"/>
      <c r="AY1794" s="23"/>
      <c r="AZ1794" s="23"/>
      <c r="BA1794" s="23"/>
      <c r="BB1794" s="23"/>
    </row>
    <row r="1795" spans="5:54" x14ac:dyDescent="0.35"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  <c r="AA1795" s="23"/>
      <c r="AB1795" s="23"/>
      <c r="AC1795" s="23"/>
      <c r="AD1795" s="23"/>
      <c r="AE1795" s="23"/>
      <c r="AF1795" s="23"/>
      <c r="AG1795" s="23"/>
      <c r="AH1795" s="23"/>
      <c r="AI1795" s="23"/>
      <c r="AJ1795" s="23"/>
      <c r="AK1795" s="23"/>
      <c r="AL1795" s="23"/>
      <c r="AM1795" s="23"/>
      <c r="AN1795" s="23"/>
      <c r="AO1795" s="23"/>
      <c r="AP1795" s="23"/>
      <c r="AQ1795" s="23"/>
      <c r="AR1795" s="23"/>
      <c r="AS1795" s="23"/>
      <c r="AT1795" s="23"/>
      <c r="AU1795" s="23"/>
      <c r="AV1795" s="23"/>
      <c r="AW1795" s="23"/>
      <c r="AX1795" s="23"/>
      <c r="AY1795" s="23"/>
      <c r="AZ1795" s="23"/>
      <c r="BA1795" s="23"/>
      <c r="BB1795" s="23"/>
    </row>
    <row r="1796" spans="5:54" x14ac:dyDescent="0.35"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  <c r="AA1796" s="23"/>
      <c r="AB1796" s="23"/>
      <c r="AC1796" s="23"/>
      <c r="AD1796" s="23"/>
      <c r="AE1796" s="23"/>
      <c r="AF1796" s="23"/>
      <c r="AG1796" s="23"/>
      <c r="AH1796" s="23"/>
      <c r="AI1796" s="23"/>
      <c r="AJ1796" s="23"/>
      <c r="AK1796" s="23"/>
      <c r="AL1796" s="23"/>
      <c r="AM1796" s="23"/>
      <c r="AN1796" s="23"/>
      <c r="AO1796" s="23"/>
      <c r="AP1796" s="23"/>
      <c r="AQ1796" s="23"/>
      <c r="AR1796" s="23"/>
      <c r="AS1796" s="23"/>
      <c r="AT1796" s="23"/>
      <c r="AU1796" s="23"/>
      <c r="AV1796" s="23"/>
      <c r="AW1796" s="23"/>
      <c r="AX1796" s="23"/>
      <c r="AY1796" s="23"/>
      <c r="AZ1796" s="23"/>
      <c r="BA1796" s="23"/>
      <c r="BB1796" s="23"/>
    </row>
    <row r="1797" spans="5:54" x14ac:dyDescent="0.35"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  <c r="AA1797" s="23"/>
      <c r="AB1797" s="23"/>
      <c r="AC1797" s="23"/>
      <c r="AD1797" s="23"/>
      <c r="AE1797" s="23"/>
      <c r="AF1797" s="23"/>
      <c r="AG1797" s="23"/>
      <c r="AH1797" s="23"/>
      <c r="AI1797" s="23"/>
      <c r="AJ1797" s="23"/>
      <c r="AK1797" s="23"/>
      <c r="AL1797" s="23"/>
      <c r="AM1797" s="23"/>
      <c r="AN1797" s="23"/>
      <c r="AO1797" s="23"/>
      <c r="AP1797" s="23"/>
      <c r="AQ1797" s="23"/>
      <c r="AR1797" s="23"/>
      <c r="AS1797" s="23"/>
      <c r="AT1797" s="23"/>
      <c r="AU1797" s="23"/>
      <c r="AV1797" s="23"/>
      <c r="AW1797" s="23"/>
      <c r="AX1797" s="23"/>
      <c r="AY1797" s="23"/>
      <c r="AZ1797" s="23"/>
      <c r="BA1797" s="23"/>
      <c r="BB1797" s="23"/>
    </row>
    <row r="1798" spans="5:54" x14ac:dyDescent="0.35"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  <c r="AA1798" s="23"/>
      <c r="AB1798" s="23"/>
      <c r="AC1798" s="23"/>
      <c r="AD1798" s="23"/>
      <c r="AE1798" s="23"/>
      <c r="AF1798" s="23"/>
      <c r="AG1798" s="23"/>
      <c r="AH1798" s="23"/>
      <c r="AI1798" s="23"/>
      <c r="AJ1798" s="23"/>
      <c r="AK1798" s="23"/>
      <c r="AL1798" s="23"/>
      <c r="AM1798" s="23"/>
      <c r="AN1798" s="23"/>
      <c r="AO1798" s="23"/>
      <c r="AP1798" s="23"/>
      <c r="AQ1798" s="23"/>
      <c r="AR1798" s="23"/>
      <c r="AS1798" s="23"/>
      <c r="AT1798" s="23"/>
      <c r="AU1798" s="23"/>
      <c r="AV1798" s="23"/>
      <c r="AW1798" s="23"/>
      <c r="AX1798" s="23"/>
      <c r="AY1798" s="23"/>
      <c r="AZ1798" s="23"/>
      <c r="BA1798" s="23"/>
      <c r="BB1798" s="23"/>
    </row>
    <row r="1799" spans="5:54" x14ac:dyDescent="0.35"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  <c r="AA1799" s="23"/>
      <c r="AB1799" s="23"/>
      <c r="AC1799" s="23"/>
      <c r="AD1799" s="23"/>
      <c r="AE1799" s="23"/>
      <c r="AF1799" s="23"/>
      <c r="AG1799" s="23"/>
      <c r="AH1799" s="23"/>
      <c r="AI1799" s="23"/>
      <c r="AJ1799" s="23"/>
      <c r="AK1799" s="23"/>
      <c r="AL1799" s="23"/>
      <c r="AM1799" s="23"/>
      <c r="AN1799" s="23"/>
      <c r="AO1799" s="23"/>
      <c r="AP1799" s="23"/>
      <c r="AQ1799" s="23"/>
      <c r="AR1799" s="23"/>
      <c r="AS1799" s="23"/>
      <c r="AT1799" s="23"/>
      <c r="AU1799" s="23"/>
      <c r="AV1799" s="23"/>
      <c r="AW1799" s="23"/>
      <c r="AX1799" s="23"/>
      <c r="AY1799" s="23"/>
      <c r="AZ1799" s="23"/>
      <c r="BA1799" s="23"/>
      <c r="BB1799" s="23"/>
    </row>
    <row r="1800" spans="5:54" x14ac:dyDescent="0.35"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  <c r="AA1800" s="23"/>
      <c r="AB1800" s="23"/>
      <c r="AC1800" s="23"/>
      <c r="AD1800" s="23"/>
      <c r="AE1800" s="23"/>
      <c r="AF1800" s="23"/>
      <c r="AG1800" s="23"/>
      <c r="AH1800" s="23"/>
      <c r="AI1800" s="23"/>
      <c r="AJ1800" s="23"/>
      <c r="AK1800" s="23"/>
      <c r="AL1800" s="23"/>
      <c r="AM1800" s="23"/>
      <c r="AN1800" s="23"/>
      <c r="AO1800" s="23"/>
      <c r="AP1800" s="23"/>
      <c r="AQ1800" s="23"/>
      <c r="AR1800" s="23"/>
      <c r="AS1800" s="23"/>
      <c r="AT1800" s="23"/>
      <c r="AU1800" s="23"/>
      <c r="AV1800" s="23"/>
      <c r="AW1800" s="23"/>
      <c r="AX1800" s="23"/>
      <c r="AY1800" s="23"/>
      <c r="AZ1800" s="23"/>
      <c r="BA1800" s="23"/>
      <c r="BB1800" s="23"/>
    </row>
    <row r="1801" spans="5:54" x14ac:dyDescent="0.35"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  <c r="AA1801" s="23"/>
      <c r="AB1801" s="23"/>
      <c r="AC1801" s="23"/>
      <c r="AD1801" s="23"/>
      <c r="AE1801" s="23"/>
      <c r="AF1801" s="23"/>
      <c r="AG1801" s="23"/>
      <c r="AH1801" s="23"/>
      <c r="AI1801" s="23"/>
      <c r="AJ1801" s="23"/>
      <c r="AK1801" s="23"/>
      <c r="AL1801" s="23"/>
      <c r="AM1801" s="23"/>
      <c r="AN1801" s="23"/>
      <c r="AO1801" s="23"/>
      <c r="AP1801" s="23"/>
      <c r="AQ1801" s="23"/>
      <c r="AR1801" s="23"/>
      <c r="AS1801" s="23"/>
      <c r="AT1801" s="23"/>
      <c r="AU1801" s="23"/>
      <c r="AV1801" s="23"/>
      <c r="AW1801" s="23"/>
      <c r="AX1801" s="23"/>
      <c r="AY1801" s="23"/>
      <c r="AZ1801" s="23"/>
      <c r="BA1801" s="23"/>
      <c r="BB1801" s="23"/>
    </row>
    <row r="1802" spans="5:54" x14ac:dyDescent="0.35"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  <c r="AA1802" s="23"/>
      <c r="AB1802" s="23"/>
      <c r="AC1802" s="23"/>
      <c r="AD1802" s="23"/>
      <c r="AE1802" s="23"/>
      <c r="AF1802" s="23"/>
      <c r="AG1802" s="23"/>
      <c r="AH1802" s="23"/>
      <c r="AI1802" s="23"/>
      <c r="AJ1802" s="23"/>
      <c r="AK1802" s="23"/>
      <c r="AL1802" s="23"/>
      <c r="AM1802" s="23"/>
      <c r="AN1802" s="23"/>
      <c r="AO1802" s="23"/>
      <c r="AP1802" s="23"/>
      <c r="AQ1802" s="23"/>
      <c r="AR1802" s="23"/>
      <c r="AS1802" s="23"/>
      <c r="AT1802" s="23"/>
      <c r="AU1802" s="23"/>
      <c r="AV1802" s="23"/>
      <c r="AW1802" s="23"/>
      <c r="AX1802" s="23"/>
      <c r="AY1802" s="23"/>
      <c r="AZ1802" s="23"/>
      <c r="BA1802" s="23"/>
      <c r="BB1802" s="23"/>
    </row>
    <row r="1803" spans="5:54" x14ac:dyDescent="0.35"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  <c r="AA1803" s="23"/>
      <c r="AB1803" s="23"/>
      <c r="AC1803" s="23"/>
      <c r="AD1803" s="23"/>
      <c r="AE1803" s="23"/>
      <c r="AF1803" s="23"/>
      <c r="AG1803" s="23"/>
      <c r="AH1803" s="23"/>
      <c r="AI1803" s="23"/>
      <c r="AJ1803" s="23"/>
      <c r="AK1803" s="23"/>
      <c r="AL1803" s="23"/>
      <c r="AM1803" s="23"/>
      <c r="AN1803" s="23"/>
      <c r="AO1803" s="23"/>
      <c r="AP1803" s="23"/>
      <c r="AQ1803" s="23"/>
      <c r="AR1803" s="23"/>
      <c r="AS1803" s="23"/>
      <c r="AT1803" s="23"/>
      <c r="AU1803" s="23"/>
      <c r="AV1803" s="23"/>
      <c r="AW1803" s="23"/>
      <c r="AX1803" s="23"/>
      <c r="AY1803" s="23"/>
      <c r="AZ1803" s="23"/>
      <c r="BA1803" s="23"/>
      <c r="BB1803" s="23"/>
    </row>
    <row r="1804" spans="5:54" x14ac:dyDescent="0.35"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  <c r="AA1804" s="23"/>
      <c r="AB1804" s="23"/>
      <c r="AC1804" s="23"/>
      <c r="AD1804" s="23"/>
      <c r="AE1804" s="23"/>
      <c r="AF1804" s="23"/>
      <c r="AG1804" s="23"/>
      <c r="AH1804" s="23"/>
      <c r="AI1804" s="23"/>
      <c r="AJ1804" s="23"/>
      <c r="AK1804" s="23"/>
      <c r="AL1804" s="23"/>
      <c r="AM1804" s="23"/>
      <c r="AN1804" s="23"/>
      <c r="AO1804" s="23"/>
      <c r="AP1804" s="23"/>
      <c r="AQ1804" s="23"/>
      <c r="AR1804" s="23"/>
      <c r="AS1804" s="23"/>
      <c r="AT1804" s="23"/>
      <c r="AU1804" s="23"/>
      <c r="AV1804" s="23"/>
      <c r="AW1804" s="23"/>
      <c r="AX1804" s="23"/>
      <c r="AY1804" s="23"/>
      <c r="AZ1804" s="23"/>
      <c r="BA1804" s="23"/>
      <c r="BB1804" s="23"/>
    </row>
    <row r="1805" spans="5:54" x14ac:dyDescent="0.35"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  <c r="AA1805" s="23"/>
      <c r="AB1805" s="23"/>
      <c r="AC1805" s="23"/>
      <c r="AD1805" s="23"/>
      <c r="AE1805" s="23"/>
      <c r="AF1805" s="23"/>
      <c r="AG1805" s="23"/>
      <c r="AH1805" s="23"/>
      <c r="AI1805" s="23"/>
      <c r="AJ1805" s="23"/>
      <c r="AK1805" s="23"/>
      <c r="AL1805" s="23"/>
      <c r="AM1805" s="23"/>
      <c r="AN1805" s="23"/>
      <c r="AO1805" s="23"/>
      <c r="AP1805" s="23"/>
      <c r="AQ1805" s="23"/>
      <c r="AR1805" s="23"/>
      <c r="AS1805" s="23"/>
      <c r="AT1805" s="23"/>
      <c r="AU1805" s="23"/>
      <c r="AV1805" s="23"/>
      <c r="AW1805" s="23"/>
      <c r="AX1805" s="23"/>
      <c r="AY1805" s="23"/>
      <c r="AZ1805" s="23"/>
      <c r="BA1805" s="23"/>
      <c r="BB1805" s="23"/>
    </row>
    <row r="1806" spans="5:54" x14ac:dyDescent="0.35"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  <c r="AA1806" s="23"/>
      <c r="AB1806" s="23"/>
      <c r="AC1806" s="23"/>
      <c r="AD1806" s="23"/>
      <c r="AE1806" s="23"/>
      <c r="AF1806" s="23"/>
      <c r="AG1806" s="23"/>
      <c r="AH1806" s="23"/>
      <c r="AI1806" s="23"/>
      <c r="AJ1806" s="23"/>
      <c r="AK1806" s="23"/>
      <c r="AL1806" s="23"/>
      <c r="AM1806" s="23"/>
      <c r="AN1806" s="23"/>
      <c r="AO1806" s="23"/>
      <c r="AP1806" s="23"/>
      <c r="AQ1806" s="23"/>
      <c r="AR1806" s="23"/>
      <c r="AS1806" s="23"/>
      <c r="AT1806" s="23"/>
      <c r="AU1806" s="23"/>
      <c r="AV1806" s="23"/>
      <c r="AW1806" s="23"/>
      <c r="AX1806" s="23"/>
      <c r="AY1806" s="23"/>
      <c r="AZ1806" s="23"/>
      <c r="BA1806" s="23"/>
      <c r="BB1806" s="23"/>
    </row>
    <row r="1807" spans="5:54" x14ac:dyDescent="0.35"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  <c r="AA1807" s="23"/>
      <c r="AB1807" s="23"/>
      <c r="AC1807" s="23"/>
      <c r="AD1807" s="23"/>
      <c r="AE1807" s="23"/>
      <c r="AF1807" s="23"/>
      <c r="AG1807" s="23"/>
      <c r="AH1807" s="23"/>
      <c r="AI1807" s="23"/>
      <c r="AJ1807" s="23"/>
      <c r="AK1807" s="23"/>
      <c r="AL1807" s="23"/>
      <c r="AM1807" s="23"/>
      <c r="AN1807" s="23"/>
      <c r="AO1807" s="23"/>
      <c r="AP1807" s="23"/>
      <c r="AQ1807" s="23"/>
      <c r="AR1807" s="23"/>
      <c r="AS1807" s="23"/>
      <c r="AT1807" s="23"/>
      <c r="AU1807" s="23"/>
      <c r="AV1807" s="23"/>
      <c r="AW1807" s="23"/>
      <c r="AX1807" s="23"/>
      <c r="AY1807" s="23"/>
      <c r="AZ1807" s="23"/>
      <c r="BA1807" s="23"/>
      <c r="BB1807" s="23"/>
    </row>
    <row r="1808" spans="5:54" x14ac:dyDescent="0.35"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  <c r="AA1808" s="23"/>
      <c r="AB1808" s="23"/>
      <c r="AC1808" s="23"/>
      <c r="AD1808" s="23"/>
      <c r="AE1808" s="23"/>
      <c r="AF1808" s="23"/>
      <c r="AG1808" s="23"/>
      <c r="AH1808" s="23"/>
      <c r="AI1808" s="23"/>
      <c r="AJ1808" s="23"/>
      <c r="AK1808" s="23"/>
      <c r="AL1808" s="23"/>
      <c r="AM1808" s="23"/>
      <c r="AN1808" s="23"/>
      <c r="AO1808" s="23"/>
      <c r="AP1808" s="23"/>
      <c r="AQ1808" s="23"/>
      <c r="AR1808" s="23"/>
      <c r="AS1808" s="23"/>
      <c r="AT1808" s="23"/>
      <c r="AU1808" s="23"/>
      <c r="AV1808" s="23"/>
      <c r="AW1808" s="23"/>
      <c r="AX1808" s="23"/>
      <c r="AY1808" s="23"/>
      <c r="AZ1808" s="23"/>
      <c r="BA1808" s="23"/>
      <c r="BB1808" s="23"/>
    </row>
    <row r="1809" spans="5:54" x14ac:dyDescent="0.35"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  <c r="AA1809" s="23"/>
      <c r="AB1809" s="23"/>
      <c r="AC1809" s="23"/>
      <c r="AD1809" s="23"/>
      <c r="AE1809" s="23"/>
      <c r="AF1809" s="23"/>
      <c r="AG1809" s="23"/>
      <c r="AH1809" s="23"/>
      <c r="AI1809" s="23"/>
      <c r="AJ1809" s="23"/>
      <c r="AK1809" s="23"/>
      <c r="AL1809" s="23"/>
      <c r="AM1809" s="23"/>
      <c r="AN1809" s="23"/>
      <c r="AO1809" s="23"/>
      <c r="AP1809" s="23"/>
      <c r="AQ1809" s="23"/>
      <c r="AR1809" s="23"/>
      <c r="AS1809" s="23"/>
      <c r="AT1809" s="23"/>
      <c r="AU1809" s="23"/>
      <c r="AV1809" s="23"/>
      <c r="AW1809" s="23"/>
      <c r="AX1809" s="23"/>
      <c r="AY1809" s="23"/>
      <c r="AZ1809" s="23"/>
      <c r="BA1809" s="23"/>
      <c r="BB1809" s="23"/>
    </row>
    <row r="1810" spans="5:54" x14ac:dyDescent="0.35"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  <c r="AA1810" s="23"/>
      <c r="AB1810" s="23"/>
      <c r="AC1810" s="23"/>
      <c r="AD1810" s="23"/>
      <c r="AE1810" s="23"/>
      <c r="AF1810" s="23"/>
      <c r="AG1810" s="23"/>
      <c r="AH1810" s="23"/>
      <c r="AI1810" s="23"/>
      <c r="AJ1810" s="23"/>
      <c r="AK1810" s="23"/>
      <c r="AL1810" s="23"/>
      <c r="AM1810" s="23"/>
      <c r="AN1810" s="23"/>
      <c r="AO1810" s="23"/>
      <c r="AP1810" s="23"/>
      <c r="AQ1810" s="23"/>
      <c r="AR1810" s="23"/>
      <c r="AS1810" s="23"/>
      <c r="AT1810" s="23"/>
      <c r="AU1810" s="23"/>
      <c r="AV1810" s="23"/>
      <c r="AW1810" s="23"/>
      <c r="AX1810" s="23"/>
      <c r="AY1810" s="23"/>
      <c r="AZ1810" s="23"/>
      <c r="BA1810" s="23"/>
      <c r="BB1810" s="23"/>
    </row>
    <row r="1811" spans="5:54" x14ac:dyDescent="0.35"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  <c r="AA1811" s="23"/>
      <c r="AB1811" s="23"/>
      <c r="AC1811" s="23"/>
      <c r="AD1811" s="23"/>
      <c r="AE1811" s="23"/>
      <c r="AF1811" s="23"/>
      <c r="AG1811" s="23"/>
      <c r="AH1811" s="23"/>
      <c r="AI1811" s="23"/>
      <c r="AJ1811" s="23"/>
      <c r="AK1811" s="23"/>
      <c r="AL1811" s="23"/>
      <c r="AM1811" s="23"/>
      <c r="AN1811" s="23"/>
      <c r="AO1811" s="23"/>
      <c r="AP1811" s="23"/>
      <c r="AQ1811" s="23"/>
      <c r="AR1811" s="23"/>
      <c r="AS1811" s="23"/>
      <c r="AT1811" s="23"/>
      <c r="AU1811" s="23"/>
      <c r="AV1811" s="23"/>
      <c r="AW1811" s="23"/>
      <c r="AX1811" s="23"/>
      <c r="AY1811" s="23"/>
      <c r="AZ1811" s="23"/>
      <c r="BA1811" s="23"/>
      <c r="BB1811" s="23"/>
    </row>
    <row r="1812" spans="5:54" x14ac:dyDescent="0.35"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  <c r="AA1812" s="23"/>
      <c r="AB1812" s="23"/>
      <c r="AC1812" s="23"/>
      <c r="AD1812" s="23"/>
      <c r="AE1812" s="23"/>
      <c r="AF1812" s="23"/>
      <c r="AG1812" s="23"/>
      <c r="AH1812" s="23"/>
      <c r="AI1812" s="23"/>
      <c r="AJ1812" s="23"/>
      <c r="AK1812" s="23"/>
      <c r="AL1812" s="23"/>
      <c r="AM1812" s="23"/>
      <c r="AN1812" s="23"/>
      <c r="AO1812" s="23"/>
      <c r="AP1812" s="23"/>
      <c r="AQ1812" s="23"/>
      <c r="AR1812" s="23"/>
      <c r="AS1812" s="23"/>
      <c r="AT1812" s="23"/>
      <c r="AU1812" s="23"/>
      <c r="AV1812" s="23"/>
      <c r="AW1812" s="23"/>
      <c r="AX1812" s="23"/>
      <c r="AY1812" s="23"/>
      <c r="AZ1812" s="23"/>
      <c r="BA1812" s="23"/>
      <c r="BB1812" s="23"/>
    </row>
    <row r="1813" spans="5:54" x14ac:dyDescent="0.35"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  <c r="AA1813" s="23"/>
      <c r="AB1813" s="23"/>
      <c r="AC1813" s="23"/>
      <c r="AD1813" s="23"/>
      <c r="AE1813" s="23"/>
      <c r="AF1813" s="23"/>
      <c r="AG1813" s="23"/>
      <c r="AH1813" s="23"/>
      <c r="AI1813" s="23"/>
      <c r="AJ1813" s="23"/>
      <c r="AK1813" s="23"/>
      <c r="AL1813" s="23"/>
      <c r="AM1813" s="23"/>
      <c r="AN1813" s="23"/>
      <c r="AO1813" s="23"/>
      <c r="AP1813" s="23"/>
      <c r="AQ1813" s="23"/>
      <c r="AR1813" s="23"/>
      <c r="AS1813" s="23"/>
      <c r="AT1813" s="23"/>
      <c r="AU1813" s="23"/>
      <c r="AV1813" s="23"/>
      <c r="AW1813" s="23"/>
      <c r="AX1813" s="23"/>
      <c r="AY1813" s="23"/>
      <c r="AZ1813" s="23"/>
      <c r="BA1813" s="23"/>
      <c r="BB1813" s="23"/>
    </row>
    <row r="1814" spans="5:54" x14ac:dyDescent="0.35"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  <c r="AA1814" s="23"/>
      <c r="AB1814" s="23"/>
      <c r="AC1814" s="23"/>
      <c r="AD1814" s="23"/>
      <c r="AE1814" s="23"/>
      <c r="AF1814" s="23"/>
      <c r="AG1814" s="23"/>
      <c r="AH1814" s="23"/>
      <c r="AI1814" s="23"/>
      <c r="AJ1814" s="23"/>
      <c r="AK1814" s="23"/>
      <c r="AL1814" s="23"/>
      <c r="AM1814" s="23"/>
      <c r="AN1814" s="23"/>
      <c r="AO1814" s="23"/>
      <c r="AP1814" s="23"/>
      <c r="AQ1814" s="23"/>
      <c r="AR1814" s="23"/>
      <c r="AS1814" s="23"/>
      <c r="AT1814" s="23"/>
      <c r="AU1814" s="23"/>
      <c r="AV1814" s="23"/>
      <c r="AW1814" s="23"/>
      <c r="AX1814" s="23"/>
      <c r="AY1814" s="23"/>
      <c r="AZ1814" s="23"/>
      <c r="BA1814" s="23"/>
      <c r="BB1814" s="23"/>
    </row>
    <row r="1815" spans="5:54" x14ac:dyDescent="0.35"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  <c r="AA1815" s="23"/>
      <c r="AB1815" s="23"/>
      <c r="AC1815" s="23"/>
      <c r="AD1815" s="23"/>
      <c r="AE1815" s="23"/>
      <c r="AF1815" s="23"/>
      <c r="AG1815" s="23"/>
      <c r="AH1815" s="23"/>
      <c r="AI1815" s="23"/>
      <c r="AJ1815" s="23"/>
      <c r="AK1815" s="23"/>
      <c r="AL1815" s="23"/>
      <c r="AM1815" s="23"/>
      <c r="AN1815" s="23"/>
      <c r="AO1815" s="23"/>
      <c r="AP1815" s="23"/>
      <c r="AQ1815" s="23"/>
      <c r="AR1815" s="23"/>
      <c r="AS1815" s="23"/>
      <c r="AT1815" s="23"/>
      <c r="AU1815" s="23"/>
      <c r="AV1815" s="23"/>
      <c r="AW1815" s="23"/>
      <c r="AX1815" s="23"/>
      <c r="AY1815" s="23"/>
      <c r="AZ1815" s="23"/>
      <c r="BA1815" s="23"/>
      <c r="BB1815" s="23"/>
    </row>
    <row r="1816" spans="5:54" x14ac:dyDescent="0.35"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  <c r="AA1816" s="23"/>
      <c r="AB1816" s="23"/>
      <c r="AC1816" s="23"/>
      <c r="AD1816" s="23"/>
      <c r="AE1816" s="23"/>
      <c r="AF1816" s="23"/>
      <c r="AG1816" s="23"/>
      <c r="AH1816" s="23"/>
      <c r="AI1816" s="23"/>
      <c r="AJ1816" s="23"/>
      <c r="AK1816" s="23"/>
      <c r="AL1816" s="23"/>
      <c r="AM1816" s="23"/>
      <c r="AN1816" s="23"/>
      <c r="AO1816" s="23"/>
      <c r="AP1816" s="23"/>
      <c r="AQ1816" s="23"/>
      <c r="AR1816" s="23"/>
      <c r="AS1816" s="23"/>
      <c r="AT1816" s="23"/>
      <c r="AU1816" s="23"/>
      <c r="AV1816" s="23"/>
      <c r="AW1816" s="23"/>
      <c r="AX1816" s="23"/>
      <c r="AY1816" s="23"/>
      <c r="AZ1816" s="23"/>
      <c r="BA1816" s="23"/>
      <c r="BB1816" s="23"/>
    </row>
    <row r="1817" spans="5:54" x14ac:dyDescent="0.35"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  <c r="AA1817" s="23"/>
      <c r="AB1817" s="23"/>
      <c r="AC1817" s="23"/>
      <c r="AD1817" s="23"/>
      <c r="AE1817" s="23"/>
      <c r="AF1817" s="23"/>
      <c r="AG1817" s="23"/>
      <c r="AH1817" s="23"/>
      <c r="AI1817" s="23"/>
      <c r="AJ1817" s="23"/>
      <c r="AK1817" s="23"/>
      <c r="AL1817" s="23"/>
      <c r="AM1817" s="23"/>
      <c r="AN1817" s="23"/>
      <c r="AO1817" s="23"/>
      <c r="AP1817" s="23"/>
      <c r="AQ1817" s="23"/>
      <c r="AR1817" s="23"/>
      <c r="AS1817" s="23"/>
      <c r="AT1817" s="23"/>
      <c r="AU1817" s="23"/>
      <c r="AV1817" s="23"/>
      <c r="AW1817" s="23"/>
      <c r="AX1817" s="23"/>
      <c r="AY1817" s="23"/>
      <c r="AZ1817" s="23"/>
      <c r="BA1817" s="23"/>
      <c r="BB1817" s="23"/>
    </row>
    <row r="1818" spans="5:54" x14ac:dyDescent="0.35"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  <c r="AA1818" s="23"/>
      <c r="AB1818" s="23"/>
      <c r="AC1818" s="23"/>
      <c r="AD1818" s="23"/>
      <c r="AE1818" s="23"/>
      <c r="AF1818" s="23"/>
      <c r="AG1818" s="23"/>
      <c r="AH1818" s="23"/>
      <c r="AI1818" s="23"/>
      <c r="AJ1818" s="23"/>
      <c r="AK1818" s="23"/>
      <c r="AL1818" s="23"/>
      <c r="AM1818" s="23"/>
      <c r="AN1818" s="23"/>
      <c r="AO1818" s="23"/>
      <c r="AP1818" s="23"/>
      <c r="AQ1818" s="23"/>
      <c r="AR1818" s="23"/>
      <c r="AS1818" s="23"/>
      <c r="AT1818" s="23"/>
      <c r="AU1818" s="23"/>
      <c r="AV1818" s="23"/>
      <c r="AW1818" s="23"/>
      <c r="AX1818" s="23"/>
      <c r="AY1818" s="23"/>
      <c r="AZ1818" s="23"/>
      <c r="BA1818" s="23"/>
      <c r="BB1818" s="23"/>
    </row>
    <row r="1819" spans="5:54" x14ac:dyDescent="0.35"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  <c r="AA1819" s="23"/>
      <c r="AB1819" s="23"/>
      <c r="AC1819" s="23"/>
      <c r="AD1819" s="23"/>
      <c r="AE1819" s="23"/>
      <c r="AF1819" s="23"/>
      <c r="AG1819" s="23"/>
      <c r="AH1819" s="23"/>
      <c r="AI1819" s="23"/>
      <c r="AJ1819" s="23"/>
      <c r="AK1819" s="23"/>
      <c r="AL1819" s="23"/>
      <c r="AM1819" s="23"/>
      <c r="AN1819" s="23"/>
      <c r="AO1819" s="23"/>
      <c r="AP1819" s="23"/>
      <c r="AQ1819" s="23"/>
      <c r="AR1819" s="23"/>
      <c r="AS1819" s="23"/>
      <c r="AT1819" s="23"/>
      <c r="AU1819" s="23"/>
      <c r="AV1819" s="23"/>
      <c r="AW1819" s="23"/>
      <c r="AX1819" s="23"/>
      <c r="AY1819" s="23"/>
      <c r="AZ1819" s="23"/>
      <c r="BA1819" s="23"/>
      <c r="BB1819" s="23"/>
    </row>
    <row r="1820" spans="5:54" x14ac:dyDescent="0.35"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  <c r="AA1820" s="23"/>
      <c r="AB1820" s="23"/>
      <c r="AC1820" s="23"/>
      <c r="AD1820" s="23"/>
      <c r="AE1820" s="23"/>
      <c r="AF1820" s="23"/>
      <c r="AG1820" s="23"/>
      <c r="AH1820" s="23"/>
      <c r="AI1820" s="23"/>
      <c r="AJ1820" s="23"/>
      <c r="AK1820" s="23"/>
      <c r="AL1820" s="23"/>
      <c r="AM1820" s="23"/>
      <c r="AN1820" s="23"/>
      <c r="AO1820" s="23"/>
      <c r="AP1820" s="23"/>
      <c r="AQ1820" s="23"/>
      <c r="AR1820" s="23"/>
      <c r="AS1820" s="23"/>
      <c r="AT1820" s="23"/>
      <c r="AU1820" s="23"/>
      <c r="AV1820" s="23"/>
      <c r="AW1820" s="23"/>
      <c r="AX1820" s="23"/>
      <c r="AY1820" s="23"/>
      <c r="AZ1820" s="23"/>
      <c r="BA1820" s="23"/>
      <c r="BB1820" s="23"/>
    </row>
    <row r="1821" spans="5:54" x14ac:dyDescent="0.35"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  <c r="AA1821" s="23"/>
      <c r="AB1821" s="23"/>
      <c r="AC1821" s="23"/>
      <c r="AD1821" s="23"/>
      <c r="AE1821" s="23"/>
      <c r="AF1821" s="23"/>
      <c r="AG1821" s="23"/>
      <c r="AH1821" s="23"/>
      <c r="AI1821" s="23"/>
      <c r="AJ1821" s="23"/>
      <c r="AK1821" s="23"/>
      <c r="AL1821" s="23"/>
      <c r="AM1821" s="23"/>
      <c r="AN1821" s="23"/>
      <c r="AO1821" s="23"/>
      <c r="AP1821" s="23"/>
      <c r="AQ1821" s="23"/>
      <c r="AR1821" s="23"/>
      <c r="AS1821" s="23"/>
      <c r="AT1821" s="23"/>
      <c r="AU1821" s="23"/>
      <c r="AV1821" s="23"/>
      <c r="AW1821" s="23"/>
      <c r="AX1821" s="23"/>
      <c r="AY1821" s="23"/>
      <c r="AZ1821" s="23"/>
      <c r="BA1821" s="23"/>
      <c r="BB1821" s="23"/>
    </row>
    <row r="1822" spans="5:54" x14ac:dyDescent="0.35"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  <c r="AA1822" s="23"/>
      <c r="AB1822" s="23"/>
      <c r="AC1822" s="23"/>
      <c r="AD1822" s="23"/>
      <c r="AE1822" s="23"/>
      <c r="AF1822" s="23"/>
      <c r="AG1822" s="23"/>
      <c r="AH1822" s="23"/>
      <c r="AI1822" s="23"/>
      <c r="AJ1822" s="23"/>
      <c r="AK1822" s="23"/>
      <c r="AL1822" s="23"/>
      <c r="AM1822" s="23"/>
      <c r="AN1822" s="23"/>
      <c r="AO1822" s="23"/>
      <c r="AP1822" s="23"/>
      <c r="AQ1822" s="23"/>
      <c r="AR1822" s="23"/>
      <c r="AS1822" s="23"/>
      <c r="AT1822" s="23"/>
      <c r="AU1822" s="23"/>
      <c r="AV1822" s="23"/>
      <c r="AW1822" s="23"/>
      <c r="AX1822" s="23"/>
      <c r="AY1822" s="23"/>
      <c r="AZ1822" s="23"/>
      <c r="BA1822" s="23"/>
      <c r="BB1822" s="23"/>
    </row>
    <row r="1823" spans="5:54" x14ac:dyDescent="0.35"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  <c r="AA1823" s="23"/>
      <c r="AB1823" s="23"/>
      <c r="AC1823" s="23"/>
      <c r="AD1823" s="23"/>
      <c r="AE1823" s="23"/>
      <c r="AF1823" s="23"/>
      <c r="AG1823" s="23"/>
      <c r="AH1823" s="23"/>
      <c r="AI1823" s="23"/>
      <c r="AJ1823" s="23"/>
      <c r="AK1823" s="23"/>
      <c r="AL1823" s="23"/>
      <c r="AM1823" s="23"/>
      <c r="AN1823" s="23"/>
      <c r="AO1823" s="23"/>
      <c r="AP1823" s="23"/>
      <c r="AQ1823" s="23"/>
      <c r="AR1823" s="23"/>
      <c r="AS1823" s="23"/>
      <c r="AT1823" s="23"/>
      <c r="AU1823" s="23"/>
      <c r="AV1823" s="23"/>
      <c r="AW1823" s="23"/>
      <c r="AX1823" s="23"/>
      <c r="AY1823" s="23"/>
      <c r="AZ1823" s="23"/>
      <c r="BA1823" s="23"/>
      <c r="BB1823" s="23"/>
    </row>
    <row r="1824" spans="5:54" x14ac:dyDescent="0.35"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  <c r="AA1824" s="23"/>
      <c r="AB1824" s="23"/>
      <c r="AC1824" s="23"/>
      <c r="AD1824" s="23"/>
      <c r="AE1824" s="23"/>
      <c r="AF1824" s="23"/>
      <c r="AG1824" s="23"/>
      <c r="AH1824" s="23"/>
      <c r="AI1824" s="23"/>
      <c r="AJ1824" s="23"/>
      <c r="AK1824" s="23"/>
      <c r="AL1824" s="23"/>
      <c r="AM1824" s="23"/>
      <c r="AN1824" s="23"/>
      <c r="AO1824" s="23"/>
      <c r="AP1824" s="23"/>
      <c r="AQ1824" s="23"/>
      <c r="AR1824" s="23"/>
      <c r="AS1824" s="23"/>
      <c r="AT1824" s="23"/>
      <c r="AU1824" s="23"/>
      <c r="AV1824" s="23"/>
      <c r="AW1824" s="23"/>
      <c r="AX1824" s="23"/>
      <c r="AY1824" s="23"/>
      <c r="AZ1824" s="23"/>
      <c r="BA1824" s="23"/>
      <c r="BB1824" s="23"/>
    </row>
    <row r="1825" spans="5:54" x14ac:dyDescent="0.35"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  <c r="AA1825" s="23"/>
      <c r="AB1825" s="23"/>
      <c r="AC1825" s="23"/>
      <c r="AD1825" s="23"/>
      <c r="AE1825" s="23"/>
      <c r="AF1825" s="23"/>
      <c r="AG1825" s="23"/>
      <c r="AH1825" s="23"/>
      <c r="AI1825" s="23"/>
      <c r="AJ1825" s="23"/>
      <c r="AK1825" s="23"/>
      <c r="AL1825" s="23"/>
      <c r="AM1825" s="23"/>
      <c r="AN1825" s="23"/>
      <c r="AO1825" s="23"/>
      <c r="AP1825" s="23"/>
      <c r="AQ1825" s="23"/>
      <c r="AR1825" s="23"/>
      <c r="AS1825" s="23"/>
      <c r="AT1825" s="23"/>
      <c r="AU1825" s="23"/>
      <c r="AV1825" s="23"/>
      <c r="AW1825" s="23"/>
      <c r="AX1825" s="23"/>
      <c r="AY1825" s="23"/>
      <c r="AZ1825" s="23"/>
      <c r="BA1825" s="23"/>
      <c r="BB1825" s="23"/>
    </row>
    <row r="1826" spans="5:54" x14ac:dyDescent="0.35"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  <c r="AA1826" s="23"/>
      <c r="AB1826" s="23"/>
      <c r="AC1826" s="23"/>
      <c r="AD1826" s="23"/>
      <c r="AE1826" s="23"/>
      <c r="AF1826" s="23"/>
      <c r="AG1826" s="23"/>
      <c r="AH1826" s="23"/>
      <c r="AI1826" s="23"/>
      <c r="AJ1826" s="23"/>
      <c r="AK1826" s="23"/>
      <c r="AL1826" s="23"/>
      <c r="AM1826" s="23"/>
      <c r="AN1826" s="23"/>
      <c r="AO1826" s="23"/>
      <c r="AP1826" s="23"/>
      <c r="AQ1826" s="23"/>
      <c r="AR1826" s="23"/>
      <c r="AS1826" s="23"/>
      <c r="AT1826" s="23"/>
      <c r="AU1826" s="23"/>
      <c r="AV1826" s="23"/>
      <c r="AW1826" s="23"/>
      <c r="AX1826" s="23"/>
      <c r="AY1826" s="23"/>
      <c r="AZ1826" s="23"/>
      <c r="BA1826" s="23"/>
      <c r="BB1826" s="23"/>
    </row>
    <row r="1827" spans="5:54" x14ac:dyDescent="0.35"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  <c r="AA1827" s="23"/>
      <c r="AB1827" s="23"/>
      <c r="AC1827" s="23"/>
      <c r="AD1827" s="23"/>
      <c r="AE1827" s="23"/>
      <c r="AF1827" s="23"/>
      <c r="AG1827" s="23"/>
      <c r="AH1827" s="23"/>
      <c r="AI1827" s="23"/>
      <c r="AJ1827" s="23"/>
      <c r="AK1827" s="23"/>
      <c r="AL1827" s="23"/>
      <c r="AM1827" s="23"/>
      <c r="AN1827" s="23"/>
      <c r="AO1827" s="23"/>
      <c r="AP1827" s="23"/>
      <c r="AQ1827" s="23"/>
      <c r="AR1827" s="23"/>
      <c r="AS1827" s="23"/>
      <c r="AT1827" s="23"/>
      <c r="AU1827" s="23"/>
      <c r="AV1827" s="23"/>
      <c r="AW1827" s="23"/>
      <c r="AX1827" s="23"/>
      <c r="AY1827" s="23"/>
      <c r="AZ1827" s="23"/>
      <c r="BA1827" s="23"/>
      <c r="BB1827" s="23"/>
    </row>
    <row r="1828" spans="5:54" x14ac:dyDescent="0.35"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  <c r="AA1828" s="23"/>
      <c r="AB1828" s="23"/>
      <c r="AC1828" s="23"/>
      <c r="AD1828" s="23"/>
      <c r="AE1828" s="23"/>
      <c r="AF1828" s="23"/>
      <c r="AG1828" s="23"/>
      <c r="AH1828" s="23"/>
      <c r="AI1828" s="23"/>
      <c r="AJ1828" s="23"/>
      <c r="AK1828" s="23"/>
      <c r="AL1828" s="23"/>
      <c r="AM1828" s="23"/>
      <c r="AN1828" s="23"/>
      <c r="AO1828" s="23"/>
      <c r="AP1828" s="23"/>
      <c r="AQ1828" s="23"/>
      <c r="AR1828" s="23"/>
      <c r="AS1828" s="23"/>
      <c r="AT1828" s="23"/>
      <c r="AU1828" s="23"/>
      <c r="AV1828" s="23"/>
      <c r="AW1828" s="23"/>
      <c r="AX1828" s="23"/>
      <c r="AY1828" s="23"/>
      <c r="AZ1828" s="23"/>
      <c r="BA1828" s="23"/>
      <c r="BB1828" s="23"/>
    </row>
    <row r="1829" spans="5:54" x14ac:dyDescent="0.35"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  <c r="AA1829" s="23"/>
      <c r="AB1829" s="23"/>
      <c r="AC1829" s="23"/>
      <c r="AD1829" s="23"/>
      <c r="AE1829" s="23"/>
      <c r="AF1829" s="23"/>
      <c r="AG1829" s="23"/>
      <c r="AH1829" s="23"/>
      <c r="AI1829" s="23"/>
      <c r="AJ1829" s="23"/>
      <c r="AK1829" s="23"/>
      <c r="AL1829" s="23"/>
      <c r="AM1829" s="23"/>
      <c r="AN1829" s="23"/>
      <c r="AO1829" s="23"/>
      <c r="AP1829" s="23"/>
      <c r="AQ1829" s="23"/>
      <c r="AR1829" s="23"/>
      <c r="AS1829" s="23"/>
      <c r="AT1829" s="23"/>
      <c r="AU1829" s="23"/>
      <c r="AV1829" s="23"/>
      <c r="AW1829" s="23"/>
      <c r="AX1829" s="23"/>
      <c r="AY1829" s="23"/>
      <c r="AZ1829" s="23"/>
      <c r="BA1829" s="23"/>
      <c r="BB1829" s="23"/>
    </row>
    <row r="1830" spans="5:54" x14ac:dyDescent="0.35"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  <c r="AA1830" s="23"/>
      <c r="AB1830" s="23"/>
      <c r="AC1830" s="23"/>
      <c r="AD1830" s="23"/>
      <c r="AE1830" s="23"/>
      <c r="AF1830" s="23"/>
      <c r="AG1830" s="23"/>
      <c r="AH1830" s="23"/>
      <c r="AI1830" s="23"/>
      <c r="AJ1830" s="23"/>
      <c r="AK1830" s="23"/>
      <c r="AL1830" s="23"/>
      <c r="AM1830" s="23"/>
      <c r="AN1830" s="23"/>
      <c r="AO1830" s="23"/>
      <c r="AP1830" s="23"/>
      <c r="AQ1830" s="23"/>
      <c r="AR1830" s="23"/>
      <c r="AS1830" s="23"/>
      <c r="AT1830" s="23"/>
      <c r="AU1830" s="23"/>
      <c r="AV1830" s="23"/>
      <c r="AW1830" s="23"/>
      <c r="AX1830" s="23"/>
      <c r="AY1830" s="23"/>
      <c r="AZ1830" s="23"/>
      <c r="BA1830" s="23"/>
      <c r="BB1830" s="23"/>
    </row>
    <row r="1831" spans="5:54" x14ac:dyDescent="0.35"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  <c r="AA1831" s="23"/>
      <c r="AB1831" s="23"/>
      <c r="AC1831" s="23"/>
      <c r="AD1831" s="23"/>
      <c r="AE1831" s="23"/>
      <c r="AF1831" s="23"/>
      <c r="AG1831" s="23"/>
      <c r="AH1831" s="23"/>
      <c r="AI1831" s="23"/>
      <c r="AJ1831" s="23"/>
      <c r="AK1831" s="23"/>
      <c r="AL1831" s="23"/>
      <c r="AM1831" s="23"/>
      <c r="AN1831" s="23"/>
      <c r="AO1831" s="23"/>
      <c r="AP1831" s="23"/>
      <c r="AQ1831" s="23"/>
      <c r="AR1831" s="23"/>
      <c r="AS1831" s="23"/>
      <c r="AT1831" s="23"/>
      <c r="AU1831" s="23"/>
      <c r="AV1831" s="23"/>
      <c r="AW1831" s="23"/>
      <c r="AX1831" s="23"/>
      <c r="AY1831" s="23"/>
      <c r="AZ1831" s="23"/>
      <c r="BA1831" s="23"/>
      <c r="BB1831" s="23"/>
    </row>
    <row r="1832" spans="5:54" x14ac:dyDescent="0.35"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  <c r="AA1832" s="23"/>
      <c r="AB1832" s="23"/>
      <c r="AC1832" s="23"/>
      <c r="AD1832" s="23"/>
      <c r="AE1832" s="23"/>
      <c r="AF1832" s="23"/>
      <c r="AG1832" s="23"/>
      <c r="AH1832" s="23"/>
      <c r="AI1832" s="23"/>
      <c r="AJ1832" s="23"/>
      <c r="AK1832" s="23"/>
      <c r="AL1832" s="23"/>
      <c r="AM1832" s="23"/>
      <c r="AN1832" s="23"/>
      <c r="AO1832" s="23"/>
      <c r="AP1832" s="23"/>
      <c r="AQ1832" s="23"/>
      <c r="AR1832" s="23"/>
      <c r="AS1832" s="23"/>
      <c r="AT1832" s="23"/>
      <c r="AU1832" s="23"/>
      <c r="AV1832" s="23"/>
      <c r="AW1832" s="23"/>
      <c r="AX1832" s="23"/>
      <c r="AY1832" s="23"/>
      <c r="AZ1832" s="23"/>
      <c r="BA1832" s="23"/>
      <c r="BB1832" s="23"/>
    </row>
    <row r="1833" spans="5:54" x14ac:dyDescent="0.35"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  <c r="AA1833" s="23"/>
      <c r="AB1833" s="23"/>
      <c r="AC1833" s="23"/>
      <c r="AD1833" s="23"/>
      <c r="AE1833" s="23"/>
      <c r="AF1833" s="23"/>
      <c r="AG1833" s="23"/>
      <c r="AH1833" s="23"/>
      <c r="AI1833" s="23"/>
      <c r="AJ1833" s="23"/>
      <c r="AK1833" s="23"/>
      <c r="AL1833" s="23"/>
      <c r="AM1833" s="23"/>
      <c r="AN1833" s="23"/>
      <c r="AO1833" s="23"/>
      <c r="AP1833" s="23"/>
      <c r="AQ1833" s="23"/>
      <c r="AR1833" s="23"/>
      <c r="AS1833" s="23"/>
      <c r="AT1833" s="23"/>
      <c r="AU1833" s="23"/>
      <c r="AV1833" s="23"/>
      <c r="AW1833" s="23"/>
      <c r="AX1833" s="23"/>
      <c r="AY1833" s="23"/>
      <c r="AZ1833" s="23"/>
      <c r="BA1833" s="23"/>
      <c r="BB1833" s="23"/>
    </row>
    <row r="1834" spans="5:54" x14ac:dyDescent="0.35"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  <c r="AA1834" s="23"/>
      <c r="AB1834" s="23"/>
      <c r="AC1834" s="23"/>
      <c r="AD1834" s="23"/>
      <c r="AE1834" s="23"/>
      <c r="AF1834" s="23"/>
      <c r="AG1834" s="23"/>
      <c r="AH1834" s="23"/>
      <c r="AI1834" s="23"/>
      <c r="AJ1834" s="23"/>
      <c r="AK1834" s="23"/>
      <c r="AL1834" s="23"/>
      <c r="AM1834" s="23"/>
      <c r="AN1834" s="23"/>
      <c r="AO1834" s="23"/>
      <c r="AP1834" s="23"/>
      <c r="AQ1834" s="23"/>
      <c r="AR1834" s="23"/>
      <c r="AS1834" s="23"/>
      <c r="AT1834" s="23"/>
      <c r="AU1834" s="23"/>
      <c r="AV1834" s="23"/>
      <c r="AW1834" s="23"/>
      <c r="AX1834" s="23"/>
      <c r="AY1834" s="23"/>
      <c r="AZ1834" s="23"/>
      <c r="BA1834" s="23"/>
      <c r="BB1834" s="23"/>
    </row>
    <row r="1835" spans="5:54" x14ac:dyDescent="0.35"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  <c r="AA1835" s="23"/>
      <c r="AB1835" s="23"/>
      <c r="AC1835" s="23"/>
      <c r="AD1835" s="23"/>
      <c r="AE1835" s="23"/>
      <c r="AF1835" s="23"/>
      <c r="AG1835" s="23"/>
      <c r="AH1835" s="23"/>
      <c r="AI1835" s="23"/>
      <c r="AJ1835" s="23"/>
      <c r="AK1835" s="23"/>
      <c r="AL1835" s="23"/>
      <c r="AM1835" s="23"/>
      <c r="AN1835" s="23"/>
      <c r="AO1835" s="23"/>
      <c r="AP1835" s="23"/>
      <c r="AQ1835" s="23"/>
      <c r="AR1835" s="23"/>
      <c r="AS1835" s="23"/>
      <c r="AT1835" s="23"/>
      <c r="AU1835" s="23"/>
      <c r="AV1835" s="23"/>
      <c r="AW1835" s="23"/>
      <c r="AX1835" s="23"/>
      <c r="AY1835" s="23"/>
      <c r="AZ1835" s="23"/>
      <c r="BA1835" s="23"/>
      <c r="BB1835" s="23"/>
    </row>
    <row r="1836" spans="5:54" x14ac:dyDescent="0.35"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  <c r="AA1836" s="23"/>
      <c r="AB1836" s="23"/>
      <c r="AC1836" s="23"/>
      <c r="AD1836" s="23"/>
      <c r="AE1836" s="23"/>
      <c r="AF1836" s="23"/>
      <c r="AG1836" s="23"/>
      <c r="AH1836" s="23"/>
      <c r="AI1836" s="23"/>
      <c r="AJ1836" s="23"/>
      <c r="AK1836" s="23"/>
      <c r="AL1836" s="23"/>
      <c r="AM1836" s="23"/>
      <c r="AN1836" s="23"/>
      <c r="AO1836" s="23"/>
      <c r="AP1836" s="23"/>
      <c r="AQ1836" s="23"/>
      <c r="AR1836" s="23"/>
      <c r="AS1836" s="23"/>
      <c r="AT1836" s="23"/>
      <c r="AU1836" s="23"/>
      <c r="AV1836" s="23"/>
      <c r="AW1836" s="23"/>
      <c r="AX1836" s="23"/>
      <c r="AY1836" s="23"/>
      <c r="AZ1836" s="23"/>
      <c r="BA1836" s="23"/>
      <c r="BB1836" s="23"/>
    </row>
    <row r="1837" spans="5:54" x14ac:dyDescent="0.35"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  <c r="AA1837" s="23"/>
      <c r="AB1837" s="23"/>
      <c r="AC1837" s="23"/>
      <c r="AD1837" s="23"/>
      <c r="AE1837" s="23"/>
      <c r="AF1837" s="23"/>
      <c r="AG1837" s="23"/>
      <c r="AH1837" s="23"/>
      <c r="AI1837" s="23"/>
      <c r="AJ1837" s="23"/>
      <c r="AK1837" s="23"/>
      <c r="AL1837" s="23"/>
      <c r="AM1837" s="23"/>
      <c r="AN1837" s="23"/>
      <c r="AO1837" s="23"/>
      <c r="AP1837" s="23"/>
      <c r="AQ1837" s="23"/>
      <c r="AR1837" s="23"/>
      <c r="AS1837" s="23"/>
      <c r="AT1837" s="23"/>
      <c r="AU1837" s="23"/>
      <c r="AV1837" s="23"/>
      <c r="AW1837" s="23"/>
      <c r="AX1837" s="23"/>
      <c r="AY1837" s="23"/>
      <c r="AZ1837" s="23"/>
      <c r="BA1837" s="23"/>
      <c r="BB1837" s="23"/>
    </row>
    <row r="1838" spans="5:54" x14ac:dyDescent="0.35"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  <c r="AA1838" s="23"/>
      <c r="AB1838" s="23"/>
      <c r="AC1838" s="23"/>
      <c r="AD1838" s="23"/>
      <c r="AE1838" s="23"/>
      <c r="AF1838" s="23"/>
      <c r="AG1838" s="23"/>
      <c r="AH1838" s="23"/>
      <c r="AI1838" s="23"/>
      <c r="AJ1838" s="23"/>
      <c r="AK1838" s="23"/>
      <c r="AL1838" s="23"/>
      <c r="AM1838" s="23"/>
      <c r="AN1838" s="23"/>
      <c r="AO1838" s="23"/>
      <c r="AP1838" s="23"/>
      <c r="AQ1838" s="23"/>
      <c r="AR1838" s="23"/>
      <c r="AS1838" s="23"/>
      <c r="AT1838" s="23"/>
      <c r="AU1838" s="23"/>
      <c r="AV1838" s="23"/>
      <c r="AW1838" s="23"/>
      <c r="AX1838" s="23"/>
      <c r="AY1838" s="23"/>
      <c r="AZ1838" s="23"/>
      <c r="BA1838" s="23"/>
      <c r="BB1838" s="23"/>
    </row>
    <row r="1839" spans="5:54" x14ac:dyDescent="0.35"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  <c r="AA1839" s="23"/>
      <c r="AB1839" s="23"/>
      <c r="AC1839" s="23"/>
      <c r="AD1839" s="23"/>
      <c r="AE1839" s="23"/>
      <c r="AF1839" s="23"/>
      <c r="AG1839" s="23"/>
      <c r="AH1839" s="23"/>
      <c r="AI1839" s="23"/>
      <c r="AJ1839" s="23"/>
      <c r="AK1839" s="23"/>
      <c r="AL1839" s="23"/>
      <c r="AM1839" s="23"/>
      <c r="AN1839" s="23"/>
      <c r="AO1839" s="23"/>
      <c r="AP1839" s="23"/>
      <c r="AQ1839" s="23"/>
      <c r="AR1839" s="23"/>
      <c r="AS1839" s="23"/>
      <c r="AT1839" s="23"/>
      <c r="AU1839" s="23"/>
      <c r="AV1839" s="23"/>
      <c r="AW1839" s="23"/>
      <c r="AX1839" s="23"/>
      <c r="AY1839" s="23"/>
      <c r="AZ1839" s="23"/>
      <c r="BA1839" s="23"/>
      <c r="BB1839" s="23"/>
    </row>
    <row r="1840" spans="5:54" x14ac:dyDescent="0.35"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  <c r="AA1840" s="23"/>
      <c r="AB1840" s="23"/>
      <c r="AC1840" s="23"/>
      <c r="AD1840" s="23"/>
      <c r="AE1840" s="23"/>
      <c r="AF1840" s="23"/>
      <c r="AG1840" s="23"/>
      <c r="AH1840" s="23"/>
      <c r="AI1840" s="23"/>
      <c r="AJ1840" s="23"/>
      <c r="AK1840" s="23"/>
      <c r="AL1840" s="23"/>
      <c r="AM1840" s="23"/>
      <c r="AN1840" s="23"/>
      <c r="AO1840" s="23"/>
      <c r="AP1840" s="23"/>
      <c r="AQ1840" s="23"/>
      <c r="AR1840" s="23"/>
      <c r="AS1840" s="23"/>
      <c r="AT1840" s="23"/>
      <c r="AU1840" s="23"/>
      <c r="AV1840" s="23"/>
      <c r="AW1840" s="23"/>
      <c r="AX1840" s="23"/>
      <c r="AY1840" s="23"/>
      <c r="AZ1840" s="23"/>
      <c r="BA1840" s="23"/>
      <c r="BB1840" s="23"/>
    </row>
    <row r="1841" spans="5:54" x14ac:dyDescent="0.35"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  <c r="AA1841" s="23"/>
      <c r="AB1841" s="23"/>
      <c r="AC1841" s="23"/>
      <c r="AD1841" s="23"/>
      <c r="AE1841" s="23"/>
      <c r="AF1841" s="23"/>
      <c r="AG1841" s="23"/>
      <c r="AH1841" s="23"/>
      <c r="AI1841" s="23"/>
      <c r="AJ1841" s="23"/>
      <c r="AK1841" s="23"/>
      <c r="AL1841" s="23"/>
      <c r="AM1841" s="23"/>
      <c r="AN1841" s="23"/>
      <c r="AO1841" s="23"/>
      <c r="AP1841" s="23"/>
      <c r="AQ1841" s="23"/>
      <c r="AR1841" s="23"/>
      <c r="AS1841" s="23"/>
      <c r="AT1841" s="23"/>
      <c r="AU1841" s="23"/>
      <c r="AV1841" s="23"/>
      <c r="AW1841" s="23"/>
      <c r="AX1841" s="23"/>
      <c r="AY1841" s="23"/>
      <c r="AZ1841" s="23"/>
      <c r="BA1841" s="23"/>
      <c r="BB1841" s="23"/>
    </row>
    <row r="1842" spans="5:54" x14ac:dyDescent="0.35"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  <c r="AA1842" s="23"/>
      <c r="AB1842" s="23"/>
      <c r="AC1842" s="23"/>
      <c r="AD1842" s="23"/>
      <c r="AE1842" s="23"/>
      <c r="AF1842" s="23"/>
      <c r="AG1842" s="23"/>
      <c r="AH1842" s="23"/>
      <c r="AI1842" s="23"/>
      <c r="AJ1842" s="23"/>
      <c r="AK1842" s="23"/>
      <c r="AL1842" s="23"/>
      <c r="AM1842" s="23"/>
      <c r="AN1842" s="23"/>
      <c r="AO1842" s="23"/>
      <c r="AP1842" s="23"/>
      <c r="AQ1842" s="23"/>
      <c r="AR1842" s="23"/>
      <c r="AS1842" s="23"/>
      <c r="AT1842" s="23"/>
      <c r="AU1842" s="23"/>
      <c r="AV1842" s="23"/>
      <c r="AW1842" s="23"/>
      <c r="AX1842" s="23"/>
      <c r="AY1842" s="23"/>
      <c r="AZ1842" s="23"/>
      <c r="BA1842" s="23"/>
      <c r="BB1842" s="23"/>
    </row>
    <row r="1843" spans="5:54" x14ac:dyDescent="0.35"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  <c r="AA1843" s="23"/>
      <c r="AB1843" s="23"/>
      <c r="AC1843" s="23"/>
      <c r="AD1843" s="23"/>
      <c r="AE1843" s="23"/>
      <c r="AF1843" s="23"/>
      <c r="AG1843" s="23"/>
      <c r="AH1843" s="23"/>
      <c r="AI1843" s="23"/>
      <c r="AJ1843" s="23"/>
      <c r="AK1843" s="23"/>
      <c r="AL1843" s="23"/>
      <c r="AM1843" s="23"/>
      <c r="AN1843" s="23"/>
      <c r="AO1843" s="23"/>
      <c r="AP1843" s="23"/>
      <c r="AQ1843" s="23"/>
      <c r="AR1843" s="23"/>
      <c r="AS1843" s="23"/>
      <c r="AT1843" s="23"/>
      <c r="AU1843" s="23"/>
      <c r="AV1843" s="23"/>
      <c r="AW1843" s="23"/>
      <c r="AX1843" s="23"/>
      <c r="AY1843" s="23"/>
      <c r="AZ1843" s="23"/>
      <c r="BA1843" s="23"/>
      <c r="BB1843" s="23"/>
    </row>
    <row r="1844" spans="5:54" x14ac:dyDescent="0.35"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  <c r="AA1844" s="23"/>
      <c r="AB1844" s="23"/>
      <c r="AC1844" s="23"/>
      <c r="AD1844" s="23"/>
      <c r="AE1844" s="23"/>
      <c r="AF1844" s="23"/>
      <c r="AG1844" s="23"/>
      <c r="AH1844" s="23"/>
      <c r="AI1844" s="23"/>
      <c r="AJ1844" s="23"/>
      <c r="AK1844" s="23"/>
      <c r="AL1844" s="23"/>
      <c r="AM1844" s="23"/>
      <c r="AN1844" s="23"/>
      <c r="AO1844" s="23"/>
      <c r="AP1844" s="23"/>
      <c r="AQ1844" s="23"/>
      <c r="AR1844" s="23"/>
      <c r="AS1844" s="23"/>
      <c r="AT1844" s="23"/>
      <c r="AU1844" s="23"/>
      <c r="AV1844" s="23"/>
      <c r="AW1844" s="23"/>
      <c r="AX1844" s="23"/>
      <c r="AY1844" s="23"/>
      <c r="AZ1844" s="23"/>
      <c r="BA1844" s="23"/>
      <c r="BB1844" s="23"/>
    </row>
    <row r="1845" spans="5:54" x14ac:dyDescent="0.35"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  <c r="AA1845" s="23"/>
      <c r="AB1845" s="23"/>
      <c r="AC1845" s="23"/>
      <c r="AD1845" s="23"/>
      <c r="AE1845" s="23"/>
      <c r="AF1845" s="23"/>
      <c r="AG1845" s="23"/>
      <c r="AH1845" s="23"/>
      <c r="AI1845" s="23"/>
      <c r="AJ1845" s="23"/>
      <c r="AK1845" s="23"/>
      <c r="AL1845" s="23"/>
      <c r="AM1845" s="23"/>
      <c r="AN1845" s="23"/>
      <c r="AO1845" s="23"/>
      <c r="AP1845" s="23"/>
      <c r="AQ1845" s="23"/>
      <c r="AR1845" s="23"/>
      <c r="AS1845" s="23"/>
      <c r="AT1845" s="23"/>
      <c r="AU1845" s="23"/>
      <c r="AV1845" s="23"/>
      <c r="AW1845" s="23"/>
      <c r="AX1845" s="23"/>
      <c r="AY1845" s="23"/>
      <c r="AZ1845" s="23"/>
      <c r="BA1845" s="23"/>
      <c r="BB1845" s="23"/>
    </row>
    <row r="1846" spans="5:54" x14ac:dyDescent="0.35"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  <c r="AA1846" s="23"/>
      <c r="AB1846" s="23"/>
      <c r="AC1846" s="23"/>
      <c r="AD1846" s="23"/>
      <c r="AE1846" s="23"/>
      <c r="AF1846" s="23"/>
      <c r="AG1846" s="23"/>
      <c r="AH1846" s="23"/>
      <c r="AI1846" s="23"/>
      <c r="AJ1846" s="23"/>
      <c r="AK1846" s="23"/>
      <c r="AL1846" s="23"/>
      <c r="AM1846" s="23"/>
      <c r="AN1846" s="23"/>
      <c r="AO1846" s="23"/>
      <c r="AP1846" s="23"/>
      <c r="AQ1846" s="23"/>
      <c r="AR1846" s="23"/>
      <c r="AS1846" s="23"/>
      <c r="AT1846" s="23"/>
      <c r="AU1846" s="23"/>
      <c r="AV1846" s="23"/>
      <c r="AW1846" s="23"/>
      <c r="AX1846" s="23"/>
      <c r="AY1846" s="23"/>
      <c r="AZ1846" s="23"/>
      <c r="BA1846" s="23"/>
      <c r="BB1846" s="23"/>
    </row>
    <row r="1847" spans="5:54" x14ac:dyDescent="0.35"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  <c r="AA1847" s="23"/>
      <c r="AB1847" s="23"/>
      <c r="AC1847" s="23"/>
      <c r="AD1847" s="23"/>
      <c r="AE1847" s="23"/>
      <c r="AF1847" s="23"/>
      <c r="AG1847" s="23"/>
      <c r="AH1847" s="23"/>
      <c r="AI1847" s="23"/>
      <c r="AJ1847" s="23"/>
      <c r="AK1847" s="23"/>
      <c r="AL1847" s="23"/>
      <c r="AM1847" s="23"/>
      <c r="AN1847" s="23"/>
      <c r="AO1847" s="23"/>
      <c r="AP1847" s="23"/>
      <c r="AQ1847" s="23"/>
      <c r="AR1847" s="23"/>
      <c r="AS1847" s="23"/>
      <c r="AT1847" s="23"/>
      <c r="AU1847" s="23"/>
      <c r="AV1847" s="23"/>
      <c r="AW1847" s="23"/>
      <c r="AX1847" s="23"/>
      <c r="AY1847" s="23"/>
      <c r="AZ1847" s="23"/>
      <c r="BA1847" s="23"/>
      <c r="BB1847" s="23"/>
    </row>
    <row r="1848" spans="5:54" x14ac:dyDescent="0.35"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  <c r="AA1848" s="23"/>
      <c r="AB1848" s="23"/>
      <c r="AC1848" s="23"/>
      <c r="AD1848" s="23"/>
      <c r="AE1848" s="23"/>
      <c r="AF1848" s="23"/>
      <c r="AG1848" s="23"/>
      <c r="AH1848" s="23"/>
      <c r="AI1848" s="23"/>
      <c r="AJ1848" s="23"/>
      <c r="AK1848" s="23"/>
      <c r="AL1848" s="23"/>
      <c r="AM1848" s="23"/>
      <c r="AN1848" s="23"/>
      <c r="AO1848" s="23"/>
      <c r="AP1848" s="23"/>
      <c r="AQ1848" s="23"/>
      <c r="AR1848" s="23"/>
      <c r="AS1848" s="23"/>
      <c r="AT1848" s="23"/>
      <c r="AU1848" s="23"/>
      <c r="AV1848" s="23"/>
      <c r="AW1848" s="23"/>
      <c r="AX1848" s="23"/>
      <c r="AY1848" s="23"/>
      <c r="AZ1848" s="23"/>
      <c r="BA1848" s="23"/>
      <c r="BB1848" s="23"/>
    </row>
    <row r="1849" spans="5:54" x14ac:dyDescent="0.35"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  <c r="AA1849" s="23"/>
      <c r="AB1849" s="23"/>
      <c r="AC1849" s="23"/>
      <c r="AD1849" s="23"/>
      <c r="AE1849" s="23"/>
      <c r="AF1849" s="23"/>
      <c r="AG1849" s="23"/>
      <c r="AH1849" s="23"/>
      <c r="AI1849" s="23"/>
      <c r="AJ1849" s="23"/>
      <c r="AK1849" s="23"/>
      <c r="AL1849" s="23"/>
      <c r="AM1849" s="23"/>
      <c r="AN1849" s="23"/>
      <c r="AO1849" s="23"/>
      <c r="AP1849" s="23"/>
      <c r="AQ1849" s="23"/>
      <c r="AR1849" s="23"/>
      <c r="AS1849" s="23"/>
      <c r="AT1849" s="23"/>
      <c r="AU1849" s="23"/>
      <c r="AV1849" s="23"/>
      <c r="AW1849" s="23"/>
      <c r="AX1849" s="23"/>
      <c r="AY1849" s="23"/>
      <c r="AZ1849" s="23"/>
      <c r="BA1849" s="23"/>
      <c r="BB1849" s="23"/>
    </row>
    <row r="1850" spans="5:54" x14ac:dyDescent="0.35"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  <c r="AA1850" s="23"/>
      <c r="AB1850" s="23"/>
      <c r="AC1850" s="23"/>
      <c r="AD1850" s="23"/>
      <c r="AE1850" s="23"/>
      <c r="AF1850" s="23"/>
      <c r="AG1850" s="23"/>
      <c r="AH1850" s="23"/>
      <c r="AI1850" s="23"/>
      <c r="AJ1850" s="23"/>
      <c r="AK1850" s="23"/>
      <c r="AL1850" s="23"/>
      <c r="AM1850" s="23"/>
      <c r="AN1850" s="23"/>
      <c r="AO1850" s="23"/>
      <c r="AP1850" s="23"/>
      <c r="AQ1850" s="23"/>
      <c r="AR1850" s="23"/>
      <c r="AS1850" s="23"/>
      <c r="AT1850" s="23"/>
      <c r="AU1850" s="23"/>
      <c r="AV1850" s="23"/>
      <c r="AW1850" s="23"/>
      <c r="AX1850" s="23"/>
      <c r="AY1850" s="23"/>
      <c r="AZ1850" s="23"/>
      <c r="BA1850" s="23"/>
      <c r="BB1850" s="23"/>
    </row>
    <row r="1851" spans="5:54" x14ac:dyDescent="0.35"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  <c r="AA1851" s="23"/>
      <c r="AB1851" s="23"/>
      <c r="AC1851" s="23"/>
      <c r="AD1851" s="23"/>
      <c r="AE1851" s="23"/>
      <c r="AF1851" s="23"/>
      <c r="AG1851" s="23"/>
      <c r="AH1851" s="23"/>
      <c r="AI1851" s="23"/>
      <c r="AJ1851" s="23"/>
      <c r="AK1851" s="23"/>
      <c r="AL1851" s="23"/>
      <c r="AM1851" s="23"/>
      <c r="AN1851" s="23"/>
      <c r="AO1851" s="23"/>
      <c r="AP1851" s="23"/>
      <c r="AQ1851" s="23"/>
      <c r="AR1851" s="23"/>
      <c r="AS1851" s="23"/>
      <c r="AT1851" s="23"/>
      <c r="AU1851" s="23"/>
      <c r="AV1851" s="23"/>
      <c r="AW1851" s="23"/>
      <c r="AX1851" s="23"/>
      <c r="AY1851" s="23"/>
      <c r="AZ1851" s="23"/>
      <c r="BA1851" s="23"/>
      <c r="BB1851" s="23"/>
    </row>
    <row r="1852" spans="5:54" x14ac:dyDescent="0.35"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  <c r="AA1852" s="23"/>
      <c r="AB1852" s="23"/>
      <c r="AC1852" s="23"/>
      <c r="AD1852" s="23"/>
      <c r="AE1852" s="23"/>
      <c r="AF1852" s="23"/>
      <c r="AG1852" s="23"/>
      <c r="AH1852" s="23"/>
      <c r="AI1852" s="23"/>
      <c r="AJ1852" s="23"/>
      <c r="AK1852" s="23"/>
      <c r="AL1852" s="23"/>
      <c r="AM1852" s="23"/>
      <c r="AN1852" s="23"/>
      <c r="AO1852" s="23"/>
      <c r="AP1852" s="23"/>
      <c r="AQ1852" s="23"/>
      <c r="AR1852" s="23"/>
      <c r="AS1852" s="23"/>
      <c r="AT1852" s="23"/>
      <c r="AU1852" s="23"/>
      <c r="AV1852" s="23"/>
      <c r="AW1852" s="23"/>
      <c r="AX1852" s="23"/>
      <c r="AY1852" s="23"/>
      <c r="AZ1852" s="23"/>
      <c r="BA1852" s="23"/>
      <c r="BB1852" s="23"/>
    </row>
    <row r="1853" spans="5:54" x14ac:dyDescent="0.35"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  <c r="AA1853" s="23"/>
      <c r="AB1853" s="23"/>
      <c r="AC1853" s="23"/>
      <c r="AD1853" s="23"/>
      <c r="AE1853" s="23"/>
      <c r="AF1853" s="23"/>
      <c r="AG1853" s="23"/>
      <c r="AH1853" s="23"/>
      <c r="AI1853" s="23"/>
      <c r="AJ1853" s="23"/>
      <c r="AK1853" s="23"/>
      <c r="AL1853" s="23"/>
      <c r="AM1853" s="23"/>
      <c r="AN1853" s="23"/>
      <c r="AO1853" s="23"/>
      <c r="AP1853" s="23"/>
      <c r="AQ1853" s="23"/>
      <c r="AR1853" s="23"/>
      <c r="AS1853" s="23"/>
      <c r="AT1853" s="23"/>
      <c r="AU1853" s="23"/>
      <c r="AV1853" s="23"/>
      <c r="AW1853" s="23"/>
      <c r="AX1853" s="23"/>
      <c r="AY1853" s="23"/>
      <c r="AZ1853" s="23"/>
      <c r="BA1853" s="23"/>
      <c r="BB1853" s="23"/>
    </row>
    <row r="1854" spans="5:54" x14ac:dyDescent="0.35"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  <c r="AA1854" s="23"/>
      <c r="AB1854" s="23"/>
      <c r="AC1854" s="23"/>
      <c r="AD1854" s="23"/>
      <c r="AE1854" s="23"/>
      <c r="AF1854" s="23"/>
      <c r="AG1854" s="23"/>
      <c r="AH1854" s="23"/>
      <c r="AI1854" s="23"/>
      <c r="AJ1854" s="23"/>
      <c r="AK1854" s="23"/>
      <c r="AL1854" s="23"/>
      <c r="AM1854" s="23"/>
      <c r="AN1854" s="23"/>
      <c r="AO1854" s="23"/>
      <c r="AP1854" s="23"/>
      <c r="AQ1854" s="23"/>
      <c r="AR1854" s="23"/>
      <c r="AS1854" s="23"/>
      <c r="AT1854" s="23"/>
      <c r="AU1854" s="23"/>
      <c r="AV1854" s="23"/>
      <c r="AW1854" s="23"/>
      <c r="AX1854" s="23"/>
      <c r="AY1854" s="23"/>
      <c r="AZ1854" s="23"/>
      <c r="BA1854" s="23"/>
      <c r="BB1854" s="23"/>
    </row>
    <row r="1855" spans="5:54" x14ac:dyDescent="0.35"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  <c r="AA1855" s="23"/>
      <c r="AB1855" s="23"/>
      <c r="AC1855" s="23"/>
      <c r="AD1855" s="23"/>
      <c r="AE1855" s="23"/>
      <c r="AF1855" s="23"/>
      <c r="AG1855" s="23"/>
      <c r="AH1855" s="23"/>
      <c r="AI1855" s="23"/>
      <c r="AJ1855" s="23"/>
      <c r="AK1855" s="23"/>
      <c r="AL1855" s="23"/>
      <c r="AM1855" s="23"/>
      <c r="AN1855" s="23"/>
      <c r="AO1855" s="23"/>
      <c r="AP1855" s="23"/>
      <c r="AQ1855" s="23"/>
      <c r="AR1855" s="23"/>
      <c r="AS1855" s="23"/>
      <c r="AT1855" s="23"/>
      <c r="AU1855" s="23"/>
      <c r="AV1855" s="23"/>
      <c r="AW1855" s="23"/>
      <c r="AX1855" s="23"/>
      <c r="AY1855" s="23"/>
      <c r="AZ1855" s="23"/>
      <c r="BA1855" s="23"/>
      <c r="BB1855" s="23"/>
    </row>
    <row r="1856" spans="5:54" x14ac:dyDescent="0.35"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  <c r="AA1856" s="23"/>
      <c r="AB1856" s="23"/>
      <c r="AC1856" s="23"/>
      <c r="AD1856" s="23"/>
      <c r="AE1856" s="23"/>
      <c r="AF1856" s="23"/>
      <c r="AG1856" s="23"/>
      <c r="AH1856" s="23"/>
      <c r="AI1856" s="23"/>
      <c r="AJ1856" s="23"/>
      <c r="AK1856" s="23"/>
      <c r="AL1856" s="23"/>
      <c r="AM1856" s="23"/>
      <c r="AN1856" s="23"/>
      <c r="AO1856" s="23"/>
      <c r="AP1856" s="23"/>
      <c r="AQ1856" s="23"/>
      <c r="AR1856" s="23"/>
      <c r="AS1856" s="23"/>
      <c r="AT1856" s="23"/>
      <c r="AU1856" s="23"/>
      <c r="AV1856" s="23"/>
      <c r="AW1856" s="23"/>
      <c r="AX1856" s="23"/>
      <c r="AY1856" s="23"/>
      <c r="AZ1856" s="23"/>
      <c r="BA1856" s="23"/>
      <c r="BB1856" s="23"/>
    </row>
    <row r="1857" spans="5:54" x14ac:dyDescent="0.35"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  <c r="AA1857" s="23"/>
      <c r="AB1857" s="23"/>
      <c r="AC1857" s="23"/>
      <c r="AD1857" s="23"/>
      <c r="AE1857" s="23"/>
      <c r="AF1857" s="23"/>
      <c r="AG1857" s="23"/>
      <c r="AH1857" s="23"/>
      <c r="AI1857" s="23"/>
      <c r="AJ1857" s="23"/>
      <c r="AK1857" s="23"/>
      <c r="AL1857" s="23"/>
      <c r="AM1857" s="23"/>
      <c r="AN1857" s="23"/>
      <c r="AO1857" s="23"/>
      <c r="AP1857" s="23"/>
      <c r="AQ1857" s="23"/>
      <c r="AR1857" s="23"/>
      <c r="AS1857" s="23"/>
      <c r="AT1857" s="23"/>
      <c r="AU1857" s="23"/>
      <c r="AV1857" s="23"/>
      <c r="AW1857" s="23"/>
      <c r="AX1857" s="23"/>
      <c r="AY1857" s="23"/>
      <c r="AZ1857" s="23"/>
      <c r="BA1857" s="23"/>
      <c r="BB1857" s="23"/>
    </row>
    <row r="1858" spans="5:54" x14ac:dyDescent="0.35"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  <c r="AA1858" s="23"/>
      <c r="AB1858" s="23"/>
      <c r="AC1858" s="23"/>
      <c r="AD1858" s="23"/>
      <c r="AE1858" s="23"/>
      <c r="AF1858" s="23"/>
      <c r="AG1858" s="23"/>
      <c r="AH1858" s="23"/>
      <c r="AI1858" s="23"/>
      <c r="AJ1858" s="23"/>
      <c r="AK1858" s="23"/>
      <c r="AL1858" s="23"/>
      <c r="AM1858" s="23"/>
      <c r="AN1858" s="23"/>
      <c r="AO1858" s="23"/>
      <c r="AP1858" s="23"/>
      <c r="AQ1858" s="23"/>
      <c r="AR1858" s="23"/>
      <c r="AS1858" s="23"/>
      <c r="AT1858" s="23"/>
      <c r="AU1858" s="23"/>
      <c r="AV1858" s="23"/>
      <c r="AW1858" s="23"/>
      <c r="AX1858" s="23"/>
      <c r="AY1858" s="23"/>
      <c r="AZ1858" s="23"/>
      <c r="BA1858" s="23"/>
      <c r="BB1858" s="23"/>
    </row>
    <row r="1859" spans="5:54" x14ac:dyDescent="0.35"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  <c r="AA1859" s="23"/>
      <c r="AB1859" s="23"/>
      <c r="AC1859" s="23"/>
      <c r="AD1859" s="23"/>
      <c r="AE1859" s="23"/>
      <c r="AF1859" s="23"/>
      <c r="AG1859" s="23"/>
      <c r="AH1859" s="23"/>
      <c r="AI1859" s="23"/>
      <c r="AJ1859" s="23"/>
      <c r="AK1859" s="23"/>
      <c r="AL1859" s="23"/>
      <c r="AM1859" s="23"/>
      <c r="AN1859" s="23"/>
      <c r="AO1859" s="23"/>
      <c r="AP1859" s="23"/>
      <c r="AQ1859" s="23"/>
      <c r="AR1859" s="23"/>
      <c r="AS1859" s="23"/>
      <c r="AT1859" s="23"/>
      <c r="AU1859" s="23"/>
      <c r="AV1859" s="23"/>
      <c r="AW1859" s="23"/>
      <c r="AX1859" s="23"/>
      <c r="AY1859" s="23"/>
      <c r="AZ1859" s="23"/>
      <c r="BA1859" s="23"/>
      <c r="BB1859" s="23"/>
    </row>
    <row r="1860" spans="5:54" x14ac:dyDescent="0.35"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  <c r="AA1860" s="23"/>
      <c r="AB1860" s="23"/>
      <c r="AC1860" s="23"/>
      <c r="AD1860" s="23"/>
      <c r="AE1860" s="23"/>
      <c r="AF1860" s="23"/>
      <c r="AG1860" s="23"/>
      <c r="AH1860" s="23"/>
      <c r="AI1860" s="23"/>
      <c r="AJ1860" s="23"/>
      <c r="AK1860" s="23"/>
      <c r="AL1860" s="23"/>
      <c r="AM1860" s="23"/>
      <c r="AN1860" s="23"/>
      <c r="AO1860" s="23"/>
      <c r="AP1860" s="23"/>
      <c r="AQ1860" s="23"/>
      <c r="AR1860" s="23"/>
      <c r="AS1860" s="23"/>
      <c r="AT1860" s="23"/>
      <c r="AU1860" s="23"/>
      <c r="AV1860" s="23"/>
      <c r="AW1860" s="23"/>
      <c r="AX1860" s="23"/>
      <c r="AY1860" s="23"/>
      <c r="AZ1860" s="23"/>
      <c r="BA1860" s="23"/>
      <c r="BB1860" s="23"/>
    </row>
    <row r="1861" spans="5:54" x14ac:dyDescent="0.35"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  <c r="AA1861" s="23"/>
      <c r="AB1861" s="23"/>
      <c r="AC1861" s="23"/>
      <c r="AD1861" s="23"/>
      <c r="AE1861" s="23"/>
      <c r="AF1861" s="23"/>
      <c r="AG1861" s="23"/>
      <c r="AH1861" s="23"/>
      <c r="AI1861" s="23"/>
      <c r="AJ1861" s="23"/>
      <c r="AK1861" s="23"/>
      <c r="AL1861" s="23"/>
      <c r="AM1861" s="23"/>
      <c r="AN1861" s="23"/>
      <c r="AO1861" s="23"/>
      <c r="AP1861" s="23"/>
      <c r="AQ1861" s="23"/>
      <c r="AR1861" s="23"/>
      <c r="AS1861" s="23"/>
      <c r="AT1861" s="23"/>
      <c r="AU1861" s="23"/>
      <c r="AV1861" s="23"/>
      <c r="AW1861" s="23"/>
      <c r="AX1861" s="23"/>
      <c r="AY1861" s="23"/>
      <c r="AZ1861" s="23"/>
      <c r="BA1861" s="23"/>
      <c r="BB1861" s="23"/>
    </row>
    <row r="1862" spans="5:54" x14ac:dyDescent="0.35"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  <c r="AA1862" s="23"/>
      <c r="AB1862" s="23"/>
      <c r="AC1862" s="23"/>
      <c r="AD1862" s="23"/>
      <c r="AE1862" s="23"/>
      <c r="AF1862" s="23"/>
      <c r="AG1862" s="23"/>
      <c r="AH1862" s="23"/>
      <c r="AI1862" s="23"/>
      <c r="AJ1862" s="23"/>
      <c r="AK1862" s="23"/>
      <c r="AL1862" s="23"/>
      <c r="AM1862" s="23"/>
      <c r="AN1862" s="23"/>
      <c r="AO1862" s="23"/>
      <c r="AP1862" s="23"/>
      <c r="AQ1862" s="23"/>
      <c r="AR1862" s="23"/>
      <c r="AS1862" s="23"/>
      <c r="AT1862" s="23"/>
      <c r="AU1862" s="23"/>
      <c r="AV1862" s="23"/>
      <c r="AW1862" s="23"/>
      <c r="AX1862" s="23"/>
      <c r="AY1862" s="23"/>
      <c r="AZ1862" s="23"/>
      <c r="BA1862" s="23"/>
      <c r="BB1862" s="23"/>
    </row>
    <row r="1863" spans="5:54" x14ac:dyDescent="0.35"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  <c r="AA1863" s="23"/>
      <c r="AB1863" s="23"/>
      <c r="AC1863" s="23"/>
      <c r="AD1863" s="23"/>
      <c r="AE1863" s="23"/>
      <c r="AF1863" s="23"/>
      <c r="AG1863" s="23"/>
      <c r="AH1863" s="23"/>
      <c r="AI1863" s="23"/>
      <c r="AJ1863" s="23"/>
      <c r="AK1863" s="23"/>
      <c r="AL1863" s="23"/>
      <c r="AM1863" s="23"/>
      <c r="AN1863" s="23"/>
      <c r="AO1863" s="23"/>
      <c r="AP1863" s="23"/>
      <c r="AQ1863" s="23"/>
      <c r="AR1863" s="23"/>
      <c r="AS1863" s="23"/>
      <c r="AT1863" s="23"/>
      <c r="AU1863" s="23"/>
      <c r="AV1863" s="23"/>
      <c r="AW1863" s="23"/>
      <c r="AX1863" s="23"/>
      <c r="AY1863" s="23"/>
      <c r="AZ1863" s="23"/>
      <c r="BA1863" s="23"/>
      <c r="BB1863" s="23"/>
    </row>
    <row r="1864" spans="5:54" x14ac:dyDescent="0.35"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  <c r="AA1864" s="23"/>
      <c r="AB1864" s="23"/>
      <c r="AC1864" s="23"/>
      <c r="AD1864" s="23"/>
      <c r="AE1864" s="23"/>
      <c r="AF1864" s="23"/>
      <c r="AG1864" s="23"/>
      <c r="AH1864" s="23"/>
      <c r="AI1864" s="23"/>
      <c r="AJ1864" s="23"/>
      <c r="AK1864" s="23"/>
      <c r="AL1864" s="23"/>
      <c r="AM1864" s="23"/>
      <c r="AN1864" s="23"/>
      <c r="AO1864" s="23"/>
      <c r="AP1864" s="23"/>
      <c r="AQ1864" s="23"/>
      <c r="AR1864" s="23"/>
      <c r="AS1864" s="23"/>
      <c r="AT1864" s="23"/>
      <c r="AU1864" s="23"/>
      <c r="AV1864" s="23"/>
      <c r="AW1864" s="23"/>
      <c r="AX1864" s="23"/>
      <c r="AY1864" s="23"/>
      <c r="AZ1864" s="23"/>
      <c r="BA1864" s="23"/>
      <c r="BB1864" s="23"/>
    </row>
    <row r="1865" spans="5:54" x14ac:dyDescent="0.35"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  <c r="AA1865" s="23"/>
      <c r="AB1865" s="23"/>
      <c r="AC1865" s="23"/>
      <c r="AD1865" s="23"/>
      <c r="AE1865" s="23"/>
      <c r="AF1865" s="23"/>
      <c r="AG1865" s="23"/>
      <c r="AH1865" s="23"/>
      <c r="AI1865" s="23"/>
      <c r="AJ1865" s="23"/>
      <c r="AK1865" s="23"/>
      <c r="AL1865" s="23"/>
      <c r="AM1865" s="23"/>
      <c r="AN1865" s="23"/>
      <c r="AO1865" s="23"/>
      <c r="AP1865" s="23"/>
      <c r="AQ1865" s="23"/>
      <c r="AR1865" s="23"/>
      <c r="AS1865" s="23"/>
      <c r="AT1865" s="23"/>
      <c r="AU1865" s="23"/>
      <c r="AV1865" s="23"/>
      <c r="AW1865" s="23"/>
      <c r="AX1865" s="23"/>
      <c r="AY1865" s="23"/>
      <c r="AZ1865" s="23"/>
      <c r="BA1865" s="23"/>
      <c r="BB1865" s="23"/>
    </row>
    <row r="1866" spans="5:54" x14ac:dyDescent="0.35"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  <c r="AA1866" s="23"/>
      <c r="AB1866" s="23"/>
      <c r="AC1866" s="23"/>
      <c r="AD1866" s="23"/>
      <c r="AE1866" s="23"/>
      <c r="AF1866" s="23"/>
      <c r="AG1866" s="23"/>
      <c r="AH1866" s="23"/>
      <c r="AI1866" s="23"/>
      <c r="AJ1866" s="23"/>
      <c r="AK1866" s="23"/>
      <c r="AL1866" s="23"/>
      <c r="AM1866" s="23"/>
      <c r="AN1866" s="23"/>
      <c r="AO1866" s="23"/>
      <c r="AP1866" s="23"/>
      <c r="AQ1866" s="23"/>
      <c r="AR1866" s="23"/>
      <c r="AS1866" s="23"/>
      <c r="AT1866" s="23"/>
      <c r="AU1866" s="23"/>
      <c r="AV1866" s="23"/>
      <c r="AW1866" s="23"/>
      <c r="AX1866" s="23"/>
      <c r="AY1866" s="23"/>
      <c r="AZ1866" s="23"/>
      <c r="BA1866" s="23"/>
      <c r="BB1866" s="23"/>
    </row>
    <row r="1867" spans="5:54" x14ac:dyDescent="0.35"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  <c r="AA1867" s="23"/>
      <c r="AB1867" s="23"/>
      <c r="AC1867" s="23"/>
      <c r="AD1867" s="23"/>
      <c r="AE1867" s="23"/>
      <c r="AF1867" s="23"/>
      <c r="AG1867" s="23"/>
      <c r="AH1867" s="23"/>
      <c r="AI1867" s="23"/>
      <c r="AJ1867" s="23"/>
      <c r="AK1867" s="23"/>
      <c r="AL1867" s="23"/>
      <c r="AM1867" s="23"/>
      <c r="AN1867" s="23"/>
      <c r="AO1867" s="23"/>
      <c r="AP1867" s="23"/>
      <c r="AQ1867" s="23"/>
      <c r="AR1867" s="23"/>
      <c r="AS1867" s="23"/>
      <c r="AT1867" s="23"/>
      <c r="AU1867" s="23"/>
      <c r="AV1867" s="23"/>
      <c r="AW1867" s="23"/>
      <c r="AX1867" s="23"/>
      <c r="AY1867" s="23"/>
      <c r="AZ1867" s="23"/>
      <c r="BA1867" s="23"/>
      <c r="BB1867" s="23"/>
    </row>
    <row r="1868" spans="5:54" x14ac:dyDescent="0.35"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  <c r="AA1868" s="23"/>
      <c r="AB1868" s="23"/>
      <c r="AC1868" s="23"/>
      <c r="AD1868" s="23"/>
      <c r="AE1868" s="23"/>
      <c r="AF1868" s="23"/>
      <c r="AG1868" s="23"/>
      <c r="AH1868" s="23"/>
      <c r="AI1868" s="23"/>
      <c r="AJ1868" s="23"/>
      <c r="AK1868" s="23"/>
      <c r="AL1868" s="23"/>
      <c r="AM1868" s="23"/>
      <c r="AN1868" s="23"/>
      <c r="AO1868" s="23"/>
      <c r="AP1868" s="23"/>
      <c r="AQ1868" s="23"/>
      <c r="AR1868" s="23"/>
      <c r="AS1868" s="23"/>
      <c r="AT1868" s="23"/>
      <c r="AU1868" s="23"/>
      <c r="AV1868" s="23"/>
      <c r="AW1868" s="23"/>
      <c r="AX1868" s="23"/>
      <c r="AY1868" s="23"/>
      <c r="AZ1868" s="23"/>
      <c r="BA1868" s="23"/>
      <c r="BB1868" s="23"/>
    </row>
    <row r="1869" spans="5:54" x14ac:dyDescent="0.35"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  <c r="AA1869" s="23"/>
      <c r="AB1869" s="23"/>
      <c r="AC1869" s="23"/>
      <c r="AD1869" s="23"/>
      <c r="AE1869" s="23"/>
      <c r="AF1869" s="23"/>
      <c r="AG1869" s="23"/>
      <c r="AH1869" s="23"/>
      <c r="AI1869" s="23"/>
      <c r="AJ1869" s="23"/>
      <c r="AK1869" s="23"/>
      <c r="AL1869" s="23"/>
      <c r="AM1869" s="23"/>
      <c r="AN1869" s="23"/>
      <c r="AO1869" s="23"/>
      <c r="AP1869" s="23"/>
      <c r="AQ1869" s="23"/>
      <c r="AR1869" s="23"/>
      <c r="AS1869" s="23"/>
      <c r="AT1869" s="23"/>
      <c r="AU1869" s="23"/>
      <c r="AV1869" s="23"/>
      <c r="AW1869" s="23"/>
      <c r="AX1869" s="23"/>
      <c r="AY1869" s="23"/>
      <c r="AZ1869" s="23"/>
      <c r="BA1869" s="23"/>
      <c r="BB1869" s="23"/>
    </row>
    <row r="1870" spans="5:54" x14ac:dyDescent="0.35"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  <c r="AA1870" s="23"/>
      <c r="AB1870" s="23"/>
      <c r="AC1870" s="23"/>
      <c r="AD1870" s="23"/>
      <c r="AE1870" s="23"/>
      <c r="AF1870" s="23"/>
      <c r="AG1870" s="23"/>
      <c r="AH1870" s="23"/>
      <c r="AI1870" s="23"/>
      <c r="AJ1870" s="23"/>
      <c r="AK1870" s="23"/>
      <c r="AL1870" s="23"/>
      <c r="AM1870" s="23"/>
      <c r="AN1870" s="23"/>
      <c r="AO1870" s="23"/>
      <c r="AP1870" s="23"/>
      <c r="AQ1870" s="23"/>
      <c r="AR1870" s="23"/>
      <c r="AS1870" s="23"/>
      <c r="AT1870" s="23"/>
      <c r="AU1870" s="23"/>
      <c r="AV1870" s="23"/>
      <c r="AW1870" s="23"/>
      <c r="AX1870" s="23"/>
      <c r="AY1870" s="23"/>
      <c r="AZ1870" s="23"/>
      <c r="BA1870" s="23"/>
      <c r="BB1870" s="23"/>
    </row>
    <row r="1871" spans="5:54" x14ac:dyDescent="0.35"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  <c r="AA1871" s="23"/>
      <c r="AB1871" s="23"/>
      <c r="AC1871" s="23"/>
      <c r="AD1871" s="23"/>
      <c r="AE1871" s="23"/>
      <c r="AF1871" s="23"/>
      <c r="AG1871" s="23"/>
      <c r="AH1871" s="23"/>
      <c r="AI1871" s="23"/>
      <c r="AJ1871" s="23"/>
      <c r="AK1871" s="23"/>
      <c r="AL1871" s="23"/>
      <c r="AM1871" s="23"/>
      <c r="AN1871" s="23"/>
      <c r="AO1871" s="23"/>
      <c r="AP1871" s="23"/>
      <c r="AQ1871" s="23"/>
      <c r="AR1871" s="23"/>
      <c r="AS1871" s="23"/>
      <c r="AT1871" s="23"/>
      <c r="AU1871" s="23"/>
      <c r="AV1871" s="23"/>
      <c r="AW1871" s="23"/>
      <c r="AX1871" s="23"/>
      <c r="AY1871" s="23"/>
      <c r="AZ1871" s="23"/>
      <c r="BA1871" s="23"/>
      <c r="BB1871" s="23"/>
    </row>
    <row r="1872" spans="5:54" x14ac:dyDescent="0.35"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  <c r="AA1872" s="23"/>
      <c r="AB1872" s="23"/>
      <c r="AC1872" s="23"/>
      <c r="AD1872" s="23"/>
      <c r="AE1872" s="23"/>
      <c r="AF1872" s="23"/>
      <c r="AG1872" s="23"/>
      <c r="AH1872" s="23"/>
      <c r="AI1872" s="23"/>
      <c r="AJ1872" s="23"/>
      <c r="AK1872" s="23"/>
      <c r="AL1872" s="23"/>
      <c r="AM1872" s="23"/>
      <c r="AN1872" s="23"/>
      <c r="AO1872" s="23"/>
      <c r="AP1872" s="23"/>
      <c r="AQ1872" s="23"/>
      <c r="AR1872" s="23"/>
      <c r="AS1872" s="23"/>
      <c r="AT1872" s="23"/>
      <c r="AU1872" s="23"/>
      <c r="AV1872" s="23"/>
      <c r="AW1872" s="23"/>
      <c r="AX1872" s="23"/>
      <c r="AY1872" s="23"/>
      <c r="AZ1872" s="23"/>
      <c r="BA1872" s="23"/>
      <c r="BB1872" s="23"/>
    </row>
    <row r="1873" spans="5:54" x14ac:dyDescent="0.35"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  <c r="AA1873" s="23"/>
      <c r="AB1873" s="23"/>
      <c r="AC1873" s="23"/>
      <c r="AD1873" s="23"/>
      <c r="AE1873" s="23"/>
      <c r="AF1873" s="23"/>
      <c r="AG1873" s="23"/>
      <c r="AH1873" s="23"/>
      <c r="AI1873" s="23"/>
      <c r="AJ1873" s="23"/>
      <c r="AK1873" s="23"/>
      <c r="AL1873" s="23"/>
      <c r="AM1873" s="23"/>
      <c r="AN1873" s="23"/>
      <c r="AO1873" s="23"/>
      <c r="AP1873" s="23"/>
      <c r="AQ1873" s="23"/>
      <c r="AR1873" s="23"/>
      <c r="AS1873" s="23"/>
      <c r="AT1873" s="23"/>
      <c r="AU1873" s="23"/>
      <c r="AV1873" s="23"/>
      <c r="AW1873" s="23"/>
      <c r="AX1873" s="23"/>
      <c r="AY1873" s="23"/>
      <c r="AZ1873" s="23"/>
      <c r="BA1873" s="23"/>
      <c r="BB1873" s="23"/>
    </row>
    <row r="1874" spans="5:54" x14ac:dyDescent="0.35"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  <c r="AA1874" s="23"/>
      <c r="AB1874" s="23"/>
      <c r="AC1874" s="23"/>
      <c r="AD1874" s="23"/>
      <c r="AE1874" s="23"/>
      <c r="AF1874" s="23"/>
      <c r="AG1874" s="23"/>
      <c r="AH1874" s="23"/>
      <c r="AI1874" s="23"/>
      <c r="AJ1874" s="23"/>
      <c r="AK1874" s="23"/>
      <c r="AL1874" s="23"/>
      <c r="AM1874" s="23"/>
      <c r="AN1874" s="23"/>
      <c r="AO1874" s="23"/>
      <c r="AP1874" s="23"/>
      <c r="AQ1874" s="23"/>
      <c r="AR1874" s="23"/>
      <c r="AS1874" s="23"/>
      <c r="AT1874" s="23"/>
      <c r="AU1874" s="23"/>
      <c r="AV1874" s="23"/>
      <c r="AW1874" s="23"/>
      <c r="AX1874" s="23"/>
      <c r="AY1874" s="23"/>
      <c r="AZ1874" s="23"/>
      <c r="BA1874" s="23"/>
      <c r="BB1874" s="23"/>
    </row>
    <row r="1875" spans="5:54" x14ac:dyDescent="0.35"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  <c r="AA1875" s="23"/>
      <c r="AB1875" s="23"/>
      <c r="AC1875" s="23"/>
      <c r="AD1875" s="23"/>
      <c r="AE1875" s="23"/>
      <c r="AF1875" s="23"/>
      <c r="AG1875" s="23"/>
      <c r="AH1875" s="23"/>
      <c r="AI1875" s="23"/>
      <c r="AJ1875" s="23"/>
      <c r="AK1875" s="23"/>
      <c r="AL1875" s="23"/>
      <c r="AM1875" s="23"/>
      <c r="AN1875" s="23"/>
      <c r="AO1875" s="23"/>
      <c r="AP1875" s="23"/>
      <c r="AQ1875" s="23"/>
      <c r="AR1875" s="23"/>
      <c r="AS1875" s="23"/>
      <c r="AT1875" s="23"/>
      <c r="AU1875" s="23"/>
      <c r="AV1875" s="23"/>
      <c r="AW1875" s="23"/>
      <c r="AX1875" s="23"/>
      <c r="AY1875" s="23"/>
      <c r="AZ1875" s="23"/>
      <c r="BA1875" s="23"/>
      <c r="BB1875" s="23"/>
    </row>
    <row r="1876" spans="5:54" x14ac:dyDescent="0.35"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  <c r="AA1876" s="23"/>
      <c r="AB1876" s="23"/>
      <c r="AC1876" s="23"/>
      <c r="AD1876" s="23"/>
      <c r="AE1876" s="23"/>
      <c r="AF1876" s="23"/>
      <c r="AG1876" s="23"/>
      <c r="AH1876" s="23"/>
      <c r="AI1876" s="23"/>
      <c r="AJ1876" s="23"/>
      <c r="AK1876" s="23"/>
      <c r="AL1876" s="23"/>
      <c r="AM1876" s="23"/>
      <c r="AN1876" s="23"/>
      <c r="AO1876" s="23"/>
      <c r="AP1876" s="23"/>
      <c r="AQ1876" s="23"/>
      <c r="AR1876" s="23"/>
      <c r="AS1876" s="23"/>
      <c r="AT1876" s="23"/>
      <c r="AU1876" s="23"/>
      <c r="AV1876" s="23"/>
      <c r="AW1876" s="23"/>
      <c r="AX1876" s="23"/>
      <c r="AY1876" s="23"/>
      <c r="AZ1876" s="23"/>
      <c r="BA1876" s="23"/>
      <c r="BB1876" s="23"/>
    </row>
    <row r="1877" spans="5:54" x14ac:dyDescent="0.35"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  <c r="AA1877" s="23"/>
      <c r="AB1877" s="23"/>
      <c r="AC1877" s="23"/>
      <c r="AD1877" s="23"/>
      <c r="AE1877" s="23"/>
      <c r="AF1877" s="23"/>
      <c r="AG1877" s="23"/>
      <c r="AH1877" s="23"/>
      <c r="AI1877" s="23"/>
      <c r="AJ1877" s="23"/>
      <c r="AK1877" s="23"/>
      <c r="AL1877" s="23"/>
      <c r="AM1877" s="23"/>
      <c r="AN1877" s="23"/>
      <c r="AO1877" s="23"/>
      <c r="AP1877" s="23"/>
      <c r="AQ1877" s="23"/>
      <c r="AR1877" s="23"/>
      <c r="AS1877" s="23"/>
      <c r="AT1877" s="23"/>
      <c r="AU1877" s="23"/>
      <c r="AV1877" s="23"/>
      <c r="AW1877" s="23"/>
      <c r="AX1877" s="23"/>
      <c r="AY1877" s="23"/>
      <c r="AZ1877" s="23"/>
      <c r="BA1877" s="23"/>
      <c r="BB1877" s="23"/>
    </row>
    <row r="1878" spans="5:54" x14ac:dyDescent="0.35"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  <c r="AA1878" s="23"/>
      <c r="AB1878" s="23"/>
      <c r="AC1878" s="23"/>
      <c r="AD1878" s="23"/>
      <c r="AE1878" s="23"/>
      <c r="AF1878" s="23"/>
      <c r="AG1878" s="23"/>
      <c r="AH1878" s="23"/>
      <c r="AI1878" s="23"/>
      <c r="AJ1878" s="23"/>
      <c r="AK1878" s="23"/>
      <c r="AL1878" s="23"/>
      <c r="AM1878" s="23"/>
      <c r="AN1878" s="23"/>
      <c r="AO1878" s="23"/>
      <c r="AP1878" s="23"/>
      <c r="AQ1878" s="23"/>
      <c r="AR1878" s="23"/>
      <c r="AS1878" s="23"/>
      <c r="AT1878" s="23"/>
      <c r="AU1878" s="23"/>
      <c r="AV1878" s="23"/>
      <c r="AW1878" s="23"/>
      <c r="AX1878" s="23"/>
      <c r="AY1878" s="23"/>
      <c r="AZ1878" s="23"/>
      <c r="BA1878" s="23"/>
      <c r="BB1878" s="23"/>
    </row>
    <row r="1879" spans="5:54" x14ac:dyDescent="0.35"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  <c r="AA1879" s="23"/>
      <c r="AB1879" s="23"/>
      <c r="AC1879" s="23"/>
      <c r="AD1879" s="23"/>
      <c r="AE1879" s="23"/>
      <c r="AF1879" s="23"/>
      <c r="AG1879" s="23"/>
      <c r="AH1879" s="23"/>
      <c r="AI1879" s="23"/>
      <c r="AJ1879" s="23"/>
      <c r="AK1879" s="23"/>
      <c r="AL1879" s="23"/>
      <c r="AM1879" s="23"/>
      <c r="AN1879" s="23"/>
      <c r="AO1879" s="23"/>
      <c r="AP1879" s="23"/>
      <c r="AQ1879" s="23"/>
      <c r="AR1879" s="23"/>
      <c r="AS1879" s="23"/>
      <c r="AT1879" s="23"/>
      <c r="AU1879" s="23"/>
      <c r="AV1879" s="23"/>
      <c r="AW1879" s="23"/>
      <c r="AX1879" s="23"/>
      <c r="AY1879" s="23"/>
      <c r="AZ1879" s="23"/>
      <c r="BA1879" s="23"/>
      <c r="BB1879" s="23"/>
    </row>
    <row r="1880" spans="5:54" x14ac:dyDescent="0.35"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  <c r="AA1880" s="23"/>
      <c r="AB1880" s="23"/>
      <c r="AC1880" s="23"/>
      <c r="AD1880" s="23"/>
      <c r="AE1880" s="23"/>
      <c r="AF1880" s="23"/>
      <c r="AG1880" s="23"/>
      <c r="AH1880" s="23"/>
      <c r="AI1880" s="23"/>
      <c r="AJ1880" s="23"/>
      <c r="AK1880" s="23"/>
      <c r="AL1880" s="23"/>
      <c r="AM1880" s="23"/>
      <c r="AN1880" s="23"/>
      <c r="AO1880" s="23"/>
      <c r="AP1880" s="23"/>
      <c r="AQ1880" s="23"/>
      <c r="AR1880" s="23"/>
      <c r="AS1880" s="23"/>
      <c r="AT1880" s="23"/>
      <c r="AU1880" s="23"/>
      <c r="AV1880" s="23"/>
      <c r="AW1880" s="23"/>
      <c r="AX1880" s="23"/>
      <c r="AY1880" s="23"/>
      <c r="AZ1880" s="23"/>
      <c r="BA1880" s="23"/>
      <c r="BB1880" s="23"/>
    </row>
    <row r="1881" spans="5:54" x14ac:dyDescent="0.35"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  <c r="AA1881" s="23"/>
      <c r="AB1881" s="23"/>
      <c r="AC1881" s="23"/>
      <c r="AD1881" s="23"/>
      <c r="AE1881" s="23"/>
      <c r="AF1881" s="23"/>
      <c r="AG1881" s="23"/>
      <c r="AH1881" s="23"/>
      <c r="AI1881" s="23"/>
      <c r="AJ1881" s="23"/>
      <c r="AK1881" s="23"/>
      <c r="AL1881" s="23"/>
      <c r="AM1881" s="23"/>
      <c r="AN1881" s="23"/>
      <c r="AO1881" s="23"/>
      <c r="AP1881" s="23"/>
      <c r="AQ1881" s="23"/>
      <c r="AR1881" s="23"/>
      <c r="AS1881" s="23"/>
      <c r="AT1881" s="23"/>
      <c r="AU1881" s="23"/>
      <c r="AV1881" s="23"/>
      <c r="AW1881" s="23"/>
      <c r="AX1881" s="23"/>
      <c r="AY1881" s="23"/>
      <c r="AZ1881" s="23"/>
      <c r="BA1881" s="23"/>
      <c r="BB1881" s="23"/>
    </row>
    <row r="1882" spans="5:54" x14ac:dyDescent="0.35"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  <c r="AA1882" s="23"/>
      <c r="AB1882" s="23"/>
      <c r="AC1882" s="23"/>
      <c r="AD1882" s="23"/>
      <c r="AE1882" s="23"/>
      <c r="AF1882" s="23"/>
      <c r="AG1882" s="23"/>
      <c r="AH1882" s="23"/>
      <c r="AI1882" s="23"/>
      <c r="AJ1882" s="23"/>
      <c r="AK1882" s="23"/>
      <c r="AL1882" s="23"/>
      <c r="AM1882" s="23"/>
      <c r="AN1882" s="23"/>
      <c r="AO1882" s="23"/>
      <c r="AP1882" s="23"/>
      <c r="AQ1882" s="23"/>
      <c r="AR1882" s="23"/>
      <c r="AS1882" s="23"/>
      <c r="AT1882" s="23"/>
      <c r="AU1882" s="23"/>
      <c r="AV1882" s="23"/>
      <c r="AW1882" s="23"/>
      <c r="AX1882" s="23"/>
      <c r="AY1882" s="23"/>
      <c r="AZ1882" s="23"/>
      <c r="BA1882" s="23"/>
      <c r="BB1882" s="23"/>
    </row>
    <row r="1883" spans="5:54" x14ac:dyDescent="0.35"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  <c r="AA1883" s="23"/>
      <c r="AB1883" s="23"/>
      <c r="AC1883" s="23"/>
      <c r="AD1883" s="23"/>
      <c r="AE1883" s="23"/>
      <c r="AF1883" s="23"/>
      <c r="AG1883" s="23"/>
      <c r="AH1883" s="23"/>
      <c r="AI1883" s="23"/>
      <c r="AJ1883" s="23"/>
      <c r="AK1883" s="23"/>
      <c r="AL1883" s="23"/>
      <c r="AM1883" s="23"/>
      <c r="AN1883" s="23"/>
      <c r="AO1883" s="23"/>
      <c r="AP1883" s="23"/>
      <c r="AQ1883" s="23"/>
      <c r="AR1883" s="23"/>
      <c r="AS1883" s="23"/>
      <c r="AT1883" s="23"/>
      <c r="AU1883" s="23"/>
      <c r="AV1883" s="23"/>
      <c r="AW1883" s="23"/>
      <c r="AX1883" s="23"/>
      <c r="AY1883" s="23"/>
      <c r="AZ1883" s="23"/>
      <c r="BA1883" s="23"/>
      <c r="BB1883" s="23"/>
    </row>
    <row r="1884" spans="5:54" x14ac:dyDescent="0.35"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  <c r="AA1884" s="23"/>
      <c r="AB1884" s="23"/>
      <c r="AC1884" s="23"/>
      <c r="AD1884" s="23"/>
      <c r="AE1884" s="23"/>
      <c r="AF1884" s="23"/>
      <c r="AG1884" s="23"/>
      <c r="AH1884" s="23"/>
      <c r="AI1884" s="23"/>
      <c r="AJ1884" s="23"/>
      <c r="AK1884" s="23"/>
      <c r="AL1884" s="23"/>
      <c r="AM1884" s="23"/>
      <c r="AN1884" s="23"/>
      <c r="AO1884" s="23"/>
      <c r="AP1884" s="23"/>
      <c r="AQ1884" s="23"/>
      <c r="AR1884" s="23"/>
      <c r="AS1884" s="23"/>
      <c r="AT1884" s="23"/>
      <c r="AU1884" s="23"/>
      <c r="AV1884" s="23"/>
      <c r="AW1884" s="23"/>
      <c r="AX1884" s="23"/>
      <c r="AY1884" s="23"/>
      <c r="AZ1884" s="23"/>
      <c r="BA1884" s="23"/>
      <c r="BB1884" s="23"/>
    </row>
    <row r="1885" spans="5:54" x14ac:dyDescent="0.35"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  <c r="AA1885" s="23"/>
      <c r="AB1885" s="23"/>
      <c r="AC1885" s="23"/>
      <c r="AD1885" s="23"/>
      <c r="AE1885" s="23"/>
      <c r="AF1885" s="23"/>
      <c r="AG1885" s="23"/>
      <c r="AH1885" s="23"/>
      <c r="AI1885" s="23"/>
      <c r="AJ1885" s="23"/>
      <c r="AK1885" s="23"/>
      <c r="AL1885" s="23"/>
      <c r="AM1885" s="23"/>
      <c r="AN1885" s="23"/>
      <c r="AO1885" s="23"/>
      <c r="AP1885" s="23"/>
      <c r="AQ1885" s="23"/>
      <c r="AR1885" s="23"/>
      <c r="AS1885" s="23"/>
      <c r="AT1885" s="23"/>
      <c r="AU1885" s="23"/>
      <c r="AV1885" s="23"/>
      <c r="AW1885" s="23"/>
      <c r="AX1885" s="23"/>
      <c r="AY1885" s="23"/>
      <c r="AZ1885" s="23"/>
      <c r="BA1885" s="23"/>
      <c r="BB1885" s="23"/>
    </row>
    <row r="1886" spans="5:54" x14ac:dyDescent="0.35"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  <c r="AA1886" s="23"/>
      <c r="AB1886" s="23"/>
      <c r="AC1886" s="23"/>
      <c r="AD1886" s="23"/>
      <c r="AE1886" s="23"/>
      <c r="AF1886" s="23"/>
      <c r="AG1886" s="23"/>
      <c r="AH1886" s="23"/>
      <c r="AI1886" s="23"/>
      <c r="AJ1886" s="23"/>
      <c r="AK1886" s="23"/>
      <c r="AL1886" s="23"/>
      <c r="AM1886" s="23"/>
      <c r="AN1886" s="23"/>
      <c r="AO1886" s="23"/>
      <c r="AP1886" s="23"/>
      <c r="AQ1886" s="23"/>
      <c r="AR1886" s="23"/>
      <c r="AS1886" s="23"/>
      <c r="AT1886" s="23"/>
      <c r="AU1886" s="23"/>
      <c r="AV1886" s="23"/>
      <c r="AW1886" s="23"/>
      <c r="AX1886" s="23"/>
      <c r="AY1886" s="23"/>
      <c r="AZ1886" s="23"/>
      <c r="BA1886" s="23"/>
      <c r="BB1886" s="23"/>
    </row>
    <row r="1887" spans="5:54" x14ac:dyDescent="0.35"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  <c r="AA1887" s="23"/>
      <c r="AB1887" s="23"/>
      <c r="AC1887" s="23"/>
      <c r="AD1887" s="23"/>
      <c r="AE1887" s="23"/>
      <c r="AF1887" s="23"/>
      <c r="AG1887" s="23"/>
      <c r="AH1887" s="23"/>
      <c r="AI1887" s="23"/>
      <c r="AJ1887" s="23"/>
      <c r="AK1887" s="23"/>
      <c r="AL1887" s="23"/>
      <c r="AM1887" s="23"/>
      <c r="AN1887" s="23"/>
      <c r="AO1887" s="23"/>
      <c r="AP1887" s="23"/>
      <c r="AQ1887" s="23"/>
      <c r="AR1887" s="23"/>
      <c r="AS1887" s="23"/>
      <c r="AT1887" s="23"/>
      <c r="AU1887" s="23"/>
      <c r="AV1887" s="23"/>
      <c r="AW1887" s="23"/>
      <c r="AX1887" s="23"/>
      <c r="AY1887" s="23"/>
      <c r="AZ1887" s="23"/>
      <c r="BA1887" s="23"/>
      <c r="BB1887" s="23"/>
    </row>
    <row r="1888" spans="5:54" x14ac:dyDescent="0.35"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  <c r="AA1888" s="23"/>
      <c r="AB1888" s="23"/>
      <c r="AC1888" s="23"/>
      <c r="AD1888" s="23"/>
      <c r="AE1888" s="23"/>
      <c r="AF1888" s="23"/>
      <c r="AG1888" s="23"/>
      <c r="AH1888" s="23"/>
      <c r="AI1888" s="23"/>
      <c r="AJ1888" s="23"/>
      <c r="AK1888" s="23"/>
      <c r="AL1888" s="23"/>
      <c r="AM1888" s="23"/>
      <c r="AN1888" s="23"/>
      <c r="AO1888" s="23"/>
      <c r="AP1888" s="23"/>
      <c r="AQ1888" s="23"/>
      <c r="AR1888" s="23"/>
      <c r="AS1888" s="23"/>
      <c r="AT1888" s="23"/>
      <c r="AU1888" s="23"/>
      <c r="AV1888" s="23"/>
      <c r="AW1888" s="23"/>
      <c r="AX1888" s="23"/>
      <c r="AY1888" s="23"/>
      <c r="AZ1888" s="23"/>
      <c r="BA1888" s="23"/>
      <c r="BB1888" s="23"/>
    </row>
    <row r="1889" spans="5:54" x14ac:dyDescent="0.35"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  <c r="AA1889" s="23"/>
      <c r="AB1889" s="23"/>
      <c r="AC1889" s="23"/>
      <c r="AD1889" s="23"/>
      <c r="AE1889" s="23"/>
      <c r="AF1889" s="23"/>
      <c r="AG1889" s="23"/>
      <c r="AH1889" s="23"/>
      <c r="AI1889" s="23"/>
      <c r="AJ1889" s="23"/>
      <c r="AK1889" s="23"/>
      <c r="AL1889" s="23"/>
      <c r="AM1889" s="23"/>
      <c r="AN1889" s="23"/>
      <c r="AO1889" s="23"/>
      <c r="AP1889" s="23"/>
      <c r="AQ1889" s="23"/>
      <c r="AR1889" s="23"/>
      <c r="AS1889" s="23"/>
      <c r="AT1889" s="23"/>
      <c r="AU1889" s="23"/>
      <c r="AV1889" s="23"/>
      <c r="AW1889" s="23"/>
      <c r="AX1889" s="23"/>
      <c r="AY1889" s="23"/>
      <c r="AZ1889" s="23"/>
      <c r="BA1889" s="23"/>
      <c r="BB1889" s="23"/>
    </row>
    <row r="1890" spans="5:54" x14ac:dyDescent="0.35"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  <c r="AA1890" s="23"/>
      <c r="AB1890" s="23"/>
      <c r="AC1890" s="23"/>
      <c r="AD1890" s="23"/>
      <c r="AE1890" s="23"/>
      <c r="AF1890" s="23"/>
      <c r="AG1890" s="23"/>
      <c r="AH1890" s="23"/>
      <c r="AI1890" s="23"/>
      <c r="AJ1890" s="23"/>
      <c r="AK1890" s="23"/>
      <c r="AL1890" s="23"/>
      <c r="AM1890" s="23"/>
      <c r="AN1890" s="23"/>
      <c r="AO1890" s="23"/>
      <c r="AP1890" s="23"/>
      <c r="AQ1890" s="23"/>
      <c r="AR1890" s="23"/>
      <c r="AS1890" s="23"/>
      <c r="AT1890" s="23"/>
      <c r="AU1890" s="23"/>
      <c r="AV1890" s="23"/>
      <c r="AW1890" s="23"/>
      <c r="AX1890" s="23"/>
      <c r="AY1890" s="23"/>
      <c r="AZ1890" s="23"/>
      <c r="BA1890" s="23"/>
      <c r="BB1890" s="23"/>
    </row>
    <row r="1891" spans="5:54" x14ac:dyDescent="0.35"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  <c r="AA1891" s="23"/>
      <c r="AB1891" s="23"/>
      <c r="AC1891" s="23"/>
      <c r="AD1891" s="23"/>
      <c r="AE1891" s="23"/>
      <c r="AF1891" s="23"/>
      <c r="AG1891" s="23"/>
      <c r="AH1891" s="23"/>
      <c r="AI1891" s="23"/>
      <c r="AJ1891" s="23"/>
      <c r="AK1891" s="23"/>
      <c r="AL1891" s="23"/>
      <c r="AM1891" s="23"/>
      <c r="AN1891" s="23"/>
      <c r="AO1891" s="23"/>
      <c r="AP1891" s="23"/>
      <c r="AQ1891" s="23"/>
      <c r="AR1891" s="23"/>
      <c r="AS1891" s="23"/>
      <c r="AT1891" s="23"/>
      <c r="AU1891" s="23"/>
      <c r="AV1891" s="23"/>
      <c r="AW1891" s="23"/>
      <c r="AX1891" s="23"/>
      <c r="AY1891" s="23"/>
      <c r="AZ1891" s="23"/>
      <c r="BA1891" s="23"/>
      <c r="BB1891" s="23"/>
    </row>
    <row r="1892" spans="5:54" x14ac:dyDescent="0.35"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  <c r="AA1892" s="23"/>
      <c r="AB1892" s="23"/>
      <c r="AC1892" s="23"/>
      <c r="AD1892" s="23"/>
      <c r="AE1892" s="23"/>
      <c r="AF1892" s="23"/>
      <c r="AG1892" s="23"/>
      <c r="AH1892" s="23"/>
      <c r="AI1892" s="23"/>
      <c r="AJ1892" s="23"/>
      <c r="AK1892" s="23"/>
      <c r="AL1892" s="23"/>
      <c r="AM1892" s="23"/>
      <c r="AN1892" s="23"/>
      <c r="AO1892" s="23"/>
      <c r="AP1892" s="23"/>
      <c r="AQ1892" s="23"/>
      <c r="AR1892" s="23"/>
      <c r="AS1892" s="23"/>
      <c r="AT1892" s="23"/>
      <c r="AU1892" s="23"/>
      <c r="AV1892" s="23"/>
      <c r="AW1892" s="23"/>
      <c r="AX1892" s="23"/>
      <c r="AY1892" s="23"/>
      <c r="AZ1892" s="23"/>
      <c r="BA1892" s="23"/>
      <c r="BB1892" s="23"/>
    </row>
    <row r="1893" spans="5:54" x14ac:dyDescent="0.35"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  <c r="AA1893" s="23"/>
      <c r="AB1893" s="23"/>
      <c r="AC1893" s="23"/>
      <c r="AD1893" s="23"/>
      <c r="AE1893" s="23"/>
      <c r="AF1893" s="23"/>
      <c r="AG1893" s="23"/>
      <c r="AH1893" s="23"/>
      <c r="AI1893" s="23"/>
      <c r="AJ1893" s="23"/>
      <c r="AK1893" s="23"/>
      <c r="AL1893" s="23"/>
      <c r="AM1893" s="23"/>
      <c r="AN1893" s="23"/>
      <c r="AO1893" s="23"/>
      <c r="AP1893" s="23"/>
      <c r="AQ1893" s="23"/>
      <c r="AR1893" s="23"/>
      <c r="AS1893" s="23"/>
      <c r="AT1893" s="23"/>
      <c r="AU1893" s="23"/>
      <c r="AV1893" s="23"/>
      <c r="AW1893" s="23"/>
      <c r="AX1893" s="23"/>
      <c r="AY1893" s="23"/>
      <c r="AZ1893" s="23"/>
      <c r="BA1893" s="23"/>
      <c r="BB1893" s="23"/>
    </row>
    <row r="1894" spans="5:54" x14ac:dyDescent="0.35"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  <c r="AA1894" s="23"/>
      <c r="AB1894" s="23"/>
      <c r="AC1894" s="23"/>
      <c r="AD1894" s="23"/>
      <c r="AE1894" s="23"/>
      <c r="AF1894" s="23"/>
      <c r="AG1894" s="23"/>
      <c r="AH1894" s="23"/>
      <c r="AI1894" s="23"/>
      <c r="AJ1894" s="23"/>
      <c r="AK1894" s="23"/>
      <c r="AL1894" s="23"/>
      <c r="AM1894" s="23"/>
      <c r="AN1894" s="23"/>
      <c r="AO1894" s="23"/>
      <c r="AP1894" s="23"/>
      <c r="AQ1894" s="23"/>
      <c r="AR1894" s="23"/>
      <c r="AS1894" s="23"/>
      <c r="AT1894" s="23"/>
      <c r="AU1894" s="23"/>
      <c r="AV1894" s="23"/>
      <c r="AW1894" s="23"/>
      <c r="AX1894" s="23"/>
      <c r="AY1894" s="23"/>
      <c r="AZ1894" s="23"/>
      <c r="BA1894" s="23"/>
      <c r="BB1894" s="23"/>
    </row>
    <row r="1895" spans="5:54" x14ac:dyDescent="0.35"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  <c r="AA1895" s="23"/>
      <c r="AB1895" s="23"/>
      <c r="AC1895" s="23"/>
      <c r="AD1895" s="23"/>
      <c r="AE1895" s="23"/>
      <c r="AF1895" s="23"/>
      <c r="AG1895" s="23"/>
      <c r="AH1895" s="23"/>
      <c r="AI1895" s="23"/>
      <c r="AJ1895" s="23"/>
      <c r="AK1895" s="23"/>
      <c r="AL1895" s="23"/>
      <c r="AM1895" s="23"/>
      <c r="AN1895" s="23"/>
      <c r="AO1895" s="23"/>
      <c r="AP1895" s="23"/>
      <c r="AQ1895" s="23"/>
      <c r="AR1895" s="23"/>
      <c r="AS1895" s="23"/>
      <c r="AT1895" s="23"/>
      <c r="AU1895" s="23"/>
      <c r="AV1895" s="23"/>
      <c r="AW1895" s="23"/>
      <c r="AX1895" s="23"/>
      <c r="AY1895" s="23"/>
      <c r="AZ1895" s="23"/>
      <c r="BA1895" s="23"/>
      <c r="BB1895" s="23"/>
    </row>
    <row r="1896" spans="5:54" x14ac:dyDescent="0.35"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  <c r="AA1896" s="23"/>
      <c r="AB1896" s="23"/>
      <c r="AC1896" s="23"/>
      <c r="AD1896" s="23"/>
      <c r="AE1896" s="23"/>
      <c r="AF1896" s="23"/>
      <c r="AG1896" s="23"/>
      <c r="AH1896" s="23"/>
      <c r="AI1896" s="23"/>
      <c r="AJ1896" s="23"/>
      <c r="AK1896" s="23"/>
      <c r="AL1896" s="23"/>
      <c r="AM1896" s="23"/>
      <c r="AN1896" s="23"/>
      <c r="AO1896" s="23"/>
      <c r="AP1896" s="23"/>
      <c r="AQ1896" s="23"/>
      <c r="AR1896" s="23"/>
      <c r="AS1896" s="23"/>
      <c r="AT1896" s="23"/>
      <c r="AU1896" s="23"/>
      <c r="AV1896" s="23"/>
      <c r="AW1896" s="23"/>
      <c r="AX1896" s="23"/>
      <c r="AY1896" s="23"/>
      <c r="AZ1896" s="23"/>
      <c r="BA1896" s="23"/>
      <c r="BB1896" s="23"/>
    </row>
    <row r="1897" spans="5:54" x14ac:dyDescent="0.35"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  <c r="AA1897" s="23"/>
      <c r="AB1897" s="23"/>
      <c r="AC1897" s="23"/>
      <c r="AD1897" s="23"/>
      <c r="AE1897" s="23"/>
      <c r="AF1897" s="23"/>
      <c r="AG1897" s="23"/>
      <c r="AH1897" s="23"/>
      <c r="AI1897" s="23"/>
      <c r="AJ1897" s="23"/>
      <c r="AK1897" s="23"/>
      <c r="AL1897" s="23"/>
      <c r="AM1897" s="23"/>
      <c r="AN1897" s="23"/>
      <c r="AO1897" s="23"/>
      <c r="AP1897" s="23"/>
      <c r="AQ1897" s="23"/>
      <c r="AR1897" s="23"/>
      <c r="AS1897" s="23"/>
      <c r="AT1897" s="23"/>
      <c r="AU1897" s="23"/>
      <c r="AV1897" s="23"/>
      <c r="AW1897" s="23"/>
      <c r="AX1897" s="23"/>
      <c r="AY1897" s="23"/>
      <c r="AZ1897" s="23"/>
      <c r="BA1897" s="23"/>
      <c r="BB1897" s="23"/>
    </row>
    <row r="1898" spans="5:54" x14ac:dyDescent="0.35"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  <c r="AA1898" s="23"/>
      <c r="AB1898" s="23"/>
      <c r="AC1898" s="23"/>
      <c r="AD1898" s="23"/>
      <c r="AE1898" s="23"/>
      <c r="AF1898" s="23"/>
      <c r="AG1898" s="23"/>
      <c r="AH1898" s="23"/>
      <c r="AI1898" s="23"/>
      <c r="AJ1898" s="23"/>
      <c r="AK1898" s="23"/>
      <c r="AL1898" s="23"/>
      <c r="AM1898" s="23"/>
      <c r="AN1898" s="23"/>
      <c r="AO1898" s="23"/>
      <c r="AP1898" s="23"/>
      <c r="AQ1898" s="23"/>
      <c r="AR1898" s="23"/>
      <c r="AS1898" s="23"/>
      <c r="AT1898" s="23"/>
      <c r="AU1898" s="23"/>
      <c r="AV1898" s="23"/>
      <c r="AW1898" s="23"/>
      <c r="AX1898" s="23"/>
      <c r="AY1898" s="23"/>
      <c r="AZ1898" s="23"/>
      <c r="BA1898" s="23"/>
      <c r="BB1898" s="23"/>
    </row>
    <row r="1899" spans="5:54" x14ac:dyDescent="0.35"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  <c r="AA1899" s="23"/>
      <c r="AB1899" s="23"/>
      <c r="AC1899" s="23"/>
      <c r="AD1899" s="23"/>
      <c r="AE1899" s="23"/>
      <c r="AF1899" s="23"/>
      <c r="AG1899" s="23"/>
      <c r="AH1899" s="23"/>
      <c r="AI1899" s="23"/>
      <c r="AJ1899" s="23"/>
      <c r="AK1899" s="23"/>
      <c r="AL1899" s="23"/>
      <c r="AM1899" s="23"/>
      <c r="AN1899" s="23"/>
      <c r="AO1899" s="23"/>
      <c r="AP1899" s="23"/>
      <c r="AQ1899" s="23"/>
      <c r="AR1899" s="23"/>
      <c r="AS1899" s="23"/>
      <c r="AT1899" s="23"/>
      <c r="AU1899" s="23"/>
      <c r="AV1899" s="23"/>
      <c r="AW1899" s="23"/>
      <c r="AX1899" s="23"/>
      <c r="AY1899" s="23"/>
      <c r="AZ1899" s="23"/>
      <c r="BA1899" s="23"/>
      <c r="BB1899" s="23"/>
    </row>
    <row r="1900" spans="5:54" x14ac:dyDescent="0.35"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  <c r="AA1900" s="23"/>
      <c r="AB1900" s="23"/>
      <c r="AC1900" s="23"/>
      <c r="AD1900" s="23"/>
      <c r="AE1900" s="23"/>
      <c r="AF1900" s="23"/>
      <c r="AG1900" s="23"/>
      <c r="AH1900" s="23"/>
      <c r="AI1900" s="23"/>
      <c r="AJ1900" s="23"/>
      <c r="AK1900" s="23"/>
      <c r="AL1900" s="23"/>
      <c r="AM1900" s="23"/>
      <c r="AN1900" s="23"/>
      <c r="AO1900" s="23"/>
      <c r="AP1900" s="23"/>
      <c r="AQ1900" s="23"/>
      <c r="AR1900" s="23"/>
      <c r="AS1900" s="23"/>
      <c r="AT1900" s="23"/>
      <c r="AU1900" s="23"/>
      <c r="AV1900" s="23"/>
      <c r="AW1900" s="23"/>
      <c r="AX1900" s="23"/>
      <c r="AY1900" s="23"/>
      <c r="AZ1900" s="23"/>
      <c r="BA1900" s="23"/>
      <c r="BB1900" s="23"/>
    </row>
    <row r="1901" spans="5:54" x14ac:dyDescent="0.35"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  <c r="AA1901" s="23"/>
      <c r="AB1901" s="23"/>
      <c r="AC1901" s="23"/>
      <c r="AD1901" s="23"/>
      <c r="AE1901" s="23"/>
      <c r="AF1901" s="23"/>
      <c r="AG1901" s="23"/>
      <c r="AH1901" s="23"/>
      <c r="AI1901" s="23"/>
      <c r="AJ1901" s="23"/>
      <c r="AK1901" s="23"/>
      <c r="AL1901" s="23"/>
      <c r="AM1901" s="23"/>
      <c r="AN1901" s="23"/>
      <c r="AO1901" s="23"/>
      <c r="AP1901" s="23"/>
      <c r="AQ1901" s="23"/>
      <c r="AR1901" s="23"/>
      <c r="AS1901" s="23"/>
      <c r="AT1901" s="23"/>
      <c r="AU1901" s="23"/>
      <c r="AV1901" s="23"/>
      <c r="AW1901" s="23"/>
      <c r="AX1901" s="23"/>
      <c r="AY1901" s="23"/>
      <c r="AZ1901" s="23"/>
      <c r="BA1901" s="23"/>
      <c r="BB1901" s="23"/>
    </row>
    <row r="1902" spans="5:54" x14ac:dyDescent="0.35"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  <c r="AA1902" s="23"/>
      <c r="AB1902" s="23"/>
      <c r="AC1902" s="23"/>
      <c r="AD1902" s="23"/>
      <c r="AE1902" s="23"/>
      <c r="AF1902" s="23"/>
      <c r="AG1902" s="23"/>
      <c r="AH1902" s="23"/>
      <c r="AI1902" s="23"/>
      <c r="AJ1902" s="23"/>
      <c r="AK1902" s="23"/>
      <c r="AL1902" s="23"/>
      <c r="AM1902" s="23"/>
      <c r="AN1902" s="23"/>
      <c r="AO1902" s="23"/>
      <c r="AP1902" s="23"/>
      <c r="AQ1902" s="23"/>
      <c r="AR1902" s="23"/>
      <c r="AS1902" s="23"/>
      <c r="AT1902" s="23"/>
      <c r="AU1902" s="23"/>
      <c r="AV1902" s="23"/>
      <c r="AW1902" s="23"/>
      <c r="AX1902" s="23"/>
      <c r="AY1902" s="23"/>
      <c r="AZ1902" s="23"/>
      <c r="BA1902" s="23"/>
      <c r="BB1902" s="23"/>
    </row>
    <row r="1903" spans="5:54" x14ac:dyDescent="0.35"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  <c r="AA1903" s="23"/>
      <c r="AB1903" s="23"/>
      <c r="AC1903" s="23"/>
      <c r="AD1903" s="23"/>
      <c r="AE1903" s="23"/>
      <c r="AF1903" s="23"/>
      <c r="AG1903" s="23"/>
      <c r="AH1903" s="23"/>
      <c r="AI1903" s="23"/>
      <c r="AJ1903" s="23"/>
      <c r="AK1903" s="23"/>
      <c r="AL1903" s="23"/>
      <c r="AM1903" s="23"/>
      <c r="AN1903" s="23"/>
      <c r="AO1903" s="23"/>
      <c r="AP1903" s="23"/>
      <c r="AQ1903" s="23"/>
      <c r="AR1903" s="23"/>
      <c r="AS1903" s="23"/>
      <c r="AT1903" s="23"/>
      <c r="AU1903" s="23"/>
      <c r="AV1903" s="23"/>
      <c r="AW1903" s="23"/>
      <c r="AX1903" s="23"/>
      <c r="AY1903" s="23"/>
      <c r="AZ1903" s="23"/>
      <c r="BA1903" s="23"/>
      <c r="BB1903" s="23"/>
    </row>
    <row r="1904" spans="5:54" x14ac:dyDescent="0.35"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  <c r="AA1904" s="23"/>
      <c r="AB1904" s="23"/>
      <c r="AC1904" s="23"/>
      <c r="AD1904" s="23"/>
      <c r="AE1904" s="23"/>
      <c r="AF1904" s="23"/>
      <c r="AG1904" s="23"/>
      <c r="AH1904" s="23"/>
      <c r="AI1904" s="23"/>
      <c r="AJ1904" s="23"/>
      <c r="AK1904" s="23"/>
      <c r="AL1904" s="23"/>
      <c r="AM1904" s="23"/>
      <c r="AN1904" s="23"/>
      <c r="AO1904" s="23"/>
      <c r="AP1904" s="23"/>
      <c r="AQ1904" s="23"/>
      <c r="AR1904" s="23"/>
      <c r="AS1904" s="23"/>
      <c r="AT1904" s="23"/>
      <c r="AU1904" s="23"/>
      <c r="AV1904" s="23"/>
      <c r="AW1904" s="23"/>
      <c r="AX1904" s="23"/>
      <c r="AY1904" s="23"/>
      <c r="AZ1904" s="23"/>
      <c r="BA1904" s="23"/>
      <c r="BB1904" s="23"/>
    </row>
    <row r="1905" spans="5:54" x14ac:dyDescent="0.35"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  <c r="AA1905" s="23"/>
      <c r="AB1905" s="23"/>
      <c r="AC1905" s="23"/>
      <c r="AD1905" s="23"/>
      <c r="AE1905" s="23"/>
      <c r="AF1905" s="23"/>
      <c r="AG1905" s="23"/>
      <c r="AH1905" s="23"/>
      <c r="AI1905" s="23"/>
      <c r="AJ1905" s="23"/>
      <c r="AK1905" s="23"/>
      <c r="AL1905" s="23"/>
      <c r="AM1905" s="23"/>
      <c r="AN1905" s="23"/>
      <c r="AO1905" s="23"/>
      <c r="AP1905" s="23"/>
      <c r="AQ1905" s="23"/>
      <c r="AR1905" s="23"/>
      <c r="AS1905" s="23"/>
      <c r="AT1905" s="23"/>
      <c r="AU1905" s="23"/>
      <c r="AV1905" s="23"/>
      <c r="AW1905" s="23"/>
      <c r="AX1905" s="23"/>
      <c r="AY1905" s="23"/>
      <c r="AZ1905" s="23"/>
      <c r="BA1905" s="23"/>
      <c r="BB1905" s="23"/>
    </row>
    <row r="1906" spans="5:54" x14ac:dyDescent="0.35"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  <c r="AA1906" s="23"/>
      <c r="AB1906" s="23"/>
      <c r="AC1906" s="23"/>
      <c r="AD1906" s="23"/>
      <c r="AE1906" s="23"/>
      <c r="AF1906" s="23"/>
      <c r="AG1906" s="23"/>
      <c r="AH1906" s="23"/>
      <c r="AI1906" s="23"/>
      <c r="AJ1906" s="23"/>
      <c r="AK1906" s="23"/>
      <c r="AL1906" s="23"/>
      <c r="AM1906" s="23"/>
      <c r="AN1906" s="23"/>
      <c r="AO1906" s="23"/>
      <c r="AP1906" s="23"/>
      <c r="AQ1906" s="23"/>
      <c r="AR1906" s="23"/>
      <c r="AS1906" s="23"/>
      <c r="AT1906" s="23"/>
      <c r="AU1906" s="23"/>
      <c r="AV1906" s="23"/>
      <c r="AW1906" s="23"/>
      <c r="AX1906" s="23"/>
      <c r="AY1906" s="23"/>
      <c r="AZ1906" s="23"/>
      <c r="BA1906" s="23"/>
      <c r="BB1906" s="23"/>
    </row>
    <row r="1907" spans="5:54" x14ac:dyDescent="0.35"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  <c r="AA1907" s="23"/>
      <c r="AB1907" s="23"/>
      <c r="AC1907" s="23"/>
      <c r="AD1907" s="23"/>
      <c r="AE1907" s="23"/>
      <c r="AF1907" s="23"/>
      <c r="AG1907" s="23"/>
      <c r="AH1907" s="23"/>
      <c r="AI1907" s="23"/>
      <c r="AJ1907" s="23"/>
      <c r="AK1907" s="23"/>
      <c r="AL1907" s="23"/>
      <c r="AM1907" s="23"/>
      <c r="AN1907" s="23"/>
      <c r="AO1907" s="23"/>
      <c r="AP1907" s="23"/>
      <c r="AQ1907" s="23"/>
      <c r="AR1907" s="23"/>
      <c r="AS1907" s="23"/>
      <c r="AT1907" s="23"/>
      <c r="AU1907" s="23"/>
      <c r="AV1907" s="23"/>
      <c r="AW1907" s="23"/>
      <c r="AX1907" s="23"/>
      <c r="AY1907" s="23"/>
      <c r="AZ1907" s="23"/>
      <c r="BA1907" s="23"/>
      <c r="BB1907" s="23"/>
    </row>
    <row r="1908" spans="5:54" x14ac:dyDescent="0.35"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  <c r="AA1908" s="23"/>
      <c r="AB1908" s="23"/>
      <c r="AC1908" s="23"/>
      <c r="AD1908" s="23"/>
      <c r="AE1908" s="23"/>
      <c r="AF1908" s="23"/>
      <c r="AG1908" s="23"/>
      <c r="AH1908" s="23"/>
      <c r="AI1908" s="23"/>
      <c r="AJ1908" s="23"/>
      <c r="AK1908" s="23"/>
      <c r="AL1908" s="23"/>
      <c r="AM1908" s="23"/>
      <c r="AN1908" s="23"/>
      <c r="AO1908" s="23"/>
      <c r="AP1908" s="23"/>
      <c r="AQ1908" s="23"/>
      <c r="AR1908" s="23"/>
      <c r="AS1908" s="23"/>
      <c r="AT1908" s="23"/>
      <c r="AU1908" s="23"/>
      <c r="AV1908" s="23"/>
      <c r="AW1908" s="23"/>
      <c r="AX1908" s="23"/>
      <c r="AY1908" s="23"/>
      <c r="AZ1908" s="23"/>
      <c r="BA1908" s="23"/>
      <c r="BB1908" s="23"/>
    </row>
    <row r="1909" spans="5:54" x14ac:dyDescent="0.35"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  <c r="AA1909" s="23"/>
      <c r="AB1909" s="23"/>
      <c r="AC1909" s="23"/>
      <c r="AD1909" s="23"/>
      <c r="AE1909" s="23"/>
      <c r="AF1909" s="23"/>
      <c r="AG1909" s="23"/>
      <c r="AH1909" s="23"/>
      <c r="AI1909" s="23"/>
      <c r="AJ1909" s="23"/>
      <c r="AK1909" s="23"/>
      <c r="AL1909" s="23"/>
      <c r="AM1909" s="23"/>
      <c r="AN1909" s="23"/>
      <c r="AO1909" s="23"/>
      <c r="AP1909" s="23"/>
      <c r="AQ1909" s="23"/>
      <c r="AR1909" s="23"/>
      <c r="AS1909" s="23"/>
      <c r="AT1909" s="23"/>
      <c r="AU1909" s="23"/>
      <c r="AV1909" s="23"/>
      <c r="AW1909" s="23"/>
      <c r="AX1909" s="23"/>
      <c r="AY1909" s="23"/>
      <c r="AZ1909" s="23"/>
      <c r="BA1909" s="23"/>
      <c r="BB1909" s="23"/>
    </row>
    <row r="1910" spans="5:54" x14ac:dyDescent="0.35"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  <c r="AA1910" s="23"/>
      <c r="AB1910" s="23"/>
      <c r="AC1910" s="23"/>
      <c r="AD1910" s="23"/>
      <c r="AE1910" s="23"/>
      <c r="AF1910" s="23"/>
      <c r="AG1910" s="23"/>
      <c r="AH1910" s="23"/>
      <c r="AI1910" s="23"/>
      <c r="AJ1910" s="23"/>
      <c r="AK1910" s="23"/>
      <c r="AL1910" s="23"/>
      <c r="AM1910" s="23"/>
      <c r="AN1910" s="23"/>
      <c r="AO1910" s="23"/>
      <c r="AP1910" s="23"/>
      <c r="AQ1910" s="23"/>
      <c r="AR1910" s="23"/>
      <c r="AS1910" s="23"/>
      <c r="AT1910" s="23"/>
      <c r="AU1910" s="23"/>
      <c r="AV1910" s="23"/>
      <c r="AW1910" s="23"/>
      <c r="AX1910" s="23"/>
      <c r="AY1910" s="23"/>
      <c r="AZ1910" s="23"/>
      <c r="BA1910" s="23"/>
      <c r="BB1910" s="23"/>
    </row>
    <row r="1911" spans="5:54" x14ac:dyDescent="0.35"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  <c r="AA1911" s="23"/>
      <c r="AB1911" s="23"/>
      <c r="AC1911" s="23"/>
      <c r="AD1911" s="23"/>
      <c r="AE1911" s="23"/>
      <c r="AF1911" s="23"/>
      <c r="AG1911" s="23"/>
      <c r="AH1911" s="23"/>
      <c r="AI1911" s="23"/>
      <c r="AJ1911" s="23"/>
      <c r="AK1911" s="23"/>
      <c r="AL1911" s="23"/>
      <c r="AM1911" s="23"/>
      <c r="AN1911" s="23"/>
      <c r="AO1911" s="23"/>
      <c r="AP1911" s="23"/>
      <c r="AQ1911" s="23"/>
      <c r="AR1911" s="23"/>
      <c r="AS1911" s="23"/>
      <c r="AT1911" s="23"/>
      <c r="AU1911" s="23"/>
      <c r="AV1911" s="23"/>
      <c r="AW1911" s="23"/>
      <c r="AX1911" s="23"/>
      <c r="AY1911" s="23"/>
      <c r="AZ1911" s="23"/>
      <c r="BA1911" s="23"/>
      <c r="BB1911" s="23"/>
    </row>
    <row r="1912" spans="5:54" x14ac:dyDescent="0.35"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  <c r="AA1912" s="23"/>
      <c r="AB1912" s="23"/>
      <c r="AC1912" s="23"/>
      <c r="AD1912" s="23"/>
      <c r="AE1912" s="23"/>
      <c r="AF1912" s="23"/>
      <c r="AG1912" s="23"/>
      <c r="AH1912" s="23"/>
      <c r="AI1912" s="23"/>
      <c r="AJ1912" s="23"/>
      <c r="AK1912" s="23"/>
      <c r="AL1912" s="23"/>
      <c r="AM1912" s="23"/>
      <c r="AN1912" s="23"/>
      <c r="AO1912" s="23"/>
      <c r="AP1912" s="23"/>
      <c r="AQ1912" s="23"/>
      <c r="AR1912" s="23"/>
      <c r="AS1912" s="23"/>
      <c r="AT1912" s="23"/>
      <c r="AU1912" s="23"/>
      <c r="AV1912" s="23"/>
      <c r="AW1912" s="23"/>
      <c r="AX1912" s="23"/>
      <c r="AY1912" s="23"/>
      <c r="AZ1912" s="23"/>
      <c r="BA1912" s="23"/>
      <c r="BB1912" s="23"/>
    </row>
    <row r="1913" spans="5:54" x14ac:dyDescent="0.35"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  <c r="AA1913" s="23"/>
      <c r="AB1913" s="23"/>
      <c r="AC1913" s="23"/>
      <c r="AD1913" s="23"/>
      <c r="AE1913" s="23"/>
      <c r="AF1913" s="23"/>
      <c r="AG1913" s="23"/>
      <c r="AH1913" s="23"/>
      <c r="AI1913" s="23"/>
      <c r="AJ1913" s="23"/>
      <c r="AK1913" s="23"/>
      <c r="AL1913" s="23"/>
      <c r="AM1913" s="23"/>
      <c r="AN1913" s="23"/>
      <c r="AO1913" s="23"/>
      <c r="AP1913" s="23"/>
      <c r="AQ1913" s="23"/>
      <c r="AR1913" s="23"/>
      <c r="AS1913" s="23"/>
      <c r="AT1913" s="23"/>
      <c r="AU1913" s="23"/>
      <c r="AV1913" s="23"/>
      <c r="AW1913" s="23"/>
      <c r="AX1913" s="23"/>
      <c r="AY1913" s="23"/>
      <c r="AZ1913" s="23"/>
      <c r="BA1913" s="23"/>
      <c r="BB1913" s="23"/>
    </row>
    <row r="1914" spans="5:54" x14ac:dyDescent="0.35"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  <c r="AA1914" s="23"/>
      <c r="AB1914" s="23"/>
      <c r="AC1914" s="23"/>
      <c r="AD1914" s="23"/>
      <c r="AE1914" s="23"/>
      <c r="AF1914" s="23"/>
      <c r="AG1914" s="23"/>
      <c r="AH1914" s="23"/>
      <c r="AI1914" s="23"/>
      <c r="AJ1914" s="23"/>
      <c r="AK1914" s="23"/>
      <c r="AL1914" s="23"/>
      <c r="AM1914" s="23"/>
      <c r="AN1914" s="23"/>
      <c r="AO1914" s="23"/>
      <c r="AP1914" s="23"/>
      <c r="AQ1914" s="23"/>
      <c r="AR1914" s="23"/>
      <c r="AS1914" s="23"/>
      <c r="AT1914" s="23"/>
      <c r="AU1914" s="23"/>
      <c r="AV1914" s="23"/>
      <c r="AW1914" s="23"/>
      <c r="AX1914" s="23"/>
      <c r="AY1914" s="23"/>
      <c r="AZ1914" s="23"/>
      <c r="BA1914" s="23"/>
      <c r="BB1914" s="23"/>
    </row>
    <row r="1915" spans="5:54" x14ac:dyDescent="0.35"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  <c r="AA1915" s="23"/>
      <c r="AB1915" s="23"/>
      <c r="AC1915" s="23"/>
      <c r="AD1915" s="23"/>
      <c r="AE1915" s="23"/>
      <c r="AF1915" s="23"/>
      <c r="AG1915" s="23"/>
      <c r="AH1915" s="23"/>
      <c r="AI1915" s="23"/>
      <c r="AJ1915" s="23"/>
      <c r="AK1915" s="23"/>
      <c r="AL1915" s="23"/>
      <c r="AM1915" s="23"/>
      <c r="AN1915" s="23"/>
      <c r="AO1915" s="23"/>
      <c r="AP1915" s="23"/>
      <c r="AQ1915" s="23"/>
      <c r="AR1915" s="23"/>
      <c r="AS1915" s="23"/>
      <c r="AT1915" s="23"/>
      <c r="AU1915" s="23"/>
      <c r="AV1915" s="23"/>
      <c r="AW1915" s="23"/>
      <c r="AX1915" s="23"/>
      <c r="AY1915" s="23"/>
      <c r="AZ1915" s="23"/>
      <c r="BA1915" s="23"/>
      <c r="BB1915" s="23"/>
    </row>
    <row r="1916" spans="5:54" x14ac:dyDescent="0.35"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  <c r="AA1916" s="23"/>
      <c r="AB1916" s="23"/>
      <c r="AC1916" s="23"/>
      <c r="AD1916" s="23"/>
      <c r="AE1916" s="23"/>
      <c r="AF1916" s="23"/>
      <c r="AG1916" s="23"/>
      <c r="AH1916" s="23"/>
      <c r="AI1916" s="23"/>
      <c r="AJ1916" s="23"/>
      <c r="AK1916" s="23"/>
      <c r="AL1916" s="23"/>
      <c r="AM1916" s="23"/>
      <c r="AN1916" s="23"/>
      <c r="AO1916" s="23"/>
      <c r="AP1916" s="23"/>
      <c r="AQ1916" s="23"/>
      <c r="AR1916" s="23"/>
      <c r="AS1916" s="23"/>
      <c r="AT1916" s="23"/>
      <c r="AU1916" s="23"/>
      <c r="AV1916" s="23"/>
      <c r="AW1916" s="23"/>
      <c r="AX1916" s="23"/>
      <c r="AY1916" s="23"/>
      <c r="AZ1916" s="23"/>
      <c r="BA1916" s="23"/>
      <c r="BB1916" s="23"/>
    </row>
    <row r="1917" spans="5:54" x14ac:dyDescent="0.35"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  <c r="AA1917" s="23"/>
      <c r="AB1917" s="23"/>
      <c r="AC1917" s="23"/>
      <c r="AD1917" s="23"/>
      <c r="AE1917" s="23"/>
      <c r="AF1917" s="23"/>
      <c r="AG1917" s="23"/>
      <c r="AH1917" s="23"/>
      <c r="AI1917" s="23"/>
      <c r="AJ1917" s="23"/>
      <c r="AK1917" s="23"/>
      <c r="AL1917" s="23"/>
      <c r="AM1917" s="23"/>
      <c r="AN1917" s="23"/>
      <c r="AO1917" s="23"/>
      <c r="AP1917" s="23"/>
      <c r="AQ1917" s="23"/>
      <c r="AR1917" s="23"/>
      <c r="AS1917" s="23"/>
      <c r="AT1917" s="23"/>
      <c r="AU1917" s="23"/>
      <c r="AV1917" s="23"/>
      <c r="AW1917" s="23"/>
      <c r="AX1917" s="23"/>
      <c r="AY1917" s="23"/>
      <c r="AZ1917" s="23"/>
      <c r="BA1917" s="23"/>
      <c r="BB1917" s="23"/>
    </row>
    <row r="1918" spans="5:54" x14ac:dyDescent="0.35"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  <c r="AA1918" s="23"/>
      <c r="AB1918" s="23"/>
      <c r="AC1918" s="23"/>
      <c r="AD1918" s="23"/>
      <c r="AE1918" s="23"/>
      <c r="AF1918" s="23"/>
      <c r="AG1918" s="23"/>
      <c r="AH1918" s="23"/>
      <c r="AI1918" s="23"/>
      <c r="AJ1918" s="23"/>
      <c r="AK1918" s="23"/>
      <c r="AL1918" s="23"/>
      <c r="AM1918" s="23"/>
      <c r="AN1918" s="23"/>
      <c r="AO1918" s="23"/>
      <c r="AP1918" s="23"/>
      <c r="AQ1918" s="23"/>
      <c r="AR1918" s="23"/>
      <c r="AS1918" s="23"/>
      <c r="AT1918" s="23"/>
      <c r="AU1918" s="23"/>
      <c r="AV1918" s="23"/>
      <c r="AW1918" s="23"/>
      <c r="AX1918" s="23"/>
      <c r="AY1918" s="23"/>
      <c r="AZ1918" s="23"/>
      <c r="BA1918" s="23"/>
      <c r="BB1918" s="23"/>
    </row>
    <row r="1919" spans="5:54" x14ac:dyDescent="0.35"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  <c r="AA1919" s="23"/>
      <c r="AB1919" s="23"/>
      <c r="AC1919" s="23"/>
      <c r="AD1919" s="23"/>
      <c r="AE1919" s="23"/>
      <c r="AF1919" s="23"/>
      <c r="AG1919" s="23"/>
      <c r="AH1919" s="23"/>
      <c r="AI1919" s="23"/>
      <c r="AJ1919" s="23"/>
      <c r="AK1919" s="23"/>
      <c r="AL1919" s="23"/>
      <c r="AM1919" s="23"/>
      <c r="AN1919" s="23"/>
      <c r="AO1919" s="23"/>
      <c r="AP1919" s="23"/>
      <c r="AQ1919" s="23"/>
      <c r="AR1919" s="23"/>
      <c r="AS1919" s="23"/>
      <c r="AT1919" s="23"/>
      <c r="AU1919" s="23"/>
      <c r="AV1919" s="23"/>
      <c r="AW1919" s="23"/>
      <c r="AX1919" s="23"/>
      <c r="AY1919" s="23"/>
      <c r="AZ1919" s="23"/>
      <c r="BA1919" s="23"/>
      <c r="BB1919" s="23"/>
    </row>
    <row r="1920" spans="5:54" x14ac:dyDescent="0.35"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  <c r="AA1920" s="23"/>
      <c r="AB1920" s="23"/>
      <c r="AC1920" s="23"/>
      <c r="AD1920" s="23"/>
      <c r="AE1920" s="23"/>
      <c r="AF1920" s="23"/>
      <c r="AG1920" s="23"/>
      <c r="AH1920" s="23"/>
      <c r="AI1920" s="23"/>
      <c r="AJ1920" s="23"/>
      <c r="AK1920" s="23"/>
      <c r="AL1920" s="23"/>
      <c r="AM1920" s="23"/>
      <c r="AN1920" s="23"/>
      <c r="AO1920" s="23"/>
      <c r="AP1920" s="23"/>
      <c r="AQ1920" s="23"/>
      <c r="AR1920" s="23"/>
      <c r="AS1920" s="23"/>
      <c r="AT1920" s="23"/>
      <c r="AU1920" s="23"/>
      <c r="AV1920" s="23"/>
      <c r="AW1920" s="23"/>
      <c r="AX1920" s="23"/>
      <c r="AY1920" s="23"/>
      <c r="AZ1920" s="23"/>
      <c r="BA1920" s="23"/>
      <c r="BB1920" s="23"/>
    </row>
    <row r="1921" spans="5:54" x14ac:dyDescent="0.35"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  <c r="AA1921" s="23"/>
      <c r="AB1921" s="23"/>
      <c r="AC1921" s="23"/>
      <c r="AD1921" s="23"/>
      <c r="AE1921" s="23"/>
      <c r="AF1921" s="23"/>
      <c r="AG1921" s="23"/>
      <c r="AH1921" s="23"/>
      <c r="AI1921" s="23"/>
      <c r="AJ1921" s="23"/>
      <c r="AK1921" s="23"/>
      <c r="AL1921" s="23"/>
      <c r="AM1921" s="23"/>
      <c r="AN1921" s="23"/>
      <c r="AO1921" s="23"/>
      <c r="AP1921" s="23"/>
      <c r="AQ1921" s="23"/>
      <c r="AR1921" s="23"/>
      <c r="AS1921" s="23"/>
      <c r="AT1921" s="23"/>
      <c r="AU1921" s="23"/>
      <c r="AV1921" s="23"/>
      <c r="AW1921" s="23"/>
      <c r="AX1921" s="23"/>
      <c r="AY1921" s="23"/>
      <c r="AZ1921" s="23"/>
      <c r="BA1921" s="23"/>
      <c r="BB1921" s="23"/>
    </row>
    <row r="1922" spans="5:54" x14ac:dyDescent="0.35"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  <c r="AA1922" s="23"/>
      <c r="AB1922" s="23"/>
      <c r="AC1922" s="23"/>
      <c r="AD1922" s="23"/>
      <c r="AE1922" s="23"/>
      <c r="AF1922" s="23"/>
      <c r="AG1922" s="23"/>
      <c r="AH1922" s="23"/>
      <c r="AI1922" s="23"/>
      <c r="AJ1922" s="23"/>
      <c r="AK1922" s="23"/>
      <c r="AL1922" s="23"/>
      <c r="AM1922" s="23"/>
      <c r="AN1922" s="23"/>
      <c r="AO1922" s="23"/>
      <c r="AP1922" s="23"/>
      <c r="AQ1922" s="23"/>
      <c r="AR1922" s="23"/>
      <c r="AS1922" s="23"/>
      <c r="AT1922" s="23"/>
      <c r="AU1922" s="23"/>
      <c r="AV1922" s="23"/>
      <c r="AW1922" s="23"/>
      <c r="AX1922" s="23"/>
      <c r="AY1922" s="23"/>
      <c r="AZ1922" s="23"/>
      <c r="BA1922" s="23"/>
      <c r="BB1922" s="23"/>
    </row>
    <row r="1923" spans="5:54" x14ac:dyDescent="0.35"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  <c r="AA1923" s="23"/>
      <c r="AB1923" s="23"/>
      <c r="AC1923" s="23"/>
      <c r="AD1923" s="23"/>
      <c r="AE1923" s="23"/>
      <c r="AF1923" s="23"/>
      <c r="AG1923" s="23"/>
      <c r="AH1923" s="23"/>
      <c r="AI1923" s="23"/>
      <c r="AJ1923" s="23"/>
      <c r="AK1923" s="23"/>
      <c r="AL1923" s="23"/>
      <c r="AM1923" s="23"/>
      <c r="AN1923" s="23"/>
      <c r="AO1923" s="23"/>
      <c r="AP1923" s="23"/>
      <c r="AQ1923" s="23"/>
      <c r="AR1923" s="23"/>
      <c r="AS1923" s="23"/>
      <c r="AT1923" s="23"/>
      <c r="AU1923" s="23"/>
      <c r="AV1923" s="23"/>
      <c r="AW1923" s="23"/>
      <c r="AX1923" s="23"/>
      <c r="AY1923" s="23"/>
      <c r="AZ1923" s="23"/>
      <c r="BA1923" s="23"/>
      <c r="BB1923" s="23"/>
    </row>
    <row r="1924" spans="5:54" x14ac:dyDescent="0.35"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  <c r="AA1924" s="23"/>
      <c r="AB1924" s="23"/>
      <c r="AC1924" s="23"/>
      <c r="AD1924" s="23"/>
      <c r="AE1924" s="23"/>
      <c r="AF1924" s="23"/>
      <c r="AG1924" s="23"/>
      <c r="AH1924" s="23"/>
      <c r="AI1924" s="23"/>
      <c r="AJ1924" s="23"/>
      <c r="AK1924" s="23"/>
      <c r="AL1924" s="23"/>
      <c r="AM1924" s="23"/>
      <c r="AN1924" s="23"/>
      <c r="AO1924" s="23"/>
      <c r="AP1924" s="23"/>
      <c r="AQ1924" s="23"/>
      <c r="AR1924" s="23"/>
      <c r="AS1924" s="23"/>
      <c r="AT1924" s="23"/>
      <c r="AU1924" s="23"/>
      <c r="AV1924" s="23"/>
      <c r="AW1924" s="23"/>
      <c r="AX1924" s="23"/>
      <c r="AY1924" s="23"/>
      <c r="AZ1924" s="23"/>
      <c r="BA1924" s="23"/>
      <c r="BB1924" s="23"/>
    </row>
    <row r="1925" spans="5:54" x14ac:dyDescent="0.35"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  <c r="AA1925" s="23"/>
      <c r="AB1925" s="23"/>
      <c r="AC1925" s="23"/>
      <c r="AD1925" s="23"/>
      <c r="AE1925" s="23"/>
      <c r="AF1925" s="23"/>
      <c r="AG1925" s="23"/>
      <c r="AH1925" s="23"/>
      <c r="AI1925" s="23"/>
      <c r="AJ1925" s="23"/>
      <c r="AK1925" s="23"/>
      <c r="AL1925" s="23"/>
      <c r="AM1925" s="23"/>
      <c r="AN1925" s="23"/>
      <c r="AO1925" s="23"/>
      <c r="AP1925" s="23"/>
      <c r="AQ1925" s="23"/>
      <c r="AR1925" s="23"/>
      <c r="AS1925" s="23"/>
      <c r="AT1925" s="23"/>
      <c r="AU1925" s="23"/>
      <c r="AV1925" s="23"/>
      <c r="AW1925" s="23"/>
      <c r="AX1925" s="23"/>
      <c r="AY1925" s="23"/>
      <c r="AZ1925" s="23"/>
      <c r="BA1925" s="23"/>
      <c r="BB1925" s="23"/>
    </row>
    <row r="1926" spans="5:54" x14ac:dyDescent="0.35"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  <c r="AA1926" s="23"/>
      <c r="AB1926" s="23"/>
      <c r="AC1926" s="23"/>
      <c r="AD1926" s="23"/>
      <c r="AE1926" s="23"/>
      <c r="AF1926" s="23"/>
      <c r="AG1926" s="23"/>
      <c r="AH1926" s="23"/>
      <c r="AI1926" s="23"/>
      <c r="AJ1926" s="23"/>
      <c r="AK1926" s="23"/>
      <c r="AL1926" s="23"/>
      <c r="AM1926" s="23"/>
      <c r="AN1926" s="23"/>
      <c r="AO1926" s="23"/>
      <c r="AP1926" s="23"/>
      <c r="AQ1926" s="23"/>
      <c r="AR1926" s="23"/>
      <c r="AS1926" s="23"/>
      <c r="AT1926" s="23"/>
      <c r="AU1926" s="23"/>
      <c r="AV1926" s="23"/>
      <c r="AW1926" s="23"/>
      <c r="AX1926" s="23"/>
      <c r="AY1926" s="23"/>
      <c r="AZ1926" s="23"/>
      <c r="BA1926" s="23"/>
      <c r="BB1926" s="23"/>
    </row>
    <row r="1927" spans="5:54" x14ac:dyDescent="0.35"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  <c r="AA1927" s="23"/>
      <c r="AB1927" s="23"/>
      <c r="AC1927" s="23"/>
      <c r="AD1927" s="23"/>
      <c r="AE1927" s="23"/>
      <c r="AF1927" s="23"/>
      <c r="AG1927" s="23"/>
      <c r="AH1927" s="23"/>
      <c r="AI1927" s="23"/>
      <c r="AJ1927" s="23"/>
      <c r="AK1927" s="23"/>
      <c r="AL1927" s="23"/>
      <c r="AM1927" s="23"/>
      <c r="AN1927" s="23"/>
      <c r="AO1927" s="23"/>
      <c r="AP1927" s="23"/>
      <c r="AQ1927" s="23"/>
      <c r="AR1927" s="23"/>
      <c r="AS1927" s="23"/>
      <c r="AT1927" s="23"/>
      <c r="AU1927" s="23"/>
      <c r="AV1927" s="23"/>
      <c r="AW1927" s="23"/>
      <c r="AX1927" s="23"/>
      <c r="AY1927" s="23"/>
      <c r="AZ1927" s="23"/>
      <c r="BA1927" s="23"/>
      <c r="BB1927" s="23"/>
    </row>
    <row r="1928" spans="5:54" x14ac:dyDescent="0.35"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  <c r="AA1928" s="23"/>
      <c r="AB1928" s="23"/>
      <c r="AC1928" s="23"/>
      <c r="AD1928" s="23"/>
      <c r="AE1928" s="23"/>
      <c r="AF1928" s="23"/>
      <c r="AG1928" s="23"/>
      <c r="AH1928" s="23"/>
      <c r="AI1928" s="23"/>
      <c r="AJ1928" s="23"/>
      <c r="AK1928" s="23"/>
      <c r="AL1928" s="23"/>
      <c r="AM1928" s="23"/>
      <c r="AN1928" s="23"/>
      <c r="AO1928" s="23"/>
      <c r="AP1928" s="23"/>
      <c r="AQ1928" s="23"/>
      <c r="AR1928" s="23"/>
      <c r="AS1928" s="23"/>
      <c r="AT1928" s="23"/>
      <c r="AU1928" s="23"/>
      <c r="AV1928" s="23"/>
      <c r="AW1928" s="23"/>
      <c r="AX1928" s="23"/>
      <c r="AY1928" s="23"/>
      <c r="AZ1928" s="23"/>
      <c r="BA1928" s="23"/>
      <c r="BB1928" s="23"/>
    </row>
    <row r="1929" spans="5:54" x14ac:dyDescent="0.35"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  <c r="AA1929" s="23"/>
      <c r="AB1929" s="23"/>
      <c r="AC1929" s="23"/>
      <c r="AD1929" s="23"/>
      <c r="AE1929" s="23"/>
      <c r="AF1929" s="23"/>
      <c r="AG1929" s="23"/>
      <c r="AH1929" s="23"/>
      <c r="AI1929" s="23"/>
      <c r="AJ1929" s="23"/>
      <c r="AK1929" s="23"/>
      <c r="AL1929" s="23"/>
      <c r="AM1929" s="23"/>
      <c r="AN1929" s="23"/>
      <c r="AO1929" s="23"/>
      <c r="AP1929" s="23"/>
      <c r="AQ1929" s="23"/>
      <c r="AR1929" s="23"/>
      <c r="AS1929" s="23"/>
      <c r="AT1929" s="23"/>
      <c r="AU1929" s="23"/>
      <c r="AV1929" s="23"/>
      <c r="AW1929" s="23"/>
      <c r="AX1929" s="23"/>
      <c r="AY1929" s="23"/>
      <c r="AZ1929" s="23"/>
      <c r="BA1929" s="23"/>
      <c r="BB1929" s="23"/>
    </row>
    <row r="1930" spans="5:54" x14ac:dyDescent="0.35"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  <c r="AA1930" s="23"/>
      <c r="AB1930" s="23"/>
      <c r="AC1930" s="23"/>
      <c r="AD1930" s="23"/>
      <c r="AE1930" s="23"/>
      <c r="AF1930" s="23"/>
      <c r="AG1930" s="23"/>
      <c r="AH1930" s="23"/>
      <c r="AI1930" s="23"/>
      <c r="AJ1930" s="23"/>
      <c r="AK1930" s="23"/>
      <c r="AL1930" s="23"/>
      <c r="AM1930" s="23"/>
      <c r="AN1930" s="23"/>
      <c r="AO1930" s="23"/>
      <c r="AP1930" s="23"/>
      <c r="AQ1930" s="23"/>
      <c r="AR1930" s="23"/>
      <c r="AS1930" s="23"/>
      <c r="AT1930" s="23"/>
      <c r="AU1930" s="23"/>
      <c r="AV1930" s="23"/>
      <c r="AW1930" s="23"/>
      <c r="AX1930" s="23"/>
      <c r="AY1930" s="23"/>
      <c r="AZ1930" s="23"/>
      <c r="BA1930" s="23"/>
      <c r="BB1930" s="23"/>
    </row>
    <row r="1931" spans="5:54" x14ac:dyDescent="0.35"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  <c r="AA1931" s="23"/>
      <c r="AB1931" s="23"/>
      <c r="AC1931" s="23"/>
      <c r="AD1931" s="23"/>
      <c r="AE1931" s="23"/>
      <c r="AF1931" s="23"/>
      <c r="AG1931" s="23"/>
      <c r="AH1931" s="23"/>
      <c r="AI1931" s="23"/>
      <c r="AJ1931" s="23"/>
      <c r="AK1931" s="23"/>
      <c r="AL1931" s="23"/>
      <c r="AM1931" s="23"/>
      <c r="AN1931" s="23"/>
      <c r="AO1931" s="23"/>
      <c r="AP1931" s="23"/>
      <c r="AQ1931" s="23"/>
      <c r="AR1931" s="23"/>
      <c r="AS1931" s="23"/>
      <c r="AT1931" s="23"/>
      <c r="AU1931" s="23"/>
      <c r="AV1931" s="23"/>
      <c r="AW1931" s="23"/>
      <c r="AX1931" s="23"/>
      <c r="AY1931" s="23"/>
      <c r="AZ1931" s="23"/>
      <c r="BA1931" s="23"/>
      <c r="BB1931" s="23"/>
    </row>
    <row r="1932" spans="5:54" x14ac:dyDescent="0.35"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  <c r="AA1932" s="23"/>
      <c r="AB1932" s="23"/>
      <c r="AC1932" s="23"/>
      <c r="AD1932" s="23"/>
      <c r="AE1932" s="23"/>
      <c r="AF1932" s="23"/>
      <c r="AG1932" s="23"/>
      <c r="AH1932" s="23"/>
      <c r="AI1932" s="23"/>
      <c r="AJ1932" s="23"/>
      <c r="AK1932" s="23"/>
      <c r="AL1932" s="23"/>
      <c r="AM1932" s="23"/>
      <c r="AN1932" s="23"/>
      <c r="AO1932" s="23"/>
      <c r="AP1932" s="23"/>
      <c r="AQ1932" s="23"/>
      <c r="AR1932" s="23"/>
      <c r="AS1932" s="23"/>
      <c r="AT1932" s="23"/>
      <c r="AU1932" s="23"/>
      <c r="AV1932" s="23"/>
      <c r="AW1932" s="23"/>
      <c r="AX1932" s="23"/>
      <c r="AY1932" s="23"/>
      <c r="AZ1932" s="23"/>
      <c r="BA1932" s="23"/>
      <c r="BB1932" s="23"/>
    </row>
    <row r="1933" spans="5:54" x14ac:dyDescent="0.35"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  <c r="AA1933" s="23"/>
      <c r="AB1933" s="23"/>
      <c r="AC1933" s="23"/>
      <c r="AD1933" s="23"/>
      <c r="AE1933" s="23"/>
      <c r="AF1933" s="23"/>
      <c r="AG1933" s="23"/>
      <c r="AH1933" s="23"/>
      <c r="AI1933" s="23"/>
      <c r="AJ1933" s="23"/>
      <c r="AK1933" s="23"/>
      <c r="AL1933" s="23"/>
      <c r="AM1933" s="23"/>
      <c r="AN1933" s="23"/>
      <c r="AO1933" s="23"/>
      <c r="AP1933" s="23"/>
      <c r="AQ1933" s="23"/>
      <c r="AR1933" s="23"/>
      <c r="AS1933" s="23"/>
      <c r="AT1933" s="23"/>
      <c r="AU1933" s="23"/>
      <c r="AV1933" s="23"/>
      <c r="AW1933" s="23"/>
      <c r="AX1933" s="23"/>
      <c r="AY1933" s="23"/>
      <c r="AZ1933" s="23"/>
      <c r="BA1933" s="23"/>
      <c r="BB1933" s="23"/>
    </row>
    <row r="1934" spans="5:54" x14ac:dyDescent="0.35"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  <c r="AA1934" s="23"/>
      <c r="AB1934" s="23"/>
      <c r="AC1934" s="23"/>
      <c r="AD1934" s="23"/>
      <c r="AE1934" s="23"/>
      <c r="AF1934" s="23"/>
      <c r="AG1934" s="23"/>
      <c r="AH1934" s="23"/>
      <c r="AI1934" s="23"/>
      <c r="AJ1934" s="23"/>
      <c r="AK1934" s="23"/>
      <c r="AL1934" s="23"/>
      <c r="AM1934" s="23"/>
      <c r="AN1934" s="23"/>
      <c r="AO1934" s="23"/>
      <c r="AP1934" s="23"/>
      <c r="AQ1934" s="23"/>
      <c r="AR1934" s="23"/>
      <c r="AS1934" s="23"/>
      <c r="AT1934" s="23"/>
      <c r="AU1934" s="23"/>
      <c r="AV1934" s="23"/>
      <c r="AW1934" s="23"/>
      <c r="AX1934" s="23"/>
      <c r="AY1934" s="23"/>
      <c r="AZ1934" s="23"/>
      <c r="BA1934" s="23"/>
      <c r="BB1934" s="23"/>
    </row>
    <row r="1935" spans="5:54" x14ac:dyDescent="0.35"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  <c r="AA1935" s="23"/>
      <c r="AB1935" s="23"/>
      <c r="AC1935" s="23"/>
      <c r="AD1935" s="23"/>
      <c r="AE1935" s="23"/>
      <c r="AF1935" s="23"/>
      <c r="AG1935" s="23"/>
      <c r="AH1935" s="23"/>
      <c r="AI1935" s="23"/>
      <c r="AJ1935" s="23"/>
      <c r="AK1935" s="23"/>
      <c r="AL1935" s="23"/>
      <c r="AM1935" s="23"/>
      <c r="AN1935" s="23"/>
      <c r="AO1935" s="23"/>
      <c r="AP1935" s="23"/>
      <c r="AQ1935" s="23"/>
      <c r="AR1935" s="23"/>
      <c r="AS1935" s="23"/>
      <c r="AT1935" s="23"/>
      <c r="AU1935" s="23"/>
      <c r="AV1935" s="23"/>
      <c r="AW1935" s="23"/>
      <c r="AX1935" s="23"/>
      <c r="AY1935" s="23"/>
      <c r="AZ1935" s="23"/>
      <c r="BA1935" s="23"/>
      <c r="BB1935" s="23"/>
    </row>
    <row r="1936" spans="5:54" x14ac:dyDescent="0.35"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  <c r="AA1936" s="23"/>
      <c r="AB1936" s="23"/>
      <c r="AC1936" s="23"/>
      <c r="AD1936" s="23"/>
      <c r="AE1936" s="23"/>
      <c r="AF1936" s="23"/>
      <c r="AG1936" s="23"/>
      <c r="AH1936" s="23"/>
      <c r="AI1936" s="23"/>
      <c r="AJ1936" s="23"/>
      <c r="AK1936" s="23"/>
      <c r="AL1936" s="23"/>
      <c r="AM1936" s="23"/>
      <c r="AN1936" s="23"/>
      <c r="AO1936" s="23"/>
      <c r="AP1936" s="23"/>
      <c r="AQ1936" s="23"/>
      <c r="AR1936" s="23"/>
      <c r="AS1936" s="23"/>
      <c r="AT1936" s="23"/>
      <c r="AU1936" s="23"/>
      <c r="AV1936" s="23"/>
      <c r="AW1936" s="23"/>
      <c r="AX1936" s="23"/>
      <c r="AY1936" s="23"/>
      <c r="AZ1936" s="23"/>
      <c r="BA1936" s="23"/>
      <c r="BB1936" s="23"/>
    </row>
    <row r="1937" spans="5:54" x14ac:dyDescent="0.35"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  <c r="AA1937" s="23"/>
      <c r="AB1937" s="23"/>
      <c r="AC1937" s="23"/>
      <c r="AD1937" s="23"/>
      <c r="AE1937" s="23"/>
      <c r="AF1937" s="23"/>
      <c r="AG1937" s="23"/>
      <c r="AH1937" s="23"/>
      <c r="AI1937" s="23"/>
      <c r="AJ1937" s="23"/>
      <c r="AK1937" s="23"/>
      <c r="AL1937" s="23"/>
      <c r="AM1937" s="23"/>
      <c r="AN1937" s="23"/>
      <c r="AO1937" s="23"/>
      <c r="AP1937" s="23"/>
      <c r="AQ1937" s="23"/>
      <c r="AR1937" s="23"/>
      <c r="AS1937" s="23"/>
      <c r="AT1937" s="23"/>
      <c r="AU1937" s="23"/>
      <c r="AV1937" s="23"/>
      <c r="AW1937" s="23"/>
      <c r="AX1937" s="23"/>
      <c r="AY1937" s="23"/>
      <c r="AZ1937" s="23"/>
      <c r="BA1937" s="23"/>
      <c r="BB1937" s="23"/>
    </row>
    <row r="1938" spans="5:54" x14ac:dyDescent="0.35"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  <c r="AA1938" s="23"/>
      <c r="AB1938" s="23"/>
      <c r="AC1938" s="23"/>
      <c r="AD1938" s="23"/>
      <c r="AE1938" s="23"/>
      <c r="AF1938" s="23"/>
      <c r="AG1938" s="23"/>
      <c r="AH1938" s="23"/>
      <c r="AI1938" s="23"/>
      <c r="AJ1938" s="23"/>
      <c r="AK1938" s="23"/>
      <c r="AL1938" s="23"/>
      <c r="AM1938" s="23"/>
      <c r="AN1938" s="23"/>
      <c r="AO1938" s="23"/>
      <c r="AP1938" s="23"/>
      <c r="AQ1938" s="23"/>
      <c r="AR1938" s="23"/>
      <c r="AS1938" s="23"/>
      <c r="AT1938" s="23"/>
      <c r="AU1938" s="23"/>
      <c r="AV1938" s="23"/>
      <c r="AW1938" s="23"/>
      <c r="AX1938" s="23"/>
      <c r="AY1938" s="23"/>
      <c r="AZ1938" s="23"/>
      <c r="BA1938" s="23"/>
      <c r="BB1938" s="23"/>
    </row>
    <row r="1939" spans="5:54" x14ac:dyDescent="0.35"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  <c r="AA1939" s="23"/>
      <c r="AB1939" s="23"/>
      <c r="AC1939" s="23"/>
      <c r="AD1939" s="23"/>
      <c r="AE1939" s="23"/>
      <c r="AF1939" s="23"/>
      <c r="AG1939" s="23"/>
      <c r="AH1939" s="23"/>
      <c r="AI1939" s="23"/>
      <c r="AJ1939" s="23"/>
      <c r="AK1939" s="23"/>
      <c r="AL1939" s="23"/>
      <c r="AM1939" s="23"/>
      <c r="AN1939" s="23"/>
      <c r="AO1939" s="23"/>
      <c r="AP1939" s="23"/>
      <c r="AQ1939" s="23"/>
      <c r="AR1939" s="23"/>
      <c r="AS1939" s="23"/>
      <c r="AT1939" s="23"/>
      <c r="AU1939" s="23"/>
      <c r="AV1939" s="23"/>
      <c r="AW1939" s="23"/>
      <c r="AX1939" s="23"/>
      <c r="AY1939" s="23"/>
      <c r="AZ1939" s="23"/>
      <c r="BA1939" s="23"/>
      <c r="BB1939" s="23"/>
    </row>
    <row r="1940" spans="5:54" x14ac:dyDescent="0.35"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  <c r="AA1940" s="23"/>
      <c r="AB1940" s="23"/>
      <c r="AC1940" s="23"/>
      <c r="AD1940" s="23"/>
      <c r="AE1940" s="23"/>
      <c r="AF1940" s="23"/>
      <c r="AG1940" s="23"/>
      <c r="AH1940" s="23"/>
      <c r="AI1940" s="23"/>
      <c r="AJ1940" s="23"/>
      <c r="AK1940" s="23"/>
      <c r="AL1940" s="23"/>
      <c r="AM1940" s="23"/>
      <c r="AN1940" s="23"/>
      <c r="AO1940" s="23"/>
      <c r="AP1940" s="23"/>
      <c r="AQ1940" s="23"/>
      <c r="AR1940" s="23"/>
      <c r="AS1940" s="23"/>
      <c r="AT1940" s="23"/>
      <c r="AU1940" s="23"/>
      <c r="AV1940" s="23"/>
      <c r="AW1940" s="23"/>
      <c r="AX1940" s="23"/>
      <c r="AY1940" s="23"/>
      <c r="AZ1940" s="23"/>
      <c r="BA1940" s="23"/>
      <c r="BB1940" s="23"/>
    </row>
    <row r="1941" spans="5:54" x14ac:dyDescent="0.35"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  <c r="AA1941" s="23"/>
      <c r="AB1941" s="23"/>
      <c r="AC1941" s="23"/>
      <c r="AD1941" s="23"/>
      <c r="AE1941" s="23"/>
      <c r="AF1941" s="23"/>
      <c r="AG1941" s="23"/>
      <c r="AH1941" s="23"/>
      <c r="AI1941" s="23"/>
      <c r="AJ1941" s="23"/>
      <c r="AK1941" s="23"/>
      <c r="AL1941" s="23"/>
      <c r="AM1941" s="23"/>
      <c r="AN1941" s="23"/>
      <c r="AO1941" s="23"/>
      <c r="AP1941" s="23"/>
      <c r="AQ1941" s="23"/>
      <c r="AR1941" s="23"/>
      <c r="AS1941" s="23"/>
      <c r="AT1941" s="23"/>
      <c r="AU1941" s="23"/>
      <c r="AV1941" s="23"/>
      <c r="AW1941" s="23"/>
      <c r="AX1941" s="23"/>
      <c r="AY1941" s="23"/>
      <c r="AZ1941" s="23"/>
      <c r="BA1941" s="23"/>
      <c r="BB1941" s="23"/>
    </row>
    <row r="1942" spans="5:54" x14ac:dyDescent="0.35"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  <c r="AA1942" s="23"/>
      <c r="AB1942" s="23"/>
      <c r="AC1942" s="23"/>
      <c r="AD1942" s="23"/>
      <c r="AE1942" s="23"/>
      <c r="AF1942" s="23"/>
      <c r="AG1942" s="23"/>
      <c r="AH1942" s="23"/>
      <c r="AI1942" s="23"/>
      <c r="AJ1942" s="23"/>
      <c r="AK1942" s="23"/>
      <c r="AL1942" s="23"/>
      <c r="AM1942" s="23"/>
      <c r="AN1942" s="23"/>
      <c r="AO1942" s="23"/>
      <c r="AP1942" s="23"/>
      <c r="AQ1942" s="23"/>
      <c r="AR1942" s="23"/>
      <c r="AS1942" s="23"/>
      <c r="AT1942" s="23"/>
      <c r="AU1942" s="23"/>
      <c r="AV1942" s="23"/>
      <c r="AW1942" s="23"/>
      <c r="AX1942" s="23"/>
      <c r="AY1942" s="23"/>
      <c r="AZ1942" s="23"/>
      <c r="BA1942" s="23"/>
      <c r="BB1942" s="23"/>
    </row>
    <row r="1943" spans="5:54" x14ac:dyDescent="0.35"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  <c r="AA1943" s="23"/>
      <c r="AB1943" s="23"/>
      <c r="AC1943" s="23"/>
      <c r="AD1943" s="23"/>
      <c r="AE1943" s="23"/>
      <c r="AF1943" s="23"/>
      <c r="AG1943" s="23"/>
      <c r="AH1943" s="23"/>
      <c r="AI1943" s="23"/>
      <c r="AJ1943" s="23"/>
      <c r="AK1943" s="23"/>
      <c r="AL1943" s="23"/>
      <c r="AM1943" s="23"/>
      <c r="AN1943" s="23"/>
      <c r="AO1943" s="23"/>
      <c r="AP1943" s="23"/>
      <c r="AQ1943" s="23"/>
      <c r="AR1943" s="23"/>
      <c r="AS1943" s="23"/>
      <c r="AT1943" s="23"/>
      <c r="AU1943" s="23"/>
      <c r="AV1943" s="23"/>
      <c r="AW1943" s="23"/>
      <c r="AX1943" s="23"/>
      <c r="AY1943" s="23"/>
      <c r="AZ1943" s="23"/>
      <c r="BA1943" s="23"/>
      <c r="BB1943" s="23"/>
    </row>
    <row r="1944" spans="5:54" x14ac:dyDescent="0.35"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  <c r="AA1944" s="23"/>
      <c r="AB1944" s="23"/>
      <c r="AC1944" s="23"/>
      <c r="AD1944" s="23"/>
      <c r="AE1944" s="23"/>
      <c r="AF1944" s="23"/>
      <c r="AG1944" s="23"/>
      <c r="AH1944" s="23"/>
      <c r="AI1944" s="23"/>
      <c r="AJ1944" s="23"/>
      <c r="AK1944" s="23"/>
      <c r="AL1944" s="23"/>
      <c r="AM1944" s="23"/>
      <c r="AN1944" s="23"/>
      <c r="AO1944" s="23"/>
      <c r="AP1944" s="23"/>
      <c r="AQ1944" s="23"/>
      <c r="AR1944" s="23"/>
      <c r="AS1944" s="23"/>
      <c r="AT1944" s="23"/>
      <c r="AU1944" s="23"/>
      <c r="AV1944" s="23"/>
      <c r="AW1944" s="23"/>
      <c r="AX1944" s="23"/>
      <c r="AY1944" s="23"/>
      <c r="AZ1944" s="23"/>
      <c r="BA1944" s="23"/>
      <c r="BB1944" s="23"/>
    </row>
    <row r="1945" spans="5:54" x14ac:dyDescent="0.35"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  <c r="AA1945" s="23"/>
      <c r="AB1945" s="23"/>
      <c r="AC1945" s="23"/>
      <c r="AD1945" s="23"/>
      <c r="AE1945" s="23"/>
      <c r="AF1945" s="23"/>
      <c r="AG1945" s="23"/>
      <c r="AH1945" s="23"/>
      <c r="AI1945" s="23"/>
      <c r="AJ1945" s="23"/>
      <c r="AK1945" s="23"/>
      <c r="AL1945" s="23"/>
      <c r="AM1945" s="23"/>
      <c r="AN1945" s="23"/>
      <c r="AO1945" s="23"/>
      <c r="AP1945" s="23"/>
      <c r="AQ1945" s="23"/>
      <c r="AR1945" s="23"/>
      <c r="AS1945" s="23"/>
      <c r="AT1945" s="23"/>
      <c r="AU1945" s="23"/>
      <c r="AV1945" s="23"/>
      <c r="AW1945" s="23"/>
      <c r="AX1945" s="23"/>
      <c r="AY1945" s="23"/>
      <c r="AZ1945" s="23"/>
      <c r="BA1945" s="23"/>
      <c r="BB1945" s="23"/>
    </row>
    <row r="1946" spans="5:54" x14ac:dyDescent="0.35"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  <c r="AA1946" s="23"/>
      <c r="AB1946" s="23"/>
      <c r="AC1946" s="23"/>
      <c r="AD1946" s="23"/>
      <c r="AE1946" s="23"/>
      <c r="AF1946" s="23"/>
      <c r="AG1946" s="23"/>
      <c r="AH1946" s="23"/>
      <c r="AI1946" s="23"/>
      <c r="AJ1946" s="23"/>
      <c r="AK1946" s="23"/>
      <c r="AL1946" s="23"/>
      <c r="AM1946" s="23"/>
      <c r="AN1946" s="23"/>
      <c r="AO1946" s="23"/>
      <c r="AP1946" s="23"/>
      <c r="AQ1946" s="23"/>
      <c r="AR1946" s="23"/>
      <c r="AS1946" s="23"/>
      <c r="AT1946" s="23"/>
      <c r="AU1946" s="23"/>
      <c r="AV1946" s="23"/>
      <c r="AW1946" s="23"/>
      <c r="AX1946" s="23"/>
      <c r="AY1946" s="23"/>
      <c r="AZ1946" s="23"/>
      <c r="BA1946" s="23"/>
      <c r="BB1946" s="23"/>
    </row>
    <row r="1947" spans="5:54" x14ac:dyDescent="0.35"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  <c r="AA1947" s="23"/>
      <c r="AB1947" s="23"/>
      <c r="AC1947" s="23"/>
      <c r="AD1947" s="23"/>
      <c r="AE1947" s="23"/>
      <c r="AF1947" s="23"/>
      <c r="AG1947" s="23"/>
      <c r="AH1947" s="23"/>
      <c r="AI1947" s="23"/>
      <c r="AJ1947" s="23"/>
      <c r="AK1947" s="23"/>
      <c r="AL1947" s="23"/>
      <c r="AM1947" s="23"/>
      <c r="AN1947" s="23"/>
      <c r="AO1947" s="23"/>
      <c r="AP1947" s="23"/>
      <c r="AQ1947" s="23"/>
      <c r="AR1947" s="23"/>
      <c r="AS1947" s="23"/>
      <c r="AT1947" s="23"/>
      <c r="AU1947" s="23"/>
      <c r="AV1947" s="23"/>
      <c r="AW1947" s="23"/>
      <c r="AX1947" s="23"/>
      <c r="AY1947" s="23"/>
      <c r="AZ1947" s="23"/>
      <c r="BA1947" s="23"/>
      <c r="BB1947" s="23"/>
    </row>
    <row r="1948" spans="5:54" x14ac:dyDescent="0.35"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  <c r="AA1948" s="23"/>
      <c r="AB1948" s="23"/>
      <c r="AC1948" s="23"/>
      <c r="AD1948" s="23"/>
      <c r="AE1948" s="23"/>
      <c r="AF1948" s="23"/>
      <c r="AG1948" s="23"/>
      <c r="AH1948" s="23"/>
      <c r="AI1948" s="23"/>
      <c r="AJ1948" s="23"/>
      <c r="AK1948" s="23"/>
      <c r="AL1948" s="23"/>
      <c r="AM1948" s="23"/>
      <c r="AN1948" s="23"/>
      <c r="AO1948" s="23"/>
      <c r="AP1948" s="23"/>
      <c r="AQ1948" s="23"/>
      <c r="AR1948" s="23"/>
      <c r="AS1948" s="23"/>
      <c r="AT1948" s="23"/>
      <c r="AU1948" s="23"/>
      <c r="AV1948" s="23"/>
      <c r="AW1948" s="23"/>
      <c r="AX1948" s="23"/>
      <c r="AY1948" s="23"/>
      <c r="AZ1948" s="23"/>
      <c r="BA1948" s="23"/>
      <c r="BB1948" s="23"/>
    </row>
    <row r="1949" spans="5:54" x14ac:dyDescent="0.35"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  <c r="AA1949" s="23"/>
      <c r="AB1949" s="23"/>
      <c r="AC1949" s="23"/>
      <c r="AD1949" s="23"/>
      <c r="AE1949" s="23"/>
      <c r="AF1949" s="23"/>
      <c r="AG1949" s="23"/>
      <c r="AH1949" s="23"/>
      <c r="AI1949" s="23"/>
      <c r="AJ1949" s="23"/>
      <c r="AK1949" s="23"/>
      <c r="AL1949" s="23"/>
      <c r="AM1949" s="23"/>
      <c r="AN1949" s="23"/>
      <c r="AO1949" s="23"/>
      <c r="AP1949" s="23"/>
      <c r="AQ1949" s="23"/>
      <c r="AR1949" s="23"/>
      <c r="AS1949" s="23"/>
      <c r="AT1949" s="23"/>
      <c r="AU1949" s="23"/>
      <c r="AV1949" s="23"/>
      <c r="AW1949" s="23"/>
      <c r="AX1949" s="23"/>
      <c r="AY1949" s="23"/>
      <c r="AZ1949" s="23"/>
      <c r="BA1949" s="23"/>
      <c r="BB1949" s="23"/>
    </row>
    <row r="1950" spans="5:54" x14ac:dyDescent="0.35"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  <c r="AA1950" s="23"/>
      <c r="AB1950" s="23"/>
      <c r="AC1950" s="23"/>
      <c r="AD1950" s="23"/>
      <c r="AE1950" s="23"/>
      <c r="AF1950" s="23"/>
      <c r="AG1950" s="23"/>
      <c r="AH1950" s="23"/>
      <c r="AI1950" s="23"/>
      <c r="AJ1950" s="23"/>
      <c r="AK1950" s="23"/>
      <c r="AL1950" s="23"/>
      <c r="AM1950" s="23"/>
      <c r="AN1950" s="23"/>
      <c r="AO1950" s="23"/>
      <c r="AP1950" s="23"/>
      <c r="AQ1950" s="23"/>
      <c r="AR1950" s="23"/>
      <c r="AS1950" s="23"/>
      <c r="AT1950" s="23"/>
      <c r="AU1950" s="23"/>
      <c r="AV1950" s="23"/>
      <c r="AW1950" s="23"/>
      <c r="AX1950" s="23"/>
      <c r="AY1950" s="23"/>
      <c r="AZ1950" s="23"/>
      <c r="BA1950" s="23"/>
      <c r="BB1950" s="23"/>
    </row>
    <row r="1951" spans="5:54" x14ac:dyDescent="0.35"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  <c r="AA1951" s="23"/>
      <c r="AB1951" s="23"/>
      <c r="AC1951" s="23"/>
      <c r="AD1951" s="23"/>
      <c r="AE1951" s="23"/>
      <c r="AF1951" s="23"/>
      <c r="AG1951" s="23"/>
      <c r="AH1951" s="23"/>
      <c r="AI1951" s="23"/>
      <c r="AJ1951" s="23"/>
      <c r="AK1951" s="23"/>
      <c r="AL1951" s="23"/>
      <c r="AM1951" s="23"/>
      <c r="AN1951" s="23"/>
      <c r="AO1951" s="23"/>
      <c r="AP1951" s="23"/>
      <c r="AQ1951" s="23"/>
      <c r="AR1951" s="23"/>
      <c r="AS1951" s="23"/>
      <c r="AT1951" s="23"/>
      <c r="AU1951" s="23"/>
      <c r="AV1951" s="23"/>
      <c r="AW1951" s="23"/>
      <c r="AX1951" s="23"/>
      <c r="AY1951" s="23"/>
      <c r="AZ1951" s="23"/>
      <c r="BA1951" s="23"/>
      <c r="BB1951" s="23"/>
    </row>
    <row r="1952" spans="5:54" x14ac:dyDescent="0.35"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  <c r="AA1952" s="23"/>
      <c r="AB1952" s="23"/>
      <c r="AC1952" s="23"/>
      <c r="AD1952" s="23"/>
      <c r="AE1952" s="23"/>
      <c r="AF1952" s="23"/>
      <c r="AG1952" s="23"/>
      <c r="AH1952" s="23"/>
      <c r="AI1952" s="23"/>
      <c r="AJ1952" s="23"/>
      <c r="AK1952" s="23"/>
      <c r="AL1952" s="23"/>
      <c r="AM1952" s="23"/>
      <c r="AN1952" s="23"/>
      <c r="AO1952" s="23"/>
      <c r="AP1952" s="23"/>
      <c r="AQ1952" s="23"/>
      <c r="AR1952" s="23"/>
      <c r="AS1952" s="23"/>
      <c r="AT1952" s="23"/>
      <c r="AU1952" s="23"/>
      <c r="AV1952" s="23"/>
      <c r="AW1952" s="23"/>
      <c r="AX1952" s="23"/>
      <c r="AY1952" s="23"/>
      <c r="AZ1952" s="23"/>
      <c r="BA1952" s="23"/>
      <c r="BB1952" s="23"/>
    </row>
    <row r="1953" spans="5:54" x14ac:dyDescent="0.35"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  <c r="AA1953" s="23"/>
      <c r="AB1953" s="23"/>
      <c r="AC1953" s="23"/>
      <c r="AD1953" s="23"/>
      <c r="AE1953" s="23"/>
      <c r="AF1953" s="23"/>
      <c r="AG1953" s="23"/>
      <c r="AH1953" s="23"/>
      <c r="AI1953" s="23"/>
      <c r="AJ1953" s="23"/>
      <c r="AK1953" s="23"/>
      <c r="AL1953" s="23"/>
      <c r="AM1953" s="23"/>
      <c r="AN1953" s="23"/>
      <c r="AO1953" s="23"/>
      <c r="AP1953" s="23"/>
      <c r="AQ1953" s="23"/>
      <c r="AR1953" s="23"/>
      <c r="AS1953" s="23"/>
      <c r="AT1953" s="23"/>
      <c r="AU1953" s="23"/>
      <c r="AV1953" s="23"/>
      <c r="AW1953" s="23"/>
      <c r="AX1953" s="23"/>
      <c r="AY1953" s="23"/>
      <c r="AZ1953" s="23"/>
      <c r="BA1953" s="23"/>
      <c r="BB1953" s="23"/>
    </row>
    <row r="1954" spans="5:54" x14ac:dyDescent="0.35"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  <c r="AA1954" s="23"/>
      <c r="AB1954" s="23"/>
      <c r="AC1954" s="23"/>
      <c r="AD1954" s="23"/>
      <c r="AE1954" s="23"/>
      <c r="AF1954" s="23"/>
      <c r="AG1954" s="23"/>
      <c r="AH1954" s="23"/>
      <c r="AI1954" s="23"/>
      <c r="AJ1954" s="23"/>
      <c r="AK1954" s="23"/>
      <c r="AL1954" s="23"/>
      <c r="AM1954" s="23"/>
      <c r="AN1954" s="23"/>
      <c r="AO1954" s="23"/>
      <c r="AP1954" s="23"/>
      <c r="AQ1954" s="23"/>
      <c r="AR1954" s="23"/>
      <c r="AS1954" s="23"/>
      <c r="AT1954" s="23"/>
      <c r="AU1954" s="23"/>
      <c r="AV1954" s="23"/>
      <c r="AW1954" s="23"/>
      <c r="AX1954" s="23"/>
      <c r="AY1954" s="23"/>
      <c r="AZ1954" s="23"/>
      <c r="BA1954" s="23"/>
      <c r="BB1954" s="23"/>
    </row>
    <row r="1955" spans="5:54" x14ac:dyDescent="0.35"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  <c r="AA1955" s="23"/>
      <c r="AB1955" s="23"/>
      <c r="AC1955" s="23"/>
      <c r="AD1955" s="23"/>
      <c r="AE1955" s="23"/>
      <c r="AF1955" s="23"/>
      <c r="AG1955" s="23"/>
      <c r="AH1955" s="23"/>
      <c r="AI1955" s="23"/>
      <c r="AJ1955" s="23"/>
      <c r="AK1955" s="23"/>
      <c r="AL1955" s="23"/>
      <c r="AM1955" s="23"/>
      <c r="AN1955" s="23"/>
      <c r="AO1955" s="23"/>
      <c r="AP1955" s="23"/>
      <c r="AQ1955" s="23"/>
      <c r="AR1955" s="23"/>
      <c r="AS1955" s="23"/>
      <c r="AT1955" s="23"/>
      <c r="AU1955" s="23"/>
      <c r="AV1955" s="23"/>
      <c r="AW1955" s="23"/>
      <c r="AX1955" s="23"/>
      <c r="AY1955" s="23"/>
      <c r="AZ1955" s="23"/>
      <c r="BA1955" s="23"/>
      <c r="BB1955" s="23"/>
    </row>
    <row r="1956" spans="5:54" x14ac:dyDescent="0.35"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  <c r="AA1956" s="23"/>
      <c r="AB1956" s="23"/>
      <c r="AC1956" s="23"/>
      <c r="AD1956" s="23"/>
      <c r="AE1956" s="23"/>
      <c r="AF1956" s="23"/>
      <c r="AG1956" s="23"/>
      <c r="AH1956" s="23"/>
      <c r="AI1956" s="23"/>
      <c r="AJ1956" s="23"/>
      <c r="AK1956" s="23"/>
      <c r="AL1956" s="23"/>
      <c r="AM1956" s="23"/>
      <c r="AN1956" s="23"/>
      <c r="AO1956" s="23"/>
      <c r="AP1956" s="23"/>
      <c r="AQ1956" s="23"/>
      <c r="AR1956" s="23"/>
      <c r="AS1956" s="23"/>
      <c r="AT1956" s="23"/>
      <c r="AU1956" s="23"/>
      <c r="AV1956" s="23"/>
      <c r="AW1956" s="23"/>
      <c r="AX1956" s="23"/>
      <c r="AY1956" s="23"/>
      <c r="AZ1956" s="23"/>
      <c r="BA1956" s="23"/>
      <c r="BB1956" s="23"/>
    </row>
    <row r="1957" spans="5:54" x14ac:dyDescent="0.35"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  <c r="AA1957" s="23"/>
      <c r="AB1957" s="23"/>
      <c r="AC1957" s="23"/>
      <c r="AD1957" s="23"/>
      <c r="AE1957" s="23"/>
      <c r="AF1957" s="23"/>
      <c r="AG1957" s="23"/>
      <c r="AH1957" s="23"/>
      <c r="AI1957" s="23"/>
      <c r="AJ1957" s="23"/>
      <c r="AK1957" s="23"/>
      <c r="AL1957" s="23"/>
      <c r="AM1957" s="23"/>
      <c r="AN1957" s="23"/>
      <c r="AO1957" s="23"/>
      <c r="AP1957" s="23"/>
      <c r="AQ1957" s="23"/>
      <c r="AR1957" s="23"/>
      <c r="AS1957" s="23"/>
      <c r="AT1957" s="23"/>
      <c r="AU1957" s="23"/>
      <c r="AV1957" s="23"/>
      <c r="AW1957" s="23"/>
      <c r="AX1957" s="23"/>
      <c r="AY1957" s="23"/>
      <c r="AZ1957" s="23"/>
      <c r="BA1957" s="23"/>
      <c r="BB1957" s="23"/>
    </row>
    <row r="1958" spans="5:54" x14ac:dyDescent="0.35"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  <c r="AA1958" s="23"/>
      <c r="AB1958" s="23"/>
      <c r="AC1958" s="23"/>
      <c r="AD1958" s="23"/>
      <c r="AE1958" s="23"/>
      <c r="AF1958" s="23"/>
      <c r="AG1958" s="23"/>
      <c r="AH1958" s="23"/>
      <c r="AI1958" s="23"/>
      <c r="AJ1958" s="23"/>
      <c r="AK1958" s="23"/>
      <c r="AL1958" s="23"/>
      <c r="AM1958" s="23"/>
      <c r="AN1958" s="23"/>
      <c r="AO1958" s="23"/>
      <c r="AP1958" s="23"/>
      <c r="AQ1958" s="23"/>
      <c r="AR1958" s="23"/>
      <c r="AS1958" s="23"/>
      <c r="AT1958" s="23"/>
      <c r="AU1958" s="23"/>
      <c r="AV1958" s="23"/>
      <c r="AW1958" s="23"/>
      <c r="AX1958" s="23"/>
      <c r="AY1958" s="23"/>
      <c r="AZ1958" s="23"/>
      <c r="BA1958" s="23"/>
      <c r="BB1958" s="23"/>
    </row>
    <row r="1959" spans="5:54" x14ac:dyDescent="0.35"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  <c r="AA1959" s="23"/>
      <c r="AB1959" s="23"/>
      <c r="AC1959" s="23"/>
      <c r="AD1959" s="23"/>
      <c r="AE1959" s="23"/>
      <c r="AF1959" s="23"/>
      <c r="AG1959" s="23"/>
      <c r="AH1959" s="23"/>
      <c r="AI1959" s="23"/>
      <c r="AJ1959" s="23"/>
      <c r="AK1959" s="23"/>
      <c r="AL1959" s="23"/>
      <c r="AM1959" s="23"/>
      <c r="AN1959" s="23"/>
      <c r="AO1959" s="23"/>
      <c r="AP1959" s="23"/>
      <c r="AQ1959" s="23"/>
      <c r="AR1959" s="23"/>
      <c r="AS1959" s="23"/>
      <c r="AT1959" s="23"/>
      <c r="AU1959" s="23"/>
      <c r="AV1959" s="23"/>
      <c r="AW1959" s="23"/>
      <c r="AX1959" s="23"/>
      <c r="AY1959" s="23"/>
      <c r="AZ1959" s="23"/>
      <c r="BA1959" s="23"/>
      <c r="BB1959" s="23"/>
    </row>
    <row r="1960" spans="5:54" x14ac:dyDescent="0.35"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  <c r="AA1960" s="23"/>
      <c r="AB1960" s="23"/>
      <c r="AC1960" s="23"/>
      <c r="AD1960" s="23"/>
      <c r="AE1960" s="23"/>
      <c r="AF1960" s="23"/>
      <c r="AG1960" s="23"/>
      <c r="AH1960" s="23"/>
      <c r="AI1960" s="23"/>
      <c r="AJ1960" s="23"/>
      <c r="AK1960" s="23"/>
      <c r="AL1960" s="23"/>
      <c r="AM1960" s="23"/>
      <c r="AN1960" s="23"/>
      <c r="AO1960" s="23"/>
      <c r="AP1960" s="23"/>
      <c r="AQ1960" s="23"/>
      <c r="AR1960" s="23"/>
      <c r="AS1960" s="23"/>
      <c r="AT1960" s="23"/>
      <c r="AU1960" s="23"/>
      <c r="AV1960" s="23"/>
      <c r="AW1960" s="23"/>
      <c r="AX1960" s="23"/>
      <c r="AY1960" s="23"/>
      <c r="AZ1960" s="23"/>
      <c r="BA1960" s="23"/>
      <c r="BB1960" s="23"/>
    </row>
    <row r="1961" spans="5:54" x14ac:dyDescent="0.35"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  <c r="AA1961" s="23"/>
      <c r="AB1961" s="23"/>
      <c r="AC1961" s="23"/>
      <c r="AD1961" s="23"/>
      <c r="AE1961" s="23"/>
      <c r="AF1961" s="23"/>
      <c r="AG1961" s="23"/>
      <c r="AH1961" s="23"/>
      <c r="AI1961" s="23"/>
      <c r="AJ1961" s="23"/>
      <c r="AK1961" s="23"/>
      <c r="AL1961" s="23"/>
      <c r="AM1961" s="23"/>
      <c r="AN1961" s="23"/>
      <c r="AO1961" s="23"/>
      <c r="AP1961" s="23"/>
      <c r="AQ1961" s="23"/>
      <c r="AR1961" s="23"/>
      <c r="AS1961" s="23"/>
      <c r="AT1961" s="23"/>
      <c r="AU1961" s="23"/>
      <c r="AV1961" s="23"/>
      <c r="AW1961" s="23"/>
      <c r="AX1961" s="23"/>
      <c r="AY1961" s="23"/>
      <c r="AZ1961" s="23"/>
      <c r="BA1961" s="23"/>
      <c r="BB1961" s="23"/>
    </row>
    <row r="1962" spans="5:54" x14ac:dyDescent="0.35"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  <c r="AA1962" s="23"/>
      <c r="AB1962" s="23"/>
      <c r="AC1962" s="23"/>
      <c r="AD1962" s="23"/>
      <c r="AE1962" s="23"/>
      <c r="AF1962" s="23"/>
      <c r="AG1962" s="23"/>
      <c r="AH1962" s="23"/>
      <c r="AI1962" s="23"/>
      <c r="AJ1962" s="23"/>
      <c r="AK1962" s="23"/>
      <c r="AL1962" s="23"/>
      <c r="AM1962" s="23"/>
      <c r="AN1962" s="23"/>
      <c r="AO1962" s="23"/>
      <c r="AP1962" s="23"/>
      <c r="AQ1962" s="23"/>
      <c r="AR1962" s="23"/>
      <c r="AS1962" s="23"/>
      <c r="AT1962" s="23"/>
      <c r="AU1962" s="23"/>
      <c r="AV1962" s="23"/>
      <c r="AW1962" s="23"/>
      <c r="AX1962" s="23"/>
      <c r="AY1962" s="23"/>
      <c r="AZ1962" s="23"/>
      <c r="BA1962" s="23"/>
      <c r="BB1962" s="23"/>
    </row>
    <row r="1963" spans="5:54" x14ac:dyDescent="0.35"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  <c r="AA1963" s="23"/>
      <c r="AB1963" s="23"/>
      <c r="AC1963" s="23"/>
      <c r="AD1963" s="23"/>
      <c r="AE1963" s="23"/>
      <c r="AF1963" s="23"/>
      <c r="AG1963" s="23"/>
      <c r="AH1963" s="23"/>
      <c r="AI1963" s="23"/>
      <c r="AJ1963" s="23"/>
      <c r="AK1963" s="23"/>
      <c r="AL1963" s="23"/>
      <c r="AM1963" s="23"/>
      <c r="AN1963" s="23"/>
      <c r="AO1963" s="23"/>
      <c r="AP1963" s="23"/>
      <c r="AQ1963" s="23"/>
      <c r="AR1963" s="23"/>
      <c r="AS1963" s="23"/>
      <c r="AT1963" s="23"/>
      <c r="AU1963" s="23"/>
      <c r="AV1963" s="23"/>
      <c r="AW1963" s="23"/>
      <c r="AX1963" s="23"/>
      <c r="AY1963" s="23"/>
      <c r="AZ1963" s="23"/>
      <c r="BA1963" s="23"/>
      <c r="BB1963" s="23"/>
    </row>
    <row r="1964" spans="5:54" x14ac:dyDescent="0.35"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  <c r="AA1964" s="23"/>
      <c r="AB1964" s="23"/>
      <c r="AC1964" s="23"/>
      <c r="AD1964" s="23"/>
      <c r="AE1964" s="23"/>
      <c r="AF1964" s="23"/>
      <c r="AG1964" s="23"/>
      <c r="AH1964" s="23"/>
      <c r="AI1964" s="23"/>
      <c r="AJ1964" s="23"/>
      <c r="AK1964" s="23"/>
      <c r="AL1964" s="23"/>
      <c r="AM1964" s="23"/>
      <c r="AN1964" s="23"/>
      <c r="AO1964" s="23"/>
      <c r="AP1964" s="23"/>
      <c r="AQ1964" s="23"/>
      <c r="AR1964" s="23"/>
      <c r="AS1964" s="23"/>
      <c r="AT1964" s="23"/>
      <c r="AU1964" s="23"/>
      <c r="AV1964" s="23"/>
      <c r="AW1964" s="23"/>
      <c r="AX1964" s="23"/>
      <c r="AY1964" s="23"/>
      <c r="AZ1964" s="23"/>
      <c r="BA1964" s="23"/>
      <c r="BB1964" s="23"/>
    </row>
    <row r="1965" spans="5:54" x14ac:dyDescent="0.35"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  <c r="AA1965" s="23"/>
      <c r="AB1965" s="23"/>
      <c r="AC1965" s="23"/>
      <c r="AD1965" s="23"/>
      <c r="AE1965" s="23"/>
      <c r="AF1965" s="23"/>
      <c r="AG1965" s="23"/>
      <c r="AH1965" s="23"/>
      <c r="AI1965" s="23"/>
      <c r="AJ1965" s="23"/>
      <c r="AK1965" s="23"/>
      <c r="AL1965" s="23"/>
      <c r="AM1965" s="23"/>
      <c r="AN1965" s="23"/>
      <c r="AO1965" s="23"/>
      <c r="AP1965" s="23"/>
      <c r="AQ1965" s="23"/>
      <c r="AR1965" s="23"/>
      <c r="AS1965" s="23"/>
      <c r="AT1965" s="23"/>
      <c r="AU1965" s="23"/>
      <c r="AV1965" s="23"/>
      <c r="AW1965" s="23"/>
      <c r="AX1965" s="23"/>
      <c r="AY1965" s="23"/>
      <c r="AZ1965" s="23"/>
      <c r="BA1965" s="23"/>
      <c r="BB1965" s="23"/>
    </row>
    <row r="1966" spans="5:54" x14ac:dyDescent="0.35"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  <c r="AA1966" s="23"/>
      <c r="AB1966" s="23"/>
      <c r="AC1966" s="23"/>
      <c r="AD1966" s="23"/>
      <c r="AE1966" s="23"/>
      <c r="AF1966" s="23"/>
      <c r="AG1966" s="23"/>
      <c r="AH1966" s="23"/>
      <c r="AI1966" s="23"/>
      <c r="AJ1966" s="23"/>
      <c r="AK1966" s="23"/>
      <c r="AL1966" s="23"/>
      <c r="AM1966" s="23"/>
      <c r="AN1966" s="23"/>
      <c r="AO1966" s="23"/>
      <c r="AP1966" s="23"/>
      <c r="AQ1966" s="23"/>
      <c r="AR1966" s="23"/>
      <c r="AS1966" s="23"/>
      <c r="AT1966" s="23"/>
      <c r="AU1966" s="23"/>
      <c r="AV1966" s="23"/>
      <c r="AW1966" s="23"/>
      <c r="AX1966" s="23"/>
      <c r="AY1966" s="23"/>
      <c r="AZ1966" s="23"/>
      <c r="BA1966" s="23"/>
      <c r="BB1966" s="23"/>
    </row>
    <row r="1967" spans="5:54" x14ac:dyDescent="0.35"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  <c r="AA1967" s="23"/>
      <c r="AB1967" s="23"/>
      <c r="AC1967" s="23"/>
      <c r="AD1967" s="23"/>
      <c r="AE1967" s="23"/>
      <c r="AF1967" s="23"/>
      <c r="AG1967" s="23"/>
      <c r="AH1967" s="23"/>
      <c r="AI1967" s="23"/>
      <c r="AJ1967" s="23"/>
      <c r="AK1967" s="23"/>
      <c r="AL1967" s="23"/>
      <c r="AM1967" s="23"/>
      <c r="AN1967" s="23"/>
      <c r="AO1967" s="23"/>
      <c r="AP1967" s="23"/>
      <c r="AQ1967" s="23"/>
      <c r="AR1967" s="23"/>
      <c r="AS1967" s="23"/>
      <c r="AT1967" s="23"/>
      <c r="AU1967" s="23"/>
      <c r="AV1967" s="23"/>
      <c r="AW1967" s="23"/>
      <c r="AX1967" s="23"/>
      <c r="AY1967" s="23"/>
      <c r="AZ1967" s="23"/>
      <c r="BA1967" s="23"/>
      <c r="BB1967" s="23"/>
    </row>
    <row r="1968" spans="5:54" x14ac:dyDescent="0.35"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  <c r="AA1968" s="23"/>
      <c r="AB1968" s="23"/>
      <c r="AC1968" s="23"/>
      <c r="AD1968" s="23"/>
      <c r="AE1968" s="23"/>
      <c r="AF1968" s="23"/>
      <c r="AG1968" s="23"/>
      <c r="AH1968" s="23"/>
      <c r="AI1968" s="23"/>
      <c r="AJ1968" s="23"/>
      <c r="AK1968" s="23"/>
      <c r="AL1968" s="23"/>
      <c r="AM1968" s="23"/>
      <c r="AN1968" s="23"/>
      <c r="AO1968" s="23"/>
      <c r="AP1968" s="23"/>
      <c r="AQ1968" s="23"/>
      <c r="AR1968" s="23"/>
      <c r="AS1968" s="23"/>
      <c r="AT1968" s="23"/>
      <c r="AU1968" s="23"/>
      <c r="AV1968" s="23"/>
      <c r="AW1968" s="23"/>
      <c r="AX1968" s="23"/>
      <c r="AY1968" s="23"/>
      <c r="AZ1968" s="23"/>
      <c r="BA1968" s="23"/>
      <c r="BB1968" s="23"/>
    </row>
    <row r="1969" spans="5:54" x14ac:dyDescent="0.35"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  <c r="AA1969" s="23"/>
      <c r="AB1969" s="23"/>
      <c r="AC1969" s="23"/>
      <c r="AD1969" s="23"/>
      <c r="AE1969" s="23"/>
      <c r="AF1969" s="23"/>
      <c r="AG1969" s="23"/>
      <c r="AH1969" s="23"/>
      <c r="AI1969" s="23"/>
      <c r="AJ1969" s="23"/>
      <c r="AK1969" s="23"/>
      <c r="AL1969" s="23"/>
      <c r="AM1969" s="23"/>
      <c r="AN1969" s="23"/>
      <c r="AO1969" s="23"/>
      <c r="AP1969" s="23"/>
      <c r="AQ1969" s="23"/>
      <c r="AR1969" s="23"/>
      <c r="AS1969" s="23"/>
      <c r="AT1969" s="23"/>
      <c r="AU1969" s="23"/>
      <c r="AV1969" s="23"/>
      <c r="AW1969" s="23"/>
      <c r="AX1969" s="23"/>
      <c r="AY1969" s="23"/>
      <c r="AZ1969" s="23"/>
      <c r="BA1969" s="23"/>
      <c r="BB1969" s="23"/>
    </row>
    <row r="1970" spans="5:54" x14ac:dyDescent="0.35"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  <c r="AA1970" s="23"/>
      <c r="AB1970" s="23"/>
      <c r="AC1970" s="23"/>
      <c r="AD1970" s="23"/>
      <c r="AE1970" s="23"/>
      <c r="AF1970" s="23"/>
      <c r="AG1970" s="23"/>
      <c r="AH1970" s="23"/>
      <c r="AI1970" s="23"/>
      <c r="AJ1970" s="23"/>
      <c r="AK1970" s="23"/>
      <c r="AL1970" s="23"/>
      <c r="AM1970" s="23"/>
      <c r="AN1970" s="23"/>
      <c r="AO1970" s="23"/>
      <c r="AP1970" s="23"/>
      <c r="AQ1970" s="23"/>
      <c r="AR1970" s="23"/>
      <c r="AS1970" s="23"/>
      <c r="AT1970" s="23"/>
      <c r="AU1970" s="23"/>
      <c r="AV1970" s="23"/>
      <c r="AW1970" s="23"/>
      <c r="AX1970" s="23"/>
      <c r="AY1970" s="23"/>
      <c r="AZ1970" s="23"/>
      <c r="BA1970" s="23"/>
      <c r="BB1970" s="23"/>
    </row>
    <row r="1971" spans="5:54" x14ac:dyDescent="0.35"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  <c r="AA1971" s="23"/>
      <c r="AB1971" s="23"/>
      <c r="AC1971" s="23"/>
      <c r="AD1971" s="23"/>
      <c r="AE1971" s="23"/>
      <c r="AF1971" s="23"/>
      <c r="AG1971" s="23"/>
      <c r="AH1971" s="23"/>
      <c r="AI1971" s="23"/>
      <c r="AJ1971" s="23"/>
      <c r="AK1971" s="23"/>
      <c r="AL1971" s="23"/>
      <c r="AM1971" s="23"/>
      <c r="AN1971" s="23"/>
      <c r="AO1971" s="23"/>
      <c r="AP1971" s="23"/>
      <c r="AQ1971" s="23"/>
      <c r="AR1971" s="23"/>
      <c r="AS1971" s="23"/>
      <c r="AT1971" s="23"/>
      <c r="AU1971" s="23"/>
      <c r="AV1971" s="23"/>
      <c r="AW1971" s="23"/>
      <c r="AX1971" s="23"/>
      <c r="AY1971" s="23"/>
      <c r="AZ1971" s="23"/>
      <c r="BA1971" s="23"/>
      <c r="BB1971" s="23"/>
    </row>
    <row r="1972" spans="5:54" x14ac:dyDescent="0.35"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  <c r="AA1972" s="23"/>
      <c r="AB1972" s="23"/>
      <c r="AC1972" s="23"/>
      <c r="AD1972" s="23"/>
      <c r="AE1972" s="23"/>
      <c r="AF1972" s="23"/>
      <c r="AG1972" s="23"/>
      <c r="AH1972" s="23"/>
      <c r="AI1972" s="23"/>
      <c r="AJ1972" s="23"/>
      <c r="AK1972" s="23"/>
      <c r="AL1972" s="23"/>
      <c r="AM1972" s="23"/>
      <c r="AN1972" s="23"/>
      <c r="AO1972" s="23"/>
      <c r="AP1972" s="23"/>
      <c r="AQ1972" s="23"/>
      <c r="AR1972" s="23"/>
      <c r="AS1972" s="23"/>
      <c r="AT1972" s="23"/>
      <c r="AU1972" s="23"/>
      <c r="AV1972" s="23"/>
      <c r="AW1972" s="23"/>
      <c r="AX1972" s="23"/>
      <c r="AY1972" s="23"/>
      <c r="AZ1972" s="23"/>
      <c r="BA1972" s="23"/>
      <c r="BB1972" s="23"/>
    </row>
    <row r="1973" spans="5:54" x14ac:dyDescent="0.35"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  <c r="AA1973" s="23"/>
      <c r="AB1973" s="23"/>
      <c r="AC1973" s="23"/>
      <c r="AD1973" s="23"/>
      <c r="AE1973" s="23"/>
      <c r="AF1973" s="23"/>
      <c r="AG1973" s="23"/>
      <c r="AH1973" s="23"/>
      <c r="AI1973" s="23"/>
      <c r="AJ1973" s="23"/>
      <c r="AK1973" s="23"/>
      <c r="AL1973" s="23"/>
      <c r="AM1973" s="23"/>
      <c r="AN1973" s="23"/>
      <c r="AO1973" s="23"/>
      <c r="AP1973" s="23"/>
      <c r="AQ1973" s="23"/>
      <c r="AR1973" s="23"/>
      <c r="AS1973" s="23"/>
      <c r="AT1973" s="23"/>
      <c r="AU1973" s="23"/>
      <c r="AV1973" s="23"/>
      <c r="AW1973" s="23"/>
      <c r="AX1973" s="23"/>
      <c r="AY1973" s="23"/>
      <c r="AZ1973" s="23"/>
      <c r="BA1973" s="23"/>
      <c r="BB1973" s="23"/>
    </row>
    <row r="1974" spans="5:54" x14ac:dyDescent="0.35"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  <c r="AA1974" s="23"/>
      <c r="AB1974" s="23"/>
      <c r="AC1974" s="23"/>
      <c r="AD1974" s="23"/>
      <c r="AE1974" s="23"/>
      <c r="AF1974" s="23"/>
      <c r="AG1974" s="23"/>
      <c r="AH1974" s="23"/>
      <c r="AI1974" s="23"/>
      <c r="AJ1974" s="23"/>
      <c r="AK1974" s="23"/>
      <c r="AL1974" s="23"/>
      <c r="AM1974" s="23"/>
      <c r="AN1974" s="23"/>
      <c r="AO1974" s="23"/>
      <c r="AP1974" s="23"/>
      <c r="AQ1974" s="23"/>
      <c r="AR1974" s="23"/>
      <c r="AS1974" s="23"/>
      <c r="AT1974" s="23"/>
      <c r="AU1974" s="23"/>
      <c r="AV1974" s="23"/>
      <c r="AW1974" s="23"/>
      <c r="AX1974" s="23"/>
      <c r="AY1974" s="23"/>
      <c r="AZ1974" s="23"/>
      <c r="BA1974" s="23"/>
      <c r="BB1974" s="23"/>
    </row>
    <row r="1975" spans="5:54" x14ac:dyDescent="0.35"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  <c r="AA1975" s="23"/>
      <c r="AB1975" s="23"/>
      <c r="AC1975" s="23"/>
      <c r="AD1975" s="23"/>
      <c r="AE1975" s="23"/>
      <c r="AF1975" s="23"/>
      <c r="AG1975" s="23"/>
      <c r="AH1975" s="23"/>
      <c r="AI1975" s="23"/>
      <c r="AJ1975" s="23"/>
      <c r="AK1975" s="23"/>
      <c r="AL1975" s="23"/>
      <c r="AM1975" s="23"/>
      <c r="AN1975" s="23"/>
      <c r="AO1975" s="23"/>
      <c r="AP1975" s="23"/>
      <c r="AQ1975" s="23"/>
      <c r="AR1975" s="23"/>
      <c r="AS1975" s="23"/>
      <c r="AT1975" s="23"/>
      <c r="AU1975" s="23"/>
      <c r="AV1975" s="23"/>
      <c r="AW1975" s="23"/>
      <c r="AX1975" s="23"/>
      <c r="AY1975" s="23"/>
      <c r="AZ1975" s="23"/>
      <c r="BA1975" s="23"/>
      <c r="BB1975" s="23"/>
    </row>
    <row r="1976" spans="5:54" x14ac:dyDescent="0.35"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  <c r="AA1976" s="23"/>
      <c r="AB1976" s="23"/>
      <c r="AC1976" s="23"/>
      <c r="AD1976" s="23"/>
      <c r="AE1976" s="23"/>
      <c r="AF1976" s="23"/>
      <c r="AG1976" s="23"/>
      <c r="AH1976" s="23"/>
      <c r="AI1976" s="23"/>
      <c r="AJ1976" s="23"/>
      <c r="AK1976" s="23"/>
      <c r="AL1976" s="23"/>
      <c r="AM1976" s="23"/>
      <c r="AN1976" s="23"/>
      <c r="AO1976" s="23"/>
      <c r="AP1976" s="23"/>
      <c r="AQ1976" s="23"/>
      <c r="AR1976" s="23"/>
      <c r="AS1976" s="23"/>
      <c r="AT1976" s="23"/>
      <c r="AU1976" s="23"/>
      <c r="AV1976" s="23"/>
      <c r="AW1976" s="23"/>
      <c r="AX1976" s="23"/>
      <c r="AY1976" s="23"/>
      <c r="AZ1976" s="23"/>
      <c r="BA1976" s="23"/>
      <c r="BB1976" s="23"/>
    </row>
    <row r="1977" spans="5:54" x14ac:dyDescent="0.35"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  <c r="AA1977" s="23"/>
      <c r="AB1977" s="23"/>
      <c r="AC1977" s="23"/>
      <c r="AD1977" s="23"/>
      <c r="AE1977" s="23"/>
      <c r="AF1977" s="23"/>
      <c r="AG1977" s="23"/>
      <c r="AH1977" s="23"/>
      <c r="AI1977" s="23"/>
      <c r="AJ1977" s="23"/>
      <c r="AK1977" s="23"/>
      <c r="AL1977" s="23"/>
      <c r="AM1977" s="23"/>
      <c r="AN1977" s="23"/>
      <c r="AO1977" s="23"/>
      <c r="AP1977" s="23"/>
      <c r="AQ1977" s="23"/>
      <c r="AR1977" s="23"/>
      <c r="AS1977" s="23"/>
      <c r="AT1977" s="23"/>
      <c r="AU1977" s="23"/>
      <c r="AV1977" s="23"/>
      <c r="AW1977" s="23"/>
      <c r="AX1977" s="23"/>
      <c r="AY1977" s="23"/>
      <c r="AZ1977" s="23"/>
      <c r="BA1977" s="23"/>
      <c r="BB1977" s="23"/>
    </row>
    <row r="1978" spans="5:54" x14ac:dyDescent="0.35"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  <c r="AA1978" s="23"/>
      <c r="AB1978" s="23"/>
      <c r="AC1978" s="23"/>
      <c r="AD1978" s="23"/>
      <c r="AE1978" s="23"/>
      <c r="AF1978" s="23"/>
      <c r="AG1978" s="23"/>
      <c r="AH1978" s="23"/>
      <c r="AI1978" s="23"/>
      <c r="AJ1978" s="23"/>
      <c r="AK1978" s="23"/>
      <c r="AL1978" s="23"/>
      <c r="AM1978" s="23"/>
      <c r="AN1978" s="23"/>
      <c r="AO1978" s="23"/>
      <c r="AP1978" s="23"/>
      <c r="AQ1978" s="23"/>
      <c r="AR1978" s="23"/>
      <c r="AS1978" s="23"/>
      <c r="AT1978" s="23"/>
      <c r="AU1978" s="23"/>
      <c r="AV1978" s="23"/>
      <c r="AW1978" s="23"/>
      <c r="AX1978" s="23"/>
      <c r="AY1978" s="23"/>
      <c r="AZ1978" s="23"/>
      <c r="BA1978" s="23"/>
      <c r="BB1978" s="23"/>
    </row>
    <row r="1979" spans="5:54" x14ac:dyDescent="0.35"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  <c r="AA1979" s="23"/>
      <c r="AB1979" s="23"/>
      <c r="AC1979" s="23"/>
      <c r="AD1979" s="23"/>
      <c r="AE1979" s="23"/>
      <c r="AF1979" s="23"/>
      <c r="AG1979" s="23"/>
      <c r="AH1979" s="23"/>
      <c r="AI1979" s="23"/>
      <c r="AJ1979" s="23"/>
      <c r="AK1979" s="23"/>
      <c r="AL1979" s="23"/>
      <c r="AM1979" s="23"/>
      <c r="AN1979" s="23"/>
      <c r="AO1979" s="23"/>
      <c r="AP1979" s="23"/>
      <c r="AQ1979" s="23"/>
      <c r="AR1979" s="23"/>
      <c r="AS1979" s="23"/>
      <c r="AT1979" s="23"/>
      <c r="AU1979" s="23"/>
      <c r="AV1979" s="23"/>
      <c r="AW1979" s="23"/>
      <c r="AX1979" s="23"/>
      <c r="AY1979" s="23"/>
      <c r="AZ1979" s="23"/>
      <c r="BA1979" s="23"/>
      <c r="BB1979" s="23"/>
    </row>
    <row r="1980" spans="5:54" x14ac:dyDescent="0.35"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  <c r="AA1980" s="23"/>
      <c r="AB1980" s="23"/>
      <c r="AC1980" s="23"/>
      <c r="AD1980" s="23"/>
      <c r="AE1980" s="23"/>
      <c r="AF1980" s="23"/>
      <c r="AG1980" s="23"/>
      <c r="AH1980" s="23"/>
      <c r="AI1980" s="23"/>
      <c r="AJ1980" s="23"/>
      <c r="AK1980" s="23"/>
      <c r="AL1980" s="23"/>
      <c r="AM1980" s="23"/>
      <c r="AN1980" s="23"/>
      <c r="AO1980" s="23"/>
      <c r="AP1980" s="23"/>
      <c r="AQ1980" s="23"/>
      <c r="AR1980" s="23"/>
      <c r="AS1980" s="23"/>
      <c r="AT1980" s="23"/>
      <c r="AU1980" s="23"/>
      <c r="AV1980" s="23"/>
      <c r="AW1980" s="23"/>
      <c r="AX1980" s="23"/>
      <c r="AY1980" s="23"/>
      <c r="AZ1980" s="23"/>
      <c r="BA1980" s="23"/>
      <c r="BB1980" s="23"/>
    </row>
    <row r="1981" spans="5:54" x14ac:dyDescent="0.35"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  <c r="AA1981" s="23"/>
      <c r="AB1981" s="23"/>
      <c r="AC1981" s="23"/>
      <c r="AD1981" s="23"/>
      <c r="AE1981" s="23"/>
      <c r="AF1981" s="23"/>
      <c r="AG1981" s="23"/>
      <c r="AH1981" s="23"/>
      <c r="AI1981" s="23"/>
      <c r="AJ1981" s="23"/>
      <c r="AK1981" s="23"/>
      <c r="AL1981" s="23"/>
      <c r="AM1981" s="23"/>
      <c r="AN1981" s="23"/>
      <c r="AO1981" s="23"/>
      <c r="AP1981" s="23"/>
      <c r="AQ1981" s="23"/>
      <c r="AR1981" s="23"/>
      <c r="AS1981" s="23"/>
      <c r="AT1981" s="23"/>
      <c r="AU1981" s="23"/>
      <c r="AV1981" s="23"/>
      <c r="AW1981" s="23"/>
      <c r="AX1981" s="23"/>
      <c r="AY1981" s="23"/>
      <c r="AZ1981" s="23"/>
      <c r="BA1981" s="23"/>
      <c r="BB1981" s="23"/>
    </row>
    <row r="1982" spans="5:54" x14ac:dyDescent="0.35"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  <c r="AA1982" s="23"/>
      <c r="AB1982" s="23"/>
      <c r="AC1982" s="23"/>
      <c r="AD1982" s="23"/>
      <c r="AE1982" s="23"/>
      <c r="AF1982" s="23"/>
      <c r="AG1982" s="23"/>
      <c r="AH1982" s="23"/>
      <c r="AI1982" s="23"/>
      <c r="AJ1982" s="23"/>
      <c r="AK1982" s="23"/>
      <c r="AL1982" s="23"/>
      <c r="AM1982" s="23"/>
      <c r="AN1982" s="23"/>
      <c r="AO1982" s="23"/>
      <c r="AP1982" s="23"/>
      <c r="AQ1982" s="23"/>
      <c r="AR1982" s="23"/>
      <c r="AS1982" s="23"/>
      <c r="AT1982" s="23"/>
      <c r="AU1982" s="23"/>
      <c r="AV1982" s="23"/>
      <c r="AW1982" s="23"/>
      <c r="AX1982" s="23"/>
      <c r="AY1982" s="23"/>
      <c r="AZ1982" s="23"/>
      <c r="BA1982" s="23"/>
      <c r="BB1982" s="23"/>
    </row>
    <row r="1983" spans="5:54" x14ac:dyDescent="0.35"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  <c r="AA1983" s="23"/>
      <c r="AB1983" s="23"/>
      <c r="AC1983" s="23"/>
      <c r="AD1983" s="23"/>
      <c r="AE1983" s="23"/>
      <c r="AF1983" s="23"/>
      <c r="AG1983" s="23"/>
      <c r="AH1983" s="23"/>
      <c r="AI1983" s="23"/>
      <c r="AJ1983" s="23"/>
      <c r="AK1983" s="23"/>
      <c r="AL1983" s="23"/>
      <c r="AM1983" s="23"/>
      <c r="AN1983" s="23"/>
      <c r="AO1983" s="23"/>
      <c r="AP1983" s="23"/>
      <c r="AQ1983" s="23"/>
      <c r="AR1983" s="23"/>
      <c r="AS1983" s="23"/>
      <c r="AT1983" s="23"/>
      <c r="AU1983" s="23"/>
      <c r="AV1983" s="23"/>
      <c r="AW1983" s="23"/>
      <c r="AX1983" s="23"/>
      <c r="AY1983" s="23"/>
      <c r="AZ1983" s="23"/>
      <c r="BA1983" s="23"/>
      <c r="BB1983" s="23"/>
    </row>
    <row r="1984" spans="5:54" x14ac:dyDescent="0.35"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  <c r="AA1984" s="23"/>
      <c r="AB1984" s="23"/>
      <c r="AC1984" s="23"/>
      <c r="AD1984" s="23"/>
      <c r="AE1984" s="23"/>
      <c r="AF1984" s="23"/>
      <c r="AG1984" s="23"/>
      <c r="AH1984" s="23"/>
      <c r="AI1984" s="23"/>
      <c r="AJ1984" s="23"/>
      <c r="AK1984" s="23"/>
      <c r="AL1984" s="23"/>
      <c r="AM1984" s="23"/>
      <c r="AN1984" s="23"/>
      <c r="AO1984" s="23"/>
      <c r="AP1984" s="23"/>
      <c r="AQ1984" s="23"/>
      <c r="AR1984" s="23"/>
      <c r="AS1984" s="23"/>
      <c r="AT1984" s="23"/>
      <c r="AU1984" s="23"/>
      <c r="AV1984" s="23"/>
      <c r="AW1984" s="23"/>
      <c r="AX1984" s="23"/>
      <c r="AY1984" s="23"/>
      <c r="AZ1984" s="23"/>
      <c r="BA1984" s="23"/>
      <c r="BB1984" s="23"/>
    </row>
    <row r="1985" spans="5:54" x14ac:dyDescent="0.35"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  <c r="AA1985" s="23"/>
      <c r="AB1985" s="23"/>
      <c r="AC1985" s="23"/>
      <c r="AD1985" s="23"/>
      <c r="AE1985" s="23"/>
      <c r="AF1985" s="23"/>
      <c r="AG1985" s="23"/>
      <c r="AH1985" s="23"/>
      <c r="AI1985" s="23"/>
      <c r="AJ1985" s="23"/>
      <c r="AK1985" s="23"/>
      <c r="AL1985" s="23"/>
      <c r="AM1985" s="23"/>
      <c r="AN1985" s="23"/>
      <c r="AO1985" s="23"/>
      <c r="AP1985" s="23"/>
      <c r="AQ1985" s="23"/>
      <c r="AR1985" s="23"/>
      <c r="AS1985" s="23"/>
      <c r="AT1985" s="23"/>
      <c r="AU1985" s="23"/>
      <c r="AV1985" s="23"/>
      <c r="AW1985" s="23"/>
      <c r="AX1985" s="23"/>
      <c r="AY1985" s="23"/>
      <c r="AZ1985" s="23"/>
      <c r="BA1985" s="23"/>
      <c r="BB1985" s="23"/>
    </row>
    <row r="1986" spans="5:54" x14ac:dyDescent="0.35"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  <c r="AA1986" s="23"/>
      <c r="AB1986" s="23"/>
      <c r="AC1986" s="23"/>
      <c r="AD1986" s="23"/>
      <c r="AE1986" s="23"/>
      <c r="AF1986" s="23"/>
      <c r="AG1986" s="23"/>
      <c r="AH1986" s="23"/>
      <c r="AI1986" s="23"/>
      <c r="AJ1986" s="23"/>
      <c r="AK1986" s="23"/>
      <c r="AL1986" s="23"/>
      <c r="AM1986" s="23"/>
      <c r="AN1986" s="23"/>
      <c r="AO1986" s="23"/>
      <c r="AP1986" s="23"/>
      <c r="AQ1986" s="23"/>
      <c r="AR1986" s="23"/>
      <c r="AS1986" s="23"/>
      <c r="AT1986" s="23"/>
      <c r="AU1986" s="23"/>
      <c r="AV1986" s="23"/>
      <c r="AW1986" s="23"/>
      <c r="AX1986" s="23"/>
      <c r="AY1986" s="23"/>
      <c r="AZ1986" s="23"/>
      <c r="BA1986" s="23"/>
      <c r="BB1986" s="23"/>
    </row>
    <row r="1987" spans="5:54" x14ac:dyDescent="0.35"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  <c r="AA1987" s="23"/>
      <c r="AB1987" s="23"/>
      <c r="AC1987" s="23"/>
      <c r="AD1987" s="23"/>
      <c r="AE1987" s="23"/>
      <c r="AF1987" s="23"/>
      <c r="AG1987" s="23"/>
      <c r="AH1987" s="23"/>
      <c r="AI1987" s="23"/>
      <c r="AJ1987" s="23"/>
      <c r="AK1987" s="23"/>
      <c r="AL1987" s="23"/>
      <c r="AM1987" s="23"/>
      <c r="AN1987" s="23"/>
      <c r="AO1987" s="23"/>
      <c r="AP1987" s="23"/>
      <c r="AQ1987" s="23"/>
      <c r="AR1987" s="23"/>
      <c r="AS1987" s="23"/>
      <c r="AT1987" s="23"/>
      <c r="AU1987" s="23"/>
      <c r="AV1987" s="23"/>
      <c r="AW1987" s="23"/>
      <c r="AX1987" s="23"/>
      <c r="AY1987" s="23"/>
      <c r="AZ1987" s="23"/>
      <c r="BA1987" s="23"/>
      <c r="BB1987" s="23"/>
    </row>
    <row r="1988" spans="5:54" x14ac:dyDescent="0.35"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  <c r="AA1988" s="23"/>
      <c r="AB1988" s="23"/>
      <c r="AC1988" s="23"/>
      <c r="AD1988" s="23"/>
      <c r="AE1988" s="23"/>
      <c r="AF1988" s="23"/>
      <c r="AG1988" s="23"/>
      <c r="AH1988" s="23"/>
      <c r="AI1988" s="23"/>
      <c r="AJ1988" s="23"/>
      <c r="AK1988" s="23"/>
      <c r="AL1988" s="23"/>
      <c r="AM1988" s="23"/>
      <c r="AN1988" s="23"/>
      <c r="AO1988" s="23"/>
      <c r="AP1988" s="23"/>
      <c r="AQ1988" s="23"/>
      <c r="AR1988" s="23"/>
      <c r="AS1988" s="23"/>
      <c r="AT1988" s="23"/>
      <c r="AU1988" s="23"/>
      <c r="AV1988" s="23"/>
      <c r="AW1988" s="23"/>
      <c r="AX1988" s="23"/>
      <c r="AY1988" s="23"/>
      <c r="AZ1988" s="23"/>
      <c r="BA1988" s="23"/>
      <c r="BB1988" s="23"/>
    </row>
    <row r="1989" spans="5:54" x14ac:dyDescent="0.35"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  <c r="AA1989" s="23"/>
      <c r="AB1989" s="23"/>
      <c r="AC1989" s="23"/>
      <c r="AD1989" s="23"/>
      <c r="AE1989" s="23"/>
      <c r="AF1989" s="23"/>
      <c r="AG1989" s="23"/>
      <c r="AH1989" s="23"/>
      <c r="AI1989" s="23"/>
      <c r="AJ1989" s="23"/>
      <c r="AK1989" s="23"/>
      <c r="AL1989" s="23"/>
      <c r="AM1989" s="23"/>
      <c r="AN1989" s="23"/>
      <c r="AO1989" s="23"/>
      <c r="AP1989" s="23"/>
      <c r="AQ1989" s="23"/>
      <c r="AR1989" s="23"/>
      <c r="AS1989" s="23"/>
      <c r="AT1989" s="23"/>
      <c r="AU1989" s="23"/>
      <c r="AV1989" s="23"/>
      <c r="AW1989" s="23"/>
      <c r="AX1989" s="23"/>
      <c r="AY1989" s="23"/>
      <c r="AZ1989" s="23"/>
      <c r="BA1989" s="23"/>
      <c r="BB1989" s="23"/>
    </row>
    <row r="1990" spans="5:54" x14ac:dyDescent="0.35"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  <c r="AA1990" s="23"/>
      <c r="AB1990" s="23"/>
      <c r="AC1990" s="23"/>
      <c r="AD1990" s="23"/>
      <c r="AE1990" s="23"/>
      <c r="AF1990" s="23"/>
      <c r="AG1990" s="23"/>
      <c r="AH1990" s="23"/>
      <c r="AI1990" s="23"/>
      <c r="AJ1990" s="23"/>
      <c r="AK1990" s="23"/>
      <c r="AL1990" s="23"/>
      <c r="AM1990" s="23"/>
      <c r="AN1990" s="23"/>
      <c r="AO1990" s="23"/>
      <c r="AP1990" s="23"/>
      <c r="AQ1990" s="23"/>
      <c r="AR1990" s="23"/>
      <c r="AS1990" s="23"/>
      <c r="AT1990" s="23"/>
      <c r="AU1990" s="23"/>
      <c r="AV1990" s="23"/>
      <c r="AW1990" s="23"/>
      <c r="AX1990" s="23"/>
      <c r="AY1990" s="23"/>
      <c r="AZ1990" s="23"/>
      <c r="BA1990" s="23"/>
      <c r="BB1990" s="23"/>
    </row>
    <row r="1991" spans="5:54" x14ac:dyDescent="0.35"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  <c r="AA1991" s="23"/>
      <c r="AB1991" s="23"/>
      <c r="AC1991" s="23"/>
      <c r="AD1991" s="23"/>
      <c r="AE1991" s="23"/>
      <c r="AF1991" s="23"/>
      <c r="AG1991" s="23"/>
      <c r="AH1991" s="23"/>
      <c r="AI1991" s="23"/>
      <c r="AJ1991" s="23"/>
      <c r="AK1991" s="23"/>
      <c r="AL1991" s="23"/>
      <c r="AM1991" s="23"/>
      <c r="AN1991" s="23"/>
      <c r="AO1991" s="23"/>
      <c r="AP1991" s="23"/>
      <c r="AQ1991" s="23"/>
      <c r="AR1991" s="23"/>
      <c r="AS1991" s="23"/>
      <c r="AT1991" s="23"/>
      <c r="AU1991" s="23"/>
      <c r="AV1991" s="23"/>
      <c r="AW1991" s="23"/>
      <c r="AX1991" s="23"/>
      <c r="AY1991" s="23"/>
      <c r="AZ1991" s="23"/>
      <c r="BA1991" s="23"/>
      <c r="BB1991" s="23"/>
    </row>
    <row r="1992" spans="5:54" x14ac:dyDescent="0.35"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  <c r="AA1992" s="23"/>
      <c r="AB1992" s="23"/>
      <c r="AC1992" s="23"/>
      <c r="AD1992" s="23"/>
      <c r="AE1992" s="23"/>
      <c r="AF1992" s="23"/>
      <c r="AG1992" s="23"/>
      <c r="AH1992" s="23"/>
      <c r="AI1992" s="23"/>
      <c r="AJ1992" s="23"/>
      <c r="AK1992" s="23"/>
      <c r="AL1992" s="23"/>
      <c r="AM1992" s="23"/>
      <c r="AN1992" s="23"/>
      <c r="AO1992" s="23"/>
      <c r="AP1992" s="23"/>
      <c r="AQ1992" s="23"/>
      <c r="AR1992" s="23"/>
      <c r="AS1992" s="23"/>
      <c r="AT1992" s="23"/>
      <c r="AU1992" s="23"/>
      <c r="AV1992" s="23"/>
      <c r="AW1992" s="23"/>
      <c r="AX1992" s="23"/>
      <c r="AY1992" s="23"/>
      <c r="AZ1992" s="23"/>
      <c r="BA1992" s="23"/>
      <c r="BB1992" s="23"/>
    </row>
    <row r="1993" spans="5:54" x14ac:dyDescent="0.35"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  <c r="AA1993" s="23"/>
      <c r="AB1993" s="23"/>
      <c r="AC1993" s="23"/>
      <c r="AD1993" s="23"/>
      <c r="AE1993" s="23"/>
      <c r="AF1993" s="23"/>
      <c r="AG1993" s="23"/>
      <c r="AH1993" s="23"/>
      <c r="AI1993" s="23"/>
      <c r="AJ1993" s="23"/>
      <c r="AK1993" s="23"/>
      <c r="AL1993" s="23"/>
      <c r="AM1993" s="23"/>
      <c r="AN1993" s="23"/>
      <c r="AO1993" s="23"/>
      <c r="AP1993" s="23"/>
      <c r="AQ1993" s="23"/>
      <c r="AR1993" s="23"/>
      <c r="AS1993" s="23"/>
      <c r="AT1993" s="23"/>
      <c r="AU1993" s="23"/>
      <c r="AV1993" s="23"/>
      <c r="AW1993" s="23"/>
      <c r="AX1993" s="23"/>
      <c r="AY1993" s="23"/>
      <c r="AZ1993" s="23"/>
      <c r="BA1993" s="23"/>
      <c r="BB1993" s="23"/>
    </row>
    <row r="1994" spans="5:54" x14ac:dyDescent="0.35"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  <c r="AA1994" s="23"/>
      <c r="AB1994" s="23"/>
      <c r="AC1994" s="23"/>
      <c r="AD1994" s="23"/>
      <c r="AE1994" s="23"/>
      <c r="AF1994" s="23"/>
      <c r="AG1994" s="23"/>
      <c r="AH1994" s="23"/>
      <c r="AI1994" s="23"/>
      <c r="AJ1994" s="23"/>
      <c r="AK1994" s="23"/>
      <c r="AL1994" s="23"/>
      <c r="AM1994" s="23"/>
      <c r="AN1994" s="23"/>
      <c r="AO1994" s="23"/>
      <c r="AP1994" s="23"/>
      <c r="AQ1994" s="23"/>
      <c r="AR1994" s="23"/>
      <c r="AS1994" s="23"/>
      <c r="AT1994" s="23"/>
      <c r="AU1994" s="23"/>
      <c r="AV1994" s="23"/>
      <c r="AW1994" s="23"/>
      <c r="AX1994" s="23"/>
      <c r="AY1994" s="23"/>
      <c r="AZ1994" s="23"/>
      <c r="BA1994" s="23"/>
      <c r="BB1994" s="23"/>
    </row>
    <row r="1995" spans="5:54" x14ac:dyDescent="0.35"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  <c r="AA1995" s="23"/>
      <c r="AB1995" s="23"/>
      <c r="AC1995" s="23"/>
      <c r="AD1995" s="23"/>
      <c r="AE1995" s="23"/>
      <c r="AF1995" s="23"/>
      <c r="AG1995" s="23"/>
      <c r="AH1995" s="23"/>
      <c r="AI1995" s="23"/>
      <c r="AJ1995" s="23"/>
      <c r="AK1995" s="23"/>
      <c r="AL1995" s="23"/>
      <c r="AM1995" s="23"/>
      <c r="AN1995" s="23"/>
      <c r="AO1995" s="23"/>
      <c r="AP1995" s="23"/>
      <c r="AQ1995" s="23"/>
      <c r="AR1995" s="23"/>
      <c r="AS1995" s="23"/>
      <c r="AT1995" s="23"/>
      <c r="AU1995" s="23"/>
      <c r="AV1995" s="23"/>
      <c r="AW1995" s="23"/>
      <c r="AX1995" s="23"/>
      <c r="AY1995" s="23"/>
      <c r="AZ1995" s="23"/>
      <c r="BA1995" s="23"/>
      <c r="BB1995" s="23"/>
    </row>
    <row r="1996" spans="5:54" x14ac:dyDescent="0.35"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  <c r="AA1996" s="23"/>
      <c r="AB1996" s="23"/>
      <c r="AC1996" s="23"/>
      <c r="AD1996" s="23"/>
      <c r="AE1996" s="23"/>
      <c r="AF1996" s="23"/>
      <c r="AG1996" s="23"/>
      <c r="AH1996" s="23"/>
      <c r="AI1996" s="23"/>
      <c r="AJ1996" s="23"/>
      <c r="AK1996" s="23"/>
      <c r="AL1996" s="23"/>
      <c r="AM1996" s="23"/>
      <c r="AN1996" s="23"/>
      <c r="AO1996" s="23"/>
      <c r="AP1996" s="23"/>
      <c r="AQ1996" s="23"/>
      <c r="AR1996" s="23"/>
      <c r="AS1996" s="23"/>
      <c r="AT1996" s="23"/>
      <c r="AU1996" s="23"/>
      <c r="AV1996" s="23"/>
      <c r="AW1996" s="23"/>
      <c r="AX1996" s="23"/>
      <c r="AY1996" s="23"/>
      <c r="AZ1996" s="23"/>
      <c r="BA1996" s="23"/>
      <c r="BB1996" s="23"/>
    </row>
    <row r="1997" spans="5:54" x14ac:dyDescent="0.35"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  <c r="AA1997" s="23"/>
      <c r="AB1997" s="23"/>
      <c r="AC1997" s="23"/>
      <c r="AD1997" s="23"/>
      <c r="AE1997" s="23"/>
      <c r="AF1997" s="23"/>
      <c r="AG1997" s="23"/>
      <c r="AH1997" s="23"/>
      <c r="AI1997" s="23"/>
      <c r="AJ1997" s="23"/>
      <c r="AK1997" s="23"/>
      <c r="AL1997" s="23"/>
      <c r="AM1997" s="23"/>
      <c r="AN1997" s="23"/>
      <c r="AO1997" s="23"/>
      <c r="AP1997" s="23"/>
      <c r="AQ1997" s="23"/>
      <c r="AR1997" s="23"/>
      <c r="AS1997" s="23"/>
      <c r="AT1997" s="23"/>
      <c r="AU1997" s="23"/>
      <c r="AV1997" s="23"/>
      <c r="AW1997" s="23"/>
      <c r="AX1997" s="23"/>
      <c r="AY1997" s="23"/>
      <c r="AZ1997" s="23"/>
      <c r="BA1997" s="23"/>
      <c r="BB1997" s="23"/>
    </row>
    <row r="1998" spans="5:54" x14ac:dyDescent="0.35"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  <c r="AA1998" s="23"/>
      <c r="AB1998" s="23"/>
      <c r="AC1998" s="23"/>
      <c r="AD1998" s="23"/>
      <c r="AE1998" s="23"/>
      <c r="AF1998" s="23"/>
      <c r="AG1998" s="23"/>
      <c r="AH1998" s="23"/>
      <c r="AI1998" s="23"/>
      <c r="AJ1998" s="23"/>
      <c r="AK1998" s="23"/>
      <c r="AL1998" s="23"/>
      <c r="AM1998" s="23"/>
      <c r="AN1998" s="23"/>
      <c r="AO1998" s="23"/>
      <c r="AP1998" s="23"/>
      <c r="AQ1998" s="23"/>
      <c r="AR1998" s="23"/>
      <c r="AS1998" s="23"/>
      <c r="AT1998" s="23"/>
      <c r="AU1998" s="23"/>
      <c r="AV1998" s="23"/>
      <c r="AW1998" s="23"/>
      <c r="AX1998" s="23"/>
      <c r="AY1998" s="23"/>
      <c r="AZ1998" s="23"/>
      <c r="BA1998" s="23"/>
      <c r="BB1998" s="23"/>
    </row>
    <row r="1999" spans="5:54" x14ac:dyDescent="0.35"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  <c r="AA1999" s="23"/>
      <c r="AB1999" s="23"/>
      <c r="AC1999" s="23"/>
      <c r="AD1999" s="23"/>
      <c r="AE1999" s="23"/>
      <c r="AF1999" s="23"/>
      <c r="AG1999" s="23"/>
      <c r="AH1999" s="23"/>
      <c r="AI1999" s="23"/>
      <c r="AJ1999" s="23"/>
      <c r="AK1999" s="23"/>
      <c r="AL1999" s="23"/>
      <c r="AM1999" s="23"/>
      <c r="AN1999" s="23"/>
      <c r="AO1999" s="23"/>
      <c r="AP1999" s="23"/>
      <c r="AQ1999" s="23"/>
      <c r="AR1999" s="23"/>
      <c r="AS1999" s="23"/>
      <c r="AT1999" s="23"/>
      <c r="AU1999" s="23"/>
      <c r="AV1999" s="23"/>
      <c r="AW1999" s="23"/>
      <c r="AX1999" s="23"/>
      <c r="AY1999" s="23"/>
      <c r="AZ1999" s="23"/>
      <c r="BA1999" s="23"/>
      <c r="BB1999" s="23"/>
    </row>
    <row r="2000" spans="5:54" x14ac:dyDescent="0.35"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  <c r="AA2000" s="23"/>
      <c r="AB2000" s="23"/>
      <c r="AC2000" s="23"/>
      <c r="AD2000" s="23"/>
      <c r="AE2000" s="23"/>
      <c r="AF2000" s="23"/>
      <c r="AG2000" s="23"/>
      <c r="AH2000" s="23"/>
      <c r="AI2000" s="23"/>
      <c r="AJ2000" s="23"/>
      <c r="AK2000" s="23"/>
      <c r="AL2000" s="23"/>
      <c r="AM2000" s="23"/>
      <c r="AN2000" s="23"/>
      <c r="AO2000" s="23"/>
      <c r="AP2000" s="23"/>
      <c r="AQ2000" s="23"/>
      <c r="AR2000" s="23"/>
      <c r="AS2000" s="23"/>
      <c r="AT2000" s="23"/>
      <c r="AU2000" s="23"/>
      <c r="AV2000" s="23"/>
      <c r="AW2000" s="23"/>
      <c r="AX2000" s="23"/>
      <c r="AY2000" s="23"/>
      <c r="AZ2000" s="23"/>
      <c r="BA2000" s="23"/>
      <c r="BB2000" s="23"/>
    </row>
    <row r="2001" spans="5:54" x14ac:dyDescent="0.35"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  <c r="AA2001" s="23"/>
      <c r="AB2001" s="23"/>
      <c r="AC2001" s="23"/>
      <c r="AD2001" s="23"/>
      <c r="AE2001" s="23"/>
      <c r="AF2001" s="23"/>
      <c r="AG2001" s="23"/>
      <c r="AH2001" s="23"/>
      <c r="AI2001" s="23"/>
      <c r="AJ2001" s="23"/>
      <c r="AK2001" s="23"/>
      <c r="AL2001" s="23"/>
      <c r="AM2001" s="23"/>
      <c r="AN2001" s="23"/>
      <c r="AO2001" s="23"/>
      <c r="AP2001" s="23"/>
      <c r="AQ2001" s="23"/>
      <c r="AR2001" s="23"/>
      <c r="AS2001" s="23"/>
      <c r="AT2001" s="23"/>
      <c r="AU2001" s="23"/>
      <c r="AV2001" s="23"/>
      <c r="AW2001" s="23"/>
      <c r="AX2001" s="23"/>
      <c r="AY2001" s="23"/>
      <c r="AZ2001" s="23"/>
      <c r="BA2001" s="23"/>
      <c r="BB2001" s="23"/>
    </row>
    <row r="2002" spans="5:54" x14ac:dyDescent="0.35"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  <c r="AA2002" s="23"/>
      <c r="AB2002" s="23"/>
      <c r="AC2002" s="23"/>
      <c r="AD2002" s="23"/>
      <c r="AE2002" s="23"/>
      <c r="AF2002" s="23"/>
      <c r="AG2002" s="23"/>
      <c r="AH2002" s="23"/>
      <c r="AI2002" s="23"/>
      <c r="AJ2002" s="23"/>
      <c r="AK2002" s="23"/>
      <c r="AL2002" s="23"/>
      <c r="AM2002" s="23"/>
      <c r="AN2002" s="23"/>
      <c r="AO2002" s="23"/>
      <c r="AP2002" s="23"/>
      <c r="AQ2002" s="23"/>
      <c r="AR2002" s="23"/>
      <c r="AS2002" s="23"/>
      <c r="AT2002" s="23"/>
      <c r="AU2002" s="23"/>
      <c r="AV2002" s="23"/>
      <c r="AW2002" s="23"/>
      <c r="AX2002" s="23"/>
      <c r="AY2002" s="23"/>
      <c r="AZ2002" s="23"/>
      <c r="BA2002" s="23"/>
      <c r="BB2002" s="23"/>
    </row>
    <row r="2003" spans="5:54" x14ac:dyDescent="0.35"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  <c r="AA2003" s="23"/>
      <c r="AB2003" s="23"/>
      <c r="AC2003" s="23"/>
      <c r="AD2003" s="23"/>
      <c r="AE2003" s="23"/>
      <c r="AF2003" s="23"/>
      <c r="AG2003" s="23"/>
      <c r="AH2003" s="23"/>
      <c r="AI2003" s="23"/>
      <c r="AJ2003" s="23"/>
      <c r="AK2003" s="23"/>
      <c r="AL2003" s="23"/>
      <c r="AM2003" s="23"/>
      <c r="AN2003" s="23"/>
      <c r="AO2003" s="23"/>
      <c r="AP2003" s="23"/>
      <c r="AQ2003" s="23"/>
      <c r="AR2003" s="23"/>
      <c r="AS2003" s="23"/>
      <c r="AT2003" s="23"/>
      <c r="AU2003" s="23"/>
      <c r="AV2003" s="23"/>
      <c r="AW2003" s="23"/>
      <c r="AX2003" s="23"/>
      <c r="AY2003" s="23"/>
      <c r="AZ2003" s="23"/>
      <c r="BA2003" s="23"/>
      <c r="BB2003" s="23"/>
    </row>
    <row r="2004" spans="5:54" x14ac:dyDescent="0.35"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  <c r="AA2004" s="23"/>
      <c r="AB2004" s="23"/>
      <c r="AC2004" s="23"/>
      <c r="AD2004" s="23"/>
      <c r="AE2004" s="23"/>
      <c r="AF2004" s="23"/>
      <c r="AG2004" s="23"/>
      <c r="AH2004" s="23"/>
      <c r="AI2004" s="23"/>
      <c r="AJ2004" s="23"/>
      <c r="AK2004" s="23"/>
      <c r="AL2004" s="23"/>
      <c r="AM2004" s="23"/>
      <c r="AN2004" s="23"/>
      <c r="AO2004" s="23"/>
      <c r="AP2004" s="23"/>
      <c r="AQ2004" s="23"/>
      <c r="AR2004" s="23"/>
      <c r="AS2004" s="23"/>
      <c r="AT2004" s="23"/>
      <c r="AU2004" s="23"/>
      <c r="AV2004" s="23"/>
      <c r="AW2004" s="23"/>
      <c r="AX2004" s="23"/>
      <c r="AY2004" s="23"/>
      <c r="AZ2004" s="23"/>
      <c r="BA2004" s="23"/>
      <c r="BB2004" s="23"/>
    </row>
    <row r="2005" spans="5:54" x14ac:dyDescent="0.35"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  <c r="AA2005" s="23"/>
      <c r="AB2005" s="23"/>
      <c r="AC2005" s="23"/>
      <c r="AD2005" s="23"/>
      <c r="AE2005" s="23"/>
      <c r="AF2005" s="23"/>
      <c r="AG2005" s="23"/>
      <c r="AH2005" s="23"/>
      <c r="AI2005" s="23"/>
      <c r="AJ2005" s="23"/>
      <c r="AK2005" s="23"/>
      <c r="AL2005" s="23"/>
      <c r="AM2005" s="23"/>
      <c r="AN2005" s="23"/>
      <c r="AO2005" s="23"/>
      <c r="AP2005" s="23"/>
      <c r="AQ2005" s="23"/>
      <c r="AR2005" s="23"/>
      <c r="AS2005" s="23"/>
      <c r="AT2005" s="23"/>
      <c r="AU2005" s="23"/>
      <c r="AV2005" s="23"/>
      <c r="AW2005" s="23"/>
      <c r="AX2005" s="23"/>
      <c r="AY2005" s="23"/>
      <c r="AZ2005" s="23"/>
      <c r="BA2005" s="23"/>
      <c r="BB2005" s="23"/>
    </row>
    <row r="2006" spans="5:54" x14ac:dyDescent="0.35"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  <c r="AA2006" s="23"/>
      <c r="AB2006" s="23"/>
      <c r="AC2006" s="23"/>
      <c r="AD2006" s="23"/>
      <c r="AE2006" s="23"/>
      <c r="AF2006" s="23"/>
      <c r="AG2006" s="23"/>
      <c r="AH2006" s="23"/>
      <c r="AI2006" s="23"/>
      <c r="AJ2006" s="23"/>
      <c r="AK2006" s="23"/>
      <c r="AL2006" s="23"/>
      <c r="AM2006" s="23"/>
      <c r="AN2006" s="23"/>
      <c r="AO2006" s="23"/>
      <c r="AP2006" s="23"/>
      <c r="AQ2006" s="23"/>
      <c r="AR2006" s="23"/>
      <c r="AS2006" s="23"/>
      <c r="AT2006" s="23"/>
      <c r="AU2006" s="23"/>
      <c r="AV2006" s="23"/>
      <c r="AW2006" s="23"/>
      <c r="AX2006" s="23"/>
      <c r="AY2006" s="23"/>
      <c r="AZ2006" s="23"/>
      <c r="BA2006" s="23"/>
      <c r="BB2006" s="23"/>
    </row>
    <row r="2007" spans="5:54" x14ac:dyDescent="0.35"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  <c r="AA2007" s="23"/>
      <c r="AB2007" s="23"/>
      <c r="AC2007" s="23"/>
      <c r="AD2007" s="23"/>
      <c r="AE2007" s="23"/>
      <c r="AF2007" s="23"/>
      <c r="AG2007" s="23"/>
      <c r="AH2007" s="23"/>
      <c r="AI2007" s="23"/>
      <c r="AJ2007" s="23"/>
      <c r="AK2007" s="23"/>
      <c r="AL2007" s="23"/>
      <c r="AM2007" s="23"/>
      <c r="AN2007" s="23"/>
      <c r="AO2007" s="23"/>
      <c r="AP2007" s="23"/>
      <c r="AQ2007" s="23"/>
      <c r="AR2007" s="23"/>
      <c r="AS2007" s="23"/>
      <c r="AT2007" s="23"/>
      <c r="AU2007" s="23"/>
      <c r="AV2007" s="23"/>
      <c r="AW2007" s="23"/>
      <c r="AX2007" s="23"/>
      <c r="AY2007" s="23"/>
      <c r="AZ2007" s="23"/>
      <c r="BA2007" s="23"/>
      <c r="BB2007" s="23"/>
    </row>
    <row r="2008" spans="5:54" x14ac:dyDescent="0.35"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  <c r="AA2008" s="23"/>
      <c r="AB2008" s="23"/>
      <c r="AC2008" s="23"/>
      <c r="AD2008" s="23"/>
      <c r="AE2008" s="23"/>
      <c r="AF2008" s="23"/>
      <c r="AG2008" s="23"/>
      <c r="AH2008" s="23"/>
      <c r="AI2008" s="23"/>
      <c r="AJ2008" s="23"/>
      <c r="AK2008" s="23"/>
      <c r="AL2008" s="23"/>
      <c r="AM2008" s="23"/>
      <c r="AN2008" s="23"/>
      <c r="AO2008" s="23"/>
      <c r="AP2008" s="23"/>
      <c r="AQ2008" s="23"/>
      <c r="AR2008" s="23"/>
      <c r="AS2008" s="23"/>
      <c r="AT2008" s="23"/>
      <c r="AU2008" s="23"/>
      <c r="AV2008" s="23"/>
      <c r="AW2008" s="23"/>
      <c r="AX2008" s="23"/>
      <c r="AY2008" s="23"/>
      <c r="AZ2008" s="23"/>
      <c r="BA2008" s="23"/>
      <c r="BB2008" s="23"/>
    </row>
    <row r="2009" spans="5:54" x14ac:dyDescent="0.35"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  <c r="AA2009" s="23"/>
      <c r="AB2009" s="23"/>
      <c r="AC2009" s="23"/>
      <c r="AD2009" s="23"/>
      <c r="AE2009" s="23"/>
      <c r="AF2009" s="23"/>
      <c r="AG2009" s="23"/>
      <c r="AH2009" s="23"/>
      <c r="AI2009" s="23"/>
      <c r="AJ2009" s="23"/>
      <c r="AK2009" s="23"/>
      <c r="AL2009" s="23"/>
      <c r="AM2009" s="23"/>
      <c r="AN2009" s="23"/>
      <c r="AO2009" s="23"/>
      <c r="AP2009" s="23"/>
      <c r="AQ2009" s="23"/>
      <c r="AR2009" s="23"/>
      <c r="AS2009" s="23"/>
      <c r="AT2009" s="23"/>
      <c r="AU2009" s="23"/>
      <c r="AV2009" s="23"/>
      <c r="AW2009" s="23"/>
      <c r="AX2009" s="23"/>
      <c r="AY2009" s="23"/>
      <c r="AZ2009" s="23"/>
      <c r="BA2009" s="23"/>
      <c r="BB2009" s="23"/>
    </row>
    <row r="2010" spans="5:54" x14ac:dyDescent="0.35"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  <c r="AA2010" s="23"/>
      <c r="AB2010" s="23"/>
      <c r="AC2010" s="23"/>
      <c r="AD2010" s="23"/>
      <c r="AE2010" s="23"/>
      <c r="AF2010" s="23"/>
      <c r="AG2010" s="23"/>
      <c r="AH2010" s="23"/>
      <c r="AI2010" s="23"/>
      <c r="AJ2010" s="23"/>
      <c r="AK2010" s="23"/>
      <c r="AL2010" s="23"/>
      <c r="AM2010" s="23"/>
      <c r="AN2010" s="23"/>
      <c r="AO2010" s="23"/>
      <c r="AP2010" s="23"/>
      <c r="AQ2010" s="23"/>
      <c r="AR2010" s="23"/>
      <c r="AS2010" s="23"/>
      <c r="AT2010" s="23"/>
      <c r="AU2010" s="23"/>
      <c r="AV2010" s="23"/>
      <c r="AW2010" s="23"/>
      <c r="AX2010" s="23"/>
      <c r="AY2010" s="23"/>
      <c r="AZ2010" s="23"/>
      <c r="BA2010" s="23"/>
      <c r="BB2010" s="23"/>
    </row>
    <row r="2011" spans="5:54" x14ac:dyDescent="0.35"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  <c r="AA2011" s="23"/>
      <c r="AB2011" s="23"/>
      <c r="AC2011" s="23"/>
      <c r="AD2011" s="23"/>
      <c r="AE2011" s="23"/>
      <c r="AF2011" s="23"/>
      <c r="AG2011" s="23"/>
      <c r="AH2011" s="23"/>
      <c r="AI2011" s="23"/>
      <c r="AJ2011" s="23"/>
      <c r="AK2011" s="23"/>
      <c r="AL2011" s="23"/>
      <c r="AM2011" s="23"/>
      <c r="AN2011" s="23"/>
      <c r="AO2011" s="23"/>
      <c r="AP2011" s="23"/>
      <c r="AQ2011" s="23"/>
      <c r="AR2011" s="23"/>
      <c r="AS2011" s="23"/>
      <c r="AT2011" s="23"/>
      <c r="AU2011" s="23"/>
      <c r="AV2011" s="23"/>
      <c r="AW2011" s="23"/>
      <c r="AX2011" s="23"/>
      <c r="AY2011" s="23"/>
      <c r="AZ2011" s="23"/>
      <c r="BA2011" s="23"/>
      <c r="BB2011" s="23"/>
    </row>
    <row r="2012" spans="5:54" x14ac:dyDescent="0.35"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  <c r="AA2012" s="23"/>
      <c r="AB2012" s="23"/>
      <c r="AC2012" s="23"/>
      <c r="AD2012" s="23"/>
      <c r="AE2012" s="23"/>
      <c r="AF2012" s="23"/>
      <c r="AG2012" s="23"/>
      <c r="AH2012" s="23"/>
      <c r="AI2012" s="23"/>
      <c r="AJ2012" s="23"/>
      <c r="AK2012" s="23"/>
      <c r="AL2012" s="23"/>
      <c r="AM2012" s="23"/>
      <c r="AN2012" s="23"/>
      <c r="AO2012" s="23"/>
      <c r="AP2012" s="23"/>
      <c r="AQ2012" s="23"/>
      <c r="AR2012" s="23"/>
      <c r="AS2012" s="23"/>
      <c r="AT2012" s="23"/>
      <c r="AU2012" s="23"/>
      <c r="AV2012" s="23"/>
      <c r="AW2012" s="23"/>
      <c r="AX2012" s="23"/>
      <c r="AY2012" s="23"/>
      <c r="AZ2012" s="23"/>
      <c r="BA2012" s="23"/>
      <c r="BB2012" s="23"/>
    </row>
    <row r="2013" spans="5:54" x14ac:dyDescent="0.35"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  <c r="AA2013" s="23"/>
      <c r="AB2013" s="23"/>
      <c r="AC2013" s="23"/>
      <c r="AD2013" s="23"/>
      <c r="AE2013" s="23"/>
      <c r="AF2013" s="23"/>
      <c r="AG2013" s="23"/>
      <c r="AH2013" s="23"/>
      <c r="AI2013" s="23"/>
      <c r="AJ2013" s="23"/>
      <c r="AK2013" s="23"/>
      <c r="AL2013" s="23"/>
      <c r="AM2013" s="23"/>
      <c r="AN2013" s="23"/>
      <c r="AO2013" s="23"/>
      <c r="AP2013" s="23"/>
      <c r="AQ2013" s="23"/>
      <c r="AR2013" s="23"/>
      <c r="AS2013" s="23"/>
      <c r="AT2013" s="23"/>
      <c r="AU2013" s="23"/>
      <c r="AV2013" s="23"/>
      <c r="AW2013" s="23"/>
      <c r="AX2013" s="23"/>
      <c r="AY2013" s="23"/>
      <c r="AZ2013" s="23"/>
      <c r="BA2013" s="23"/>
      <c r="BB2013" s="23"/>
    </row>
    <row r="2014" spans="5:54" x14ac:dyDescent="0.35"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  <c r="AA2014" s="23"/>
      <c r="AB2014" s="23"/>
      <c r="AC2014" s="23"/>
      <c r="AD2014" s="23"/>
      <c r="AE2014" s="23"/>
      <c r="AF2014" s="23"/>
      <c r="AG2014" s="23"/>
      <c r="AH2014" s="23"/>
      <c r="AI2014" s="23"/>
      <c r="AJ2014" s="23"/>
      <c r="AK2014" s="23"/>
      <c r="AL2014" s="23"/>
      <c r="AM2014" s="23"/>
      <c r="AN2014" s="23"/>
      <c r="AO2014" s="23"/>
      <c r="AP2014" s="23"/>
      <c r="AQ2014" s="23"/>
      <c r="AR2014" s="23"/>
      <c r="AS2014" s="23"/>
      <c r="AT2014" s="23"/>
      <c r="AU2014" s="23"/>
      <c r="AV2014" s="23"/>
      <c r="AW2014" s="23"/>
      <c r="AX2014" s="23"/>
      <c r="AY2014" s="23"/>
      <c r="AZ2014" s="23"/>
      <c r="BA2014" s="23"/>
      <c r="BB2014" s="23"/>
    </row>
    <row r="2015" spans="5:54" x14ac:dyDescent="0.35"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  <c r="AA2015" s="23"/>
      <c r="AB2015" s="23"/>
      <c r="AC2015" s="23"/>
      <c r="AD2015" s="23"/>
      <c r="AE2015" s="23"/>
      <c r="AF2015" s="23"/>
      <c r="AG2015" s="23"/>
      <c r="AH2015" s="23"/>
      <c r="AI2015" s="23"/>
      <c r="AJ2015" s="23"/>
      <c r="AK2015" s="23"/>
      <c r="AL2015" s="23"/>
      <c r="AM2015" s="23"/>
      <c r="AN2015" s="23"/>
      <c r="AO2015" s="23"/>
      <c r="AP2015" s="23"/>
      <c r="AQ2015" s="23"/>
      <c r="AR2015" s="23"/>
      <c r="AS2015" s="23"/>
      <c r="AT2015" s="23"/>
      <c r="AU2015" s="23"/>
      <c r="AV2015" s="23"/>
      <c r="AW2015" s="23"/>
      <c r="AX2015" s="23"/>
      <c r="AY2015" s="23"/>
      <c r="AZ2015" s="23"/>
      <c r="BA2015" s="23"/>
      <c r="BB2015" s="23"/>
    </row>
    <row r="2016" spans="5:54" x14ac:dyDescent="0.35"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  <c r="AA2016" s="23"/>
      <c r="AB2016" s="23"/>
      <c r="AC2016" s="23"/>
      <c r="AD2016" s="23"/>
      <c r="AE2016" s="23"/>
      <c r="AF2016" s="23"/>
      <c r="AG2016" s="23"/>
      <c r="AH2016" s="23"/>
      <c r="AI2016" s="23"/>
      <c r="AJ2016" s="23"/>
      <c r="AK2016" s="23"/>
      <c r="AL2016" s="23"/>
      <c r="AM2016" s="23"/>
      <c r="AN2016" s="23"/>
      <c r="AO2016" s="23"/>
      <c r="AP2016" s="23"/>
      <c r="AQ2016" s="23"/>
      <c r="AR2016" s="23"/>
      <c r="AS2016" s="23"/>
      <c r="AT2016" s="23"/>
      <c r="AU2016" s="23"/>
      <c r="AV2016" s="23"/>
      <c r="AW2016" s="23"/>
      <c r="AX2016" s="23"/>
      <c r="AY2016" s="23"/>
      <c r="AZ2016" s="23"/>
      <c r="BA2016" s="23"/>
      <c r="BB2016" s="23"/>
    </row>
    <row r="2017" spans="5:54" x14ac:dyDescent="0.35"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  <c r="AA2017" s="23"/>
      <c r="AB2017" s="23"/>
      <c r="AC2017" s="23"/>
      <c r="AD2017" s="23"/>
      <c r="AE2017" s="23"/>
      <c r="AF2017" s="23"/>
      <c r="AG2017" s="23"/>
      <c r="AH2017" s="23"/>
      <c r="AI2017" s="23"/>
      <c r="AJ2017" s="23"/>
      <c r="AK2017" s="23"/>
      <c r="AL2017" s="23"/>
      <c r="AM2017" s="23"/>
      <c r="AN2017" s="23"/>
      <c r="AO2017" s="23"/>
      <c r="AP2017" s="23"/>
      <c r="AQ2017" s="23"/>
      <c r="AR2017" s="23"/>
      <c r="AS2017" s="23"/>
      <c r="AT2017" s="23"/>
      <c r="AU2017" s="23"/>
      <c r="AV2017" s="23"/>
      <c r="AW2017" s="23"/>
      <c r="AX2017" s="23"/>
      <c r="AY2017" s="23"/>
      <c r="AZ2017" s="23"/>
      <c r="BA2017" s="23"/>
      <c r="BB2017" s="23"/>
    </row>
    <row r="2018" spans="5:54" x14ac:dyDescent="0.35"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  <c r="AA2018" s="23"/>
      <c r="AB2018" s="23"/>
      <c r="AC2018" s="23"/>
      <c r="AD2018" s="23"/>
      <c r="AE2018" s="23"/>
      <c r="AF2018" s="23"/>
      <c r="AG2018" s="23"/>
      <c r="AH2018" s="23"/>
      <c r="AI2018" s="23"/>
      <c r="AJ2018" s="23"/>
      <c r="AK2018" s="23"/>
      <c r="AL2018" s="23"/>
      <c r="AM2018" s="23"/>
      <c r="AN2018" s="23"/>
      <c r="AO2018" s="23"/>
      <c r="AP2018" s="23"/>
      <c r="AQ2018" s="23"/>
      <c r="AR2018" s="23"/>
      <c r="AS2018" s="23"/>
      <c r="AT2018" s="23"/>
      <c r="AU2018" s="23"/>
      <c r="AV2018" s="23"/>
      <c r="AW2018" s="23"/>
      <c r="AX2018" s="23"/>
      <c r="AY2018" s="23"/>
      <c r="AZ2018" s="23"/>
      <c r="BA2018" s="23"/>
      <c r="BB2018" s="23"/>
    </row>
    <row r="2019" spans="5:54" x14ac:dyDescent="0.35"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  <c r="AA2019" s="23"/>
      <c r="AB2019" s="23"/>
      <c r="AC2019" s="23"/>
      <c r="AD2019" s="23"/>
      <c r="AE2019" s="23"/>
      <c r="AF2019" s="23"/>
      <c r="AG2019" s="23"/>
      <c r="AH2019" s="23"/>
      <c r="AI2019" s="23"/>
      <c r="AJ2019" s="23"/>
      <c r="AK2019" s="23"/>
      <c r="AL2019" s="23"/>
      <c r="AM2019" s="23"/>
      <c r="AN2019" s="23"/>
      <c r="AO2019" s="23"/>
      <c r="AP2019" s="23"/>
      <c r="AQ2019" s="23"/>
      <c r="AR2019" s="23"/>
      <c r="AS2019" s="23"/>
      <c r="AT2019" s="23"/>
      <c r="AU2019" s="23"/>
      <c r="AV2019" s="23"/>
      <c r="AW2019" s="23"/>
      <c r="AX2019" s="23"/>
      <c r="AY2019" s="23"/>
      <c r="AZ2019" s="23"/>
      <c r="BA2019" s="23"/>
      <c r="BB2019" s="23"/>
    </row>
    <row r="2020" spans="5:54" x14ac:dyDescent="0.35"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  <c r="AA2020" s="23"/>
      <c r="AB2020" s="23"/>
      <c r="AC2020" s="23"/>
      <c r="AD2020" s="23"/>
      <c r="AE2020" s="23"/>
      <c r="AF2020" s="23"/>
      <c r="AG2020" s="23"/>
      <c r="AH2020" s="23"/>
      <c r="AI2020" s="23"/>
      <c r="AJ2020" s="23"/>
      <c r="AK2020" s="23"/>
      <c r="AL2020" s="23"/>
      <c r="AM2020" s="23"/>
      <c r="AN2020" s="23"/>
      <c r="AO2020" s="23"/>
      <c r="AP2020" s="23"/>
      <c r="AQ2020" s="23"/>
      <c r="AR2020" s="23"/>
      <c r="AS2020" s="23"/>
      <c r="AT2020" s="23"/>
      <c r="AU2020" s="23"/>
      <c r="AV2020" s="23"/>
      <c r="AW2020" s="23"/>
      <c r="AX2020" s="23"/>
      <c r="AY2020" s="23"/>
      <c r="AZ2020" s="23"/>
      <c r="BA2020" s="23"/>
      <c r="BB2020" s="23"/>
    </row>
    <row r="2021" spans="5:54" x14ac:dyDescent="0.35"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  <c r="AA2021" s="23"/>
      <c r="AB2021" s="23"/>
      <c r="AC2021" s="23"/>
      <c r="AD2021" s="23"/>
      <c r="AE2021" s="23"/>
      <c r="AF2021" s="23"/>
      <c r="AG2021" s="23"/>
      <c r="AH2021" s="23"/>
      <c r="AI2021" s="23"/>
      <c r="AJ2021" s="23"/>
      <c r="AK2021" s="23"/>
      <c r="AL2021" s="23"/>
      <c r="AM2021" s="23"/>
      <c r="AN2021" s="23"/>
      <c r="AO2021" s="23"/>
      <c r="AP2021" s="23"/>
      <c r="AQ2021" s="23"/>
      <c r="AR2021" s="23"/>
      <c r="AS2021" s="23"/>
      <c r="AT2021" s="23"/>
      <c r="AU2021" s="23"/>
      <c r="AV2021" s="23"/>
      <c r="AW2021" s="23"/>
      <c r="AX2021" s="23"/>
      <c r="AY2021" s="23"/>
      <c r="AZ2021" s="23"/>
      <c r="BA2021" s="23"/>
      <c r="BB2021" s="23"/>
    </row>
    <row r="2022" spans="5:54" x14ac:dyDescent="0.35"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  <c r="AA2022" s="23"/>
      <c r="AB2022" s="23"/>
      <c r="AC2022" s="23"/>
      <c r="AD2022" s="23"/>
      <c r="AE2022" s="23"/>
      <c r="AF2022" s="23"/>
      <c r="AG2022" s="23"/>
      <c r="AH2022" s="23"/>
      <c r="AI2022" s="23"/>
      <c r="AJ2022" s="23"/>
      <c r="AK2022" s="23"/>
      <c r="AL2022" s="23"/>
      <c r="AM2022" s="23"/>
      <c r="AN2022" s="23"/>
      <c r="AO2022" s="23"/>
      <c r="AP2022" s="23"/>
      <c r="AQ2022" s="23"/>
      <c r="AR2022" s="23"/>
      <c r="AS2022" s="23"/>
      <c r="AT2022" s="23"/>
      <c r="AU2022" s="23"/>
      <c r="AV2022" s="23"/>
      <c r="AW2022" s="23"/>
      <c r="AX2022" s="23"/>
      <c r="AY2022" s="23"/>
      <c r="AZ2022" s="23"/>
      <c r="BA2022" s="23"/>
      <c r="BB2022" s="23"/>
    </row>
    <row r="2023" spans="5:54" x14ac:dyDescent="0.35"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  <c r="AA2023" s="23"/>
      <c r="AB2023" s="23"/>
      <c r="AC2023" s="23"/>
      <c r="AD2023" s="23"/>
      <c r="AE2023" s="23"/>
      <c r="AF2023" s="23"/>
      <c r="AG2023" s="23"/>
      <c r="AH2023" s="23"/>
      <c r="AI2023" s="23"/>
      <c r="AJ2023" s="23"/>
      <c r="AK2023" s="23"/>
      <c r="AL2023" s="23"/>
      <c r="AM2023" s="23"/>
      <c r="AN2023" s="23"/>
      <c r="AO2023" s="23"/>
      <c r="AP2023" s="23"/>
      <c r="AQ2023" s="23"/>
      <c r="AR2023" s="23"/>
      <c r="AS2023" s="23"/>
      <c r="AT2023" s="23"/>
      <c r="AU2023" s="23"/>
      <c r="AV2023" s="23"/>
      <c r="AW2023" s="23"/>
      <c r="AX2023" s="23"/>
      <c r="AY2023" s="23"/>
      <c r="AZ2023" s="23"/>
      <c r="BA2023" s="23"/>
      <c r="BB2023" s="23"/>
    </row>
    <row r="2024" spans="5:54" x14ac:dyDescent="0.35"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  <c r="AA2024" s="23"/>
      <c r="AB2024" s="23"/>
      <c r="AC2024" s="23"/>
      <c r="AD2024" s="23"/>
      <c r="AE2024" s="23"/>
      <c r="AF2024" s="23"/>
      <c r="AG2024" s="23"/>
      <c r="AH2024" s="23"/>
      <c r="AI2024" s="23"/>
      <c r="AJ2024" s="23"/>
      <c r="AK2024" s="23"/>
      <c r="AL2024" s="23"/>
      <c r="AM2024" s="23"/>
      <c r="AN2024" s="23"/>
      <c r="AO2024" s="23"/>
      <c r="AP2024" s="23"/>
      <c r="AQ2024" s="23"/>
      <c r="AR2024" s="23"/>
      <c r="AS2024" s="23"/>
      <c r="AT2024" s="23"/>
      <c r="AU2024" s="23"/>
      <c r="AV2024" s="23"/>
      <c r="AW2024" s="23"/>
      <c r="AX2024" s="23"/>
      <c r="AY2024" s="23"/>
      <c r="AZ2024" s="23"/>
      <c r="BA2024" s="23"/>
      <c r="BB2024" s="23"/>
    </row>
    <row r="2025" spans="5:54" x14ac:dyDescent="0.35"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  <c r="AA2025" s="23"/>
      <c r="AB2025" s="23"/>
      <c r="AC2025" s="23"/>
      <c r="AD2025" s="23"/>
      <c r="AE2025" s="23"/>
      <c r="AF2025" s="23"/>
      <c r="AG2025" s="23"/>
      <c r="AH2025" s="23"/>
      <c r="AI2025" s="23"/>
      <c r="AJ2025" s="23"/>
      <c r="AK2025" s="23"/>
      <c r="AL2025" s="23"/>
      <c r="AM2025" s="23"/>
      <c r="AN2025" s="23"/>
      <c r="AO2025" s="23"/>
      <c r="AP2025" s="23"/>
      <c r="AQ2025" s="23"/>
      <c r="AR2025" s="23"/>
      <c r="AS2025" s="23"/>
      <c r="AT2025" s="23"/>
      <c r="AU2025" s="23"/>
      <c r="AV2025" s="23"/>
      <c r="AW2025" s="23"/>
      <c r="AX2025" s="23"/>
      <c r="AY2025" s="23"/>
      <c r="AZ2025" s="23"/>
      <c r="BA2025" s="23"/>
      <c r="BB2025" s="23"/>
    </row>
    <row r="2026" spans="5:54" x14ac:dyDescent="0.35"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  <c r="AA2026" s="23"/>
      <c r="AB2026" s="23"/>
      <c r="AC2026" s="23"/>
      <c r="AD2026" s="23"/>
      <c r="AE2026" s="23"/>
      <c r="AF2026" s="23"/>
      <c r="AG2026" s="23"/>
      <c r="AH2026" s="23"/>
      <c r="AI2026" s="23"/>
      <c r="AJ2026" s="23"/>
      <c r="AK2026" s="23"/>
      <c r="AL2026" s="23"/>
      <c r="AM2026" s="23"/>
      <c r="AN2026" s="23"/>
      <c r="AO2026" s="23"/>
      <c r="AP2026" s="23"/>
      <c r="AQ2026" s="23"/>
      <c r="AR2026" s="23"/>
      <c r="AS2026" s="23"/>
      <c r="AT2026" s="23"/>
      <c r="AU2026" s="23"/>
      <c r="AV2026" s="23"/>
      <c r="AW2026" s="23"/>
      <c r="AX2026" s="23"/>
      <c r="AY2026" s="23"/>
      <c r="AZ2026" s="23"/>
      <c r="BA2026" s="23"/>
      <c r="BB2026" s="23"/>
    </row>
    <row r="2027" spans="5:54" x14ac:dyDescent="0.35"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  <c r="AA2027" s="23"/>
      <c r="AB2027" s="23"/>
      <c r="AC2027" s="23"/>
      <c r="AD2027" s="23"/>
      <c r="AE2027" s="23"/>
      <c r="AF2027" s="23"/>
      <c r="AG2027" s="23"/>
      <c r="AH2027" s="23"/>
      <c r="AI2027" s="23"/>
      <c r="AJ2027" s="23"/>
      <c r="AK2027" s="23"/>
      <c r="AL2027" s="23"/>
      <c r="AM2027" s="23"/>
      <c r="AN2027" s="23"/>
      <c r="AO2027" s="23"/>
      <c r="AP2027" s="23"/>
      <c r="AQ2027" s="23"/>
      <c r="AR2027" s="23"/>
      <c r="AS2027" s="23"/>
      <c r="AT2027" s="23"/>
      <c r="AU2027" s="23"/>
      <c r="AV2027" s="23"/>
      <c r="AW2027" s="23"/>
      <c r="AX2027" s="23"/>
      <c r="AY2027" s="23"/>
      <c r="AZ2027" s="23"/>
      <c r="BA2027" s="23"/>
      <c r="BB2027" s="23"/>
    </row>
    <row r="2028" spans="5:54" x14ac:dyDescent="0.35"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  <c r="AA2028" s="23"/>
      <c r="AB2028" s="23"/>
      <c r="AC2028" s="23"/>
      <c r="AD2028" s="23"/>
      <c r="AE2028" s="23"/>
      <c r="AF2028" s="23"/>
      <c r="AG2028" s="23"/>
      <c r="AH2028" s="23"/>
      <c r="AI2028" s="23"/>
      <c r="AJ2028" s="23"/>
      <c r="AK2028" s="23"/>
      <c r="AL2028" s="23"/>
      <c r="AM2028" s="23"/>
      <c r="AN2028" s="23"/>
      <c r="AO2028" s="23"/>
      <c r="AP2028" s="23"/>
      <c r="AQ2028" s="23"/>
      <c r="AR2028" s="23"/>
      <c r="AS2028" s="23"/>
      <c r="AT2028" s="23"/>
      <c r="AU2028" s="23"/>
      <c r="AV2028" s="23"/>
      <c r="AW2028" s="23"/>
      <c r="AX2028" s="23"/>
      <c r="AY2028" s="23"/>
      <c r="AZ2028" s="23"/>
      <c r="BA2028" s="23"/>
      <c r="BB2028" s="23"/>
    </row>
    <row r="2029" spans="5:54" x14ac:dyDescent="0.35"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  <c r="AA2029" s="23"/>
      <c r="AB2029" s="23"/>
      <c r="AC2029" s="23"/>
      <c r="AD2029" s="23"/>
      <c r="AE2029" s="23"/>
      <c r="AF2029" s="23"/>
      <c r="AG2029" s="23"/>
      <c r="AH2029" s="23"/>
      <c r="AI2029" s="23"/>
      <c r="AJ2029" s="23"/>
      <c r="AK2029" s="23"/>
      <c r="AL2029" s="23"/>
      <c r="AM2029" s="23"/>
      <c r="AN2029" s="23"/>
      <c r="AO2029" s="23"/>
      <c r="AP2029" s="23"/>
      <c r="AQ2029" s="23"/>
      <c r="AR2029" s="23"/>
      <c r="AS2029" s="23"/>
      <c r="AT2029" s="23"/>
      <c r="AU2029" s="23"/>
      <c r="AV2029" s="23"/>
      <c r="AW2029" s="23"/>
      <c r="AX2029" s="23"/>
      <c r="AY2029" s="23"/>
      <c r="AZ2029" s="23"/>
      <c r="BA2029" s="23"/>
      <c r="BB2029" s="23"/>
    </row>
    <row r="2030" spans="5:54" x14ac:dyDescent="0.35"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  <c r="AA2030" s="23"/>
      <c r="AB2030" s="23"/>
      <c r="AC2030" s="23"/>
      <c r="AD2030" s="23"/>
      <c r="AE2030" s="23"/>
      <c r="AF2030" s="23"/>
      <c r="AG2030" s="23"/>
      <c r="AH2030" s="23"/>
      <c r="AI2030" s="23"/>
      <c r="AJ2030" s="23"/>
      <c r="AK2030" s="23"/>
      <c r="AL2030" s="23"/>
      <c r="AM2030" s="23"/>
      <c r="AN2030" s="23"/>
      <c r="AO2030" s="23"/>
      <c r="AP2030" s="23"/>
      <c r="AQ2030" s="23"/>
      <c r="AR2030" s="23"/>
      <c r="AS2030" s="23"/>
      <c r="AT2030" s="23"/>
      <c r="AU2030" s="23"/>
      <c r="AV2030" s="23"/>
      <c r="AW2030" s="23"/>
      <c r="AX2030" s="23"/>
      <c r="AY2030" s="23"/>
      <c r="AZ2030" s="23"/>
      <c r="BA2030" s="23"/>
      <c r="BB2030" s="23"/>
    </row>
    <row r="2031" spans="5:54" x14ac:dyDescent="0.35"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  <c r="AA2031" s="23"/>
      <c r="AB2031" s="23"/>
      <c r="AC2031" s="23"/>
      <c r="AD2031" s="23"/>
      <c r="AE2031" s="23"/>
      <c r="AF2031" s="23"/>
      <c r="AG2031" s="23"/>
      <c r="AH2031" s="23"/>
      <c r="AI2031" s="23"/>
      <c r="AJ2031" s="23"/>
      <c r="AK2031" s="23"/>
      <c r="AL2031" s="23"/>
      <c r="AM2031" s="23"/>
      <c r="AN2031" s="23"/>
      <c r="AO2031" s="23"/>
      <c r="AP2031" s="23"/>
      <c r="AQ2031" s="23"/>
      <c r="AR2031" s="23"/>
      <c r="AS2031" s="23"/>
      <c r="AT2031" s="23"/>
      <c r="AU2031" s="23"/>
      <c r="AV2031" s="23"/>
      <c r="AW2031" s="23"/>
      <c r="AX2031" s="23"/>
      <c r="AY2031" s="23"/>
      <c r="AZ2031" s="23"/>
      <c r="BA2031" s="23"/>
      <c r="BB2031" s="23"/>
    </row>
    <row r="2032" spans="5:54" x14ac:dyDescent="0.35"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  <c r="AA2032" s="23"/>
      <c r="AB2032" s="23"/>
      <c r="AC2032" s="23"/>
      <c r="AD2032" s="23"/>
      <c r="AE2032" s="23"/>
      <c r="AF2032" s="23"/>
      <c r="AG2032" s="23"/>
      <c r="AH2032" s="23"/>
      <c r="AI2032" s="23"/>
      <c r="AJ2032" s="23"/>
      <c r="AK2032" s="23"/>
      <c r="AL2032" s="23"/>
      <c r="AM2032" s="23"/>
      <c r="AN2032" s="23"/>
      <c r="AO2032" s="23"/>
      <c r="AP2032" s="23"/>
      <c r="AQ2032" s="23"/>
      <c r="AR2032" s="23"/>
      <c r="AS2032" s="23"/>
      <c r="AT2032" s="23"/>
      <c r="AU2032" s="23"/>
      <c r="AV2032" s="23"/>
      <c r="AW2032" s="23"/>
      <c r="AX2032" s="23"/>
      <c r="AY2032" s="23"/>
      <c r="AZ2032" s="23"/>
      <c r="BA2032" s="23"/>
      <c r="BB2032" s="23"/>
    </row>
    <row r="2033" spans="5:54" x14ac:dyDescent="0.35"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  <c r="AA2033" s="23"/>
      <c r="AB2033" s="23"/>
      <c r="AC2033" s="23"/>
      <c r="AD2033" s="23"/>
      <c r="AE2033" s="23"/>
      <c r="AF2033" s="23"/>
      <c r="AG2033" s="23"/>
      <c r="AH2033" s="23"/>
      <c r="AI2033" s="23"/>
      <c r="AJ2033" s="23"/>
      <c r="AK2033" s="23"/>
      <c r="AL2033" s="23"/>
      <c r="AM2033" s="23"/>
      <c r="AN2033" s="23"/>
      <c r="AO2033" s="23"/>
      <c r="AP2033" s="23"/>
      <c r="AQ2033" s="23"/>
      <c r="AR2033" s="23"/>
      <c r="AS2033" s="23"/>
      <c r="AT2033" s="23"/>
      <c r="AU2033" s="23"/>
      <c r="AV2033" s="23"/>
      <c r="AW2033" s="23"/>
      <c r="AX2033" s="23"/>
      <c r="AY2033" s="23"/>
      <c r="AZ2033" s="23"/>
      <c r="BA2033" s="23"/>
      <c r="BB2033" s="23"/>
    </row>
    <row r="2034" spans="5:54" x14ac:dyDescent="0.35"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  <c r="AA2034" s="23"/>
      <c r="AB2034" s="23"/>
      <c r="AC2034" s="23"/>
      <c r="AD2034" s="23"/>
      <c r="AE2034" s="23"/>
      <c r="AF2034" s="23"/>
      <c r="AG2034" s="23"/>
      <c r="AH2034" s="23"/>
      <c r="AI2034" s="23"/>
      <c r="AJ2034" s="23"/>
      <c r="AK2034" s="23"/>
      <c r="AL2034" s="23"/>
      <c r="AM2034" s="23"/>
      <c r="AN2034" s="23"/>
      <c r="AO2034" s="23"/>
      <c r="AP2034" s="23"/>
      <c r="AQ2034" s="23"/>
      <c r="AR2034" s="23"/>
      <c r="AS2034" s="23"/>
      <c r="AT2034" s="23"/>
      <c r="AU2034" s="23"/>
      <c r="AV2034" s="23"/>
      <c r="AW2034" s="23"/>
      <c r="AX2034" s="23"/>
      <c r="AY2034" s="23"/>
      <c r="AZ2034" s="23"/>
      <c r="BA2034" s="23"/>
      <c r="BB2034" s="23"/>
    </row>
    <row r="2035" spans="5:54" x14ac:dyDescent="0.35"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  <c r="AA2035" s="23"/>
      <c r="AB2035" s="23"/>
      <c r="AC2035" s="23"/>
      <c r="AD2035" s="23"/>
      <c r="AE2035" s="23"/>
      <c r="AF2035" s="23"/>
      <c r="AG2035" s="23"/>
      <c r="AH2035" s="23"/>
      <c r="AI2035" s="23"/>
      <c r="AJ2035" s="23"/>
      <c r="AK2035" s="23"/>
      <c r="AL2035" s="23"/>
      <c r="AM2035" s="23"/>
      <c r="AN2035" s="23"/>
      <c r="AO2035" s="23"/>
      <c r="AP2035" s="23"/>
      <c r="AQ2035" s="23"/>
      <c r="AR2035" s="23"/>
      <c r="AS2035" s="23"/>
      <c r="AT2035" s="23"/>
      <c r="AU2035" s="23"/>
      <c r="AV2035" s="23"/>
      <c r="AW2035" s="23"/>
      <c r="AX2035" s="23"/>
      <c r="AY2035" s="23"/>
      <c r="AZ2035" s="23"/>
      <c r="BA2035" s="23"/>
      <c r="BB2035" s="23"/>
    </row>
    <row r="2036" spans="5:54" x14ac:dyDescent="0.35"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  <c r="AA2036" s="23"/>
      <c r="AB2036" s="23"/>
      <c r="AC2036" s="23"/>
      <c r="AD2036" s="23"/>
      <c r="AE2036" s="23"/>
      <c r="AF2036" s="23"/>
      <c r="AG2036" s="23"/>
      <c r="AH2036" s="23"/>
      <c r="AI2036" s="23"/>
      <c r="AJ2036" s="23"/>
      <c r="AK2036" s="23"/>
      <c r="AL2036" s="23"/>
      <c r="AM2036" s="23"/>
      <c r="AN2036" s="23"/>
      <c r="AO2036" s="23"/>
      <c r="AP2036" s="23"/>
      <c r="AQ2036" s="23"/>
      <c r="AR2036" s="23"/>
      <c r="AS2036" s="23"/>
      <c r="AT2036" s="23"/>
      <c r="AU2036" s="23"/>
      <c r="AV2036" s="23"/>
      <c r="AW2036" s="23"/>
      <c r="AX2036" s="23"/>
      <c r="AY2036" s="23"/>
      <c r="AZ2036" s="23"/>
      <c r="BA2036" s="23"/>
      <c r="BB2036" s="23"/>
    </row>
    <row r="2037" spans="5:54" x14ac:dyDescent="0.35"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  <c r="AA2037" s="23"/>
      <c r="AB2037" s="23"/>
      <c r="AC2037" s="23"/>
      <c r="AD2037" s="23"/>
      <c r="AE2037" s="23"/>
      <c r="AF2037" s="23"/>
      <c r="AG2037" s="23"/>
      <c r="AH2037" s="23"/>
      <c r="AI2037" s="23"/>
      <c r="AJ2037" s="23"/>
      <c r="AK2037" s="23"/>
      <c r="AL2037" s="23"/>
      <c r="AM2037" s="23"/>
      <c r="AN2037" s="23"/>
      <c r="AO2037" s="23"/>
      <c r="AP2037" s="23"/>
      <c r="AQ2037" s="23"/>
      <c r="AR2037" s="23"/>
      <c r="AS2037" s="23"/>
      <c r="AT2037" s="23"/>
      <c r="AU2037" s="23"/>
      <c r="AV2037" s="23"/>
      <c r="AW2037" s="23"/>
      <c r="AX2037" s="23"/>
      <c r="AY2037" s="23"/>
      <c r="AZ2037" s="23"/>
      <c r="BA2037" s="23"/>
      <c r="BB2037" s="23"/>
    </row>
    <row r="2038" spans="5:54" x14ac:dyDescent="0.35"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  <c r="AA2038" s="23"/>
      <c r="AB2038" s="23"/>
      <c r="AC2038" s="23"/>
      <c r="AD2038" s="23"/>
      <c r="AE2038" s="23"/>
      <c r="AF2038" s="23"/>
      <c r="AG2038" s="23"/>
      <c r="AH2038" s="23"/>
      <c r="AI2038" s="23"/>
      <c r="AJ2038" s="23"/>
      <c r="AK2038" s="23"/>
      <c r="AL2038" s="23"/>
      <c r="AM2038" s="23"/>
      <c r="AN2038" s="23"/>
      <c r="AO2038" s="23"/>
      <c r="AP2038" s="23"/>
      <c r="AQ2038" s="23"/>
      <c r="AR2038" s="23"/>
      <c r="AS2038" s="23"/>
      <c r="AT2038" s="23"/>
      <c r="AU2038" s="23"/>
      <c r="AV2038" s="23"/>
      <c r="AW2038" s="23"/>
      <c r="AX2038" s="23"/>
      <c r="AY2038" s="23"/>
      <c r="AZ2038" s="23"/>
      <c r="BA2038" s="23"/>
      <c r="BB2038" s="23"/>
    </row>
    <row r="2039" spans="5:54" x14ac:dyDescent="0.35"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  <c r="AA2039" s="23"/>
      <c r="AB2039" s="23"/>
      <c r="AC2039" s="23"/>
      <c r="AD2039" s="23"/>
      <c r="AE2039" s="23"/>
      <c r="AF2039" s="23"/>
      <c r="AG2039" s="23"/>
      <c r="AH2039" s="23"/>
      <c r="AI2039" s="23"/>
      <c r="AJ2039" s="23"/>
      <c r="AK2039" s="23"/>
      <c r="AL2039" s="23"/>
      <c r="AM2039" s="23"/>
      <c r="AN2039" s="23"/>
      <c r="AO2039" s="23"/>
      <c r="AP2039" s="23"/>
      <c r="AQ2039" s="23"/>
      <c r="AR2039" s="23"/>
      <c r="AS2039" s="23"/>
      <c r="AT2039" s="23"/>
      <c r="AU2039" s="23"/>
      <c r="AV2039" s="23"/>
      <c r="AW2039" s="23"/>
      <c r="AX2039" s="23"/>
      <c r="AY2039" s="23"/>
      <c r="AZ2039" s="23"/>
      <c r="BA2039" s="23"/>
      <c r="BB2039" s="23"/>
    </row>
    <row r="2040" spans="5:54" x14ac:dyDescent="0.35"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  <c r="AA2040" s="23"/>
      <c r="AB2040" s="23"/>
      <c r="AC2040" s="23"/>
      <c r="AD2040" s="23"/>
      <c r="AE2040" s="23"/>
      <c r="AF2040" s="23"/>
      <c r="AG2040" s="23"/>
      <c r="AH2040" s="23"/>
      <c r="AI2040" s="23"/>
      <c r="AJ2040" s="23"/>
      <c r="AK2040" s="23"/>
      <c r="AL2040" s="23"/>
      <c r="AM2040" s="23"/>
      <c r="AN2040" s="23"/>
      <c r="AO2040" s="23"/>
      <c r="AP2040" s="23"/>
      <c r="AQ2040" s="23"/>
      <c r="AR2040" s="23"/>
      <c r="AS2040" s="23"/>
      <c r="AT2040" s="23"/>
      <c r="AU2040" s="23"/>
      <c r="AV2040" s="23"/>
      <c r="AW2040" s="23"/>
      <c r="AX2040" s="23"/>
      <c r="AY2040" s="23"/>
      <c r="AZ2040" s="23"/>
      <c r="BA2040" s="23"/>
      <c r="BB2040" s="23"/>
    </row>
    <row r="2041" spans="5:54" x14ac:dyDescent="0.35"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  <c r="AA2041" s="23"/>
      <c r="AB2041" s="23"/>
      <c r="AC2041" s="23"/>
      <c r="AD2041" s="23"/>
      <c r="AE2041" s="23"/>
      <c r="AF2041" s="23"/>
      <c r="AG2041" s="23"/>
      <c r="AH2041" s="23"/>
      <c r="AI2041" s="23"/>
      <c r="AJ2041" s="23"/>
      <c r="AK2041" s="23"/>
      <c r="AL2041" s="23"/>
      <c r="AM2041" s="23"/>
      <c r="AN2041" s="23"/>
      <c r="AO2041" s="23"/>
      <c r="AP2041" s="23"/>
      <c r="AQ2041" s="23"/>
      <c r="AR2041" s="23"/>
      <c r="AS2041" s="23"/>
      <c r="AT2041" s="23"/>
      <c r="AU2041" s="23"/>
      <c r="AV2041" s="23"/>
      <c r="AW2041" s="23"/>
      <c r="AX2041" s="23"/>
      <c r="AY2041" s="23"/>
      <c r="AZ2041" s="23"/>
      <c r="BA2041" s="23"/>
      <c r="BB2041" s="23"/>
    </row>
    <row r="2042" spans="5:54" x14ac:dyDescent="0.35"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  <c r="AA2042" s="23"/>
      <c r="AB2042" s="23"/>
      <c r="AC2042" s="23"/>
      <c r="AD2042" s="23"/>
      <c r="AE2042" s="23"/>
      <c r="AF2042" s="23"/>
      <c r="AG2042" s="23"/>
      <c r="AH2042" s="23"/>
      <c r="AI2042" s="23"/>
      <c r="AJ2042" s="23"/>
      <c r="AK2042" s="23"/>
      <c r="AL2042" s="23"/>
      <c r="AM2042" s="23"/>
      <c r="AN2042" s="23"/>
      <c r="AO2042" s="23"/>
      <c r="AP2042" s="23"/>
      <c r="AQ2042" s="23"/>
      <c r="AR2042" s="23"/>
      <c r="AS2042" s="23"/>
      <c r="AT2042" s="23"/>
      <c r="AU2042" s="23"/>
      <c r="AV2042" s="23"/>
      <c r="AW2042" s="23"/>
      <c r="AX2042" s="23"/>
      <c r="AY2042" s="23"/>
      <c r="AZ2042" s="23"/>
      <c r="BA2042" s="23"/>
      <c r="BB2042" s="23"/>
    </row>
    <row r="2043" spans="5:54" x14ac:dyDescent="0.35"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  <c r="AA2043" s="23"/>
      <c r="AB2043" s="23"/>
      <c r="AC2043" s="23"/>
      <c r="AD2043" s="23"/>
      <c r="AE2043" s="23"/>
      <c r="AF2043" s="23"/>
      <c r="AG2043" s="23"/>
      <c r="AH2043" s="23"/>
      <c r="AI2043" s="23"/>
      <c r="AJ2043" s="23"/>
      <c r="AK2043" s="23"/>
      <c r="AL2043" s="23"/>
      <c r="AM2043" s="23"/>
      <c r="AN2043" s="23"/>
      <c r="AO2043" s="23"/>
      <c r="AP2043" s="23"/>
      <c r="AQ2043" s="23"/>
      <c r="AR2043" s="23"/>
      <c r="AS2043" s="23"/>
      <c r="AT2043" s="23"/>
      <c r="AU2043" s="23"/>
      <c r="AV2043" s="23"/>
      <c r="AW2043" s="23"/>
      <c r="AX2043" s="23"/>
      <c r="AY2043" s="23"/>
      <c r="AZ2043" s="23"/>
      <c r="BA2043" s="23"/>
      <c r="BB2043" s="23"/>
    </row>
    <row r="2044" spans="5:54" x14ac:dyDescent="0.35"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  <c r="AA2044" s="23"/>
      <c r="AB2044" s="23"/>
      <c r="AC2044" s="23"/>
      <c r="AD2044" s="23"/>
      <c r="AE2044" s="23"/>
      <c r="AF2044" s="23"/>
      <c r="AG2044" s="23"/>
      <c r="AH2044" s="23"/>
      <c r="AI2044" s="23"/>
      <c r="AJ2044" s="23"/>
      <c r="AK2044" s="23"/>
      <c r="AL2044" s="23"/>
      <c r="AM2044" s="23"/>
      <c r="AN2044" s="23"/>
      <c r="AO2044" s="23"/>
      <c r="AP2044" s="23"/>
      <c r="AQ2044" s="23"/>
      <c r="AR2044" s="23"/>
      <c r="AS2044" s="23"/>
      <c r="AT2044" s="23"/>
      <c r="AU2044" s="23"/>
      <c r="AV2044" s="23"/>
      <c r="AW2044" s="23"/>
      <c r="AX2044" s="23"/>
      <c r="AY2044" s="23"/>
      <c r="AZ2044" s="23"/>
      <c r="BA2044" s="23"/>
      <c r="BB2044" s="23"/>
    </row>
    <row r="2045" spans="5:54" x14ac:dyDescent="0.35"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  <c r="AA2045" s="23"/>
      <c r="AB2045" s="23"/>
      <c r="AC2045" s="23"/>
      <c r="AD2045" s="23"/>
      <c r="AE2045" s="23"/>
      <c r="AF2045" s="23"/>
      <c r="AG2045" s="23"/>
      <c r="AH2045" s="23"/>
      <c r="AI2045" s="23"/>
      <c r="AJ2045" s="23"/>
      <c r="AK2045" s="23"/>
      <c r="AL2045" s="23"/>
      <c r="AM2045" s="23"/>
      <c r="AN2045" s="23"/>
      <c r="AO2045" s="23"/>
      <c r="AP2045" s="23"/>
      <c r="AQ2045" s="23"/>
      <c r="AR2045" s="23"/>
      <c r="AS2045" s="23"/>
      <c r="AT2045" s="23"/>
      <c r="AU2045" s="23"/>
      <c r="AV2045" s="23"/>
      <c r="AW2045" s="23"/>
      <c r="AX2045" s="23"/>
      <c r="AY2045" s="23"/>
      <c r="AZ2045" s="23"/>
      <c r="BA2045" s="23"/>
      <c r="BB2045" s="23"/>
    </row>
    <row r="2046" spans="5:54" x14ac:dyDescent="0.35"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  <c r="AA2046" s="23"/>
      <c r="AB2046" s="23"/>
      <c r="AC2046" s="23"/>
      <c r="AD2046" s="23"/>
      <c r="AE2046" s="23"/>
      <c r="AF2046" s="23"/>
      <c r="AG2046" s="23"/>
      <c r="AH2046" s="23"/>
      <c r="AI2046" s="23"/>
      <c r="AJ2046" s="23"/>
      <c r="AK2046" s="23"/>
      <c r="AL2046" s="23"/>
      <c r="AM2046" s="23"/>
      <c r="AN2046" s="23"/>
      <c r="AO2046" s="23"/>
      <c r="AP2046" s="23"/>
      <c r="AQ2046" s="23"/>
      <c r="AR2046" s="23"/>
      <c r="AS2046" s="23"/>
      <c r="AT2046" s="23"/>
      <c r="AU2046" s="23"/>
      <c r="AV2046" s="23"/>
      <c r="AW2046" s="23"/>
      <c r="AX2046" s="23"/>
      <c r="AY2046" s="23"/>
      <c r="AZ2046" s="23"/>
      <c r="BA2046" s="23"/>
      <c r="BB2046" s="23"/>
    </row>
    <row r="2047" spans="5:54" x14ac:dyDescent="0.35"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  <c r="AA2047" s="23"/>
      <c r="AB2047" s="23"/>
      <c r="AC2047" s="23"/>
      <c r="AD2047" s="23"/>
      <c r="AE2047" s="23"/>
      <c r="AF2047" s="23"/>
      <c r="AG2047" s="23"/>
      <c r="AH2047" s="23"/>
      <c r="AI2047" s="23"/>
      <c r="AJ2047" s="23"/>
      <c r="AK2047" s="23"/>
      <c r="AL2047" s="23"/>
      <c r="AM2047" s="23"/>
      <c r="AN2047" s="23"/>
      <c r="AO2047" s="23"/>
      <c r="AP2047" s="23"/>
      <c r="AQ2047" s="23"/>
      <c r="AR2047" s="23"/>
      <c r="AS2047" s="23"/>
      <c r="AT2047" s="23"/>
      <c r="AU2047" s="23"/>
      <c r="AV2047" s="23"/>
      <c r="AW2047" s="23"/>
      <c r="AX2047" s="23"/>
      <c r="AY2047" s="23"/>
      <c r="AZ2047" s="23"/>
      <c r="BA2047" s="23"/>
      <c r="BB2047" s="23"/>
    </row>
    <row r="2048" spans="5:54" x14ac:dyDescent="0.35"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  <c r="AA2048" s="23"/>
      <c r="AB2048" s="23"/>
      <c r="AC2048" s="23"/>
      <c r="AD2048" s="23"/>
      <c r="AE2048" s="23"/>
      <c r="AF2048" s="23"/>
      <c r="AG2048" s="23"/>
      <c r="AH2048" s="23"/>
      <c r="AI2048" s="23"/>
      <c r="AJ2048" s="23"/>
      <c r="AK2048" s="23"/>
      <c r="AL2048" s="23"/>
      <c r="AM2048" s="23"/>
      <c r="AN2048" s="23"/>
      <c r="AO2048" s="23"/>
      <c r="AP2048" s="23"/>
      <c r="AQ2048" s="23"/>
      <c r="AR2048" s="23"/>
      <c r="AS2048" s="23"/>
      <c r="AT2048" s="23"/>
      <c r="AU2048" s="23"/>
      <c r="AV2048" s="23"/>
      <c r="AW2048" s="23"/>
      <c r="AX2048" s="23"/>
      <c r="AY2048" s="23"/>
      <c r="AZ2048" s="23"/>
      <c r="BA2048" s="23"/>
      <c r="BB2048" s="23"/>
    </row>
    <row r="2049" spans="5:54" x14ac:dyDescent="0.35"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  <c r="AA2049" s="23"/>
      <c r="AB2049" s="23"/>
      <c r="AC2049" s="23"/>
      <c r="AD2049" s="23"/>
      <c r="AE2049" s="23"/>
      <c r="AF2049" s="23"/>
      <c r="AG2049" s="23"/>
      <c r="AH2049" s="23"/>
      <c r="AI2049" s="23"/>
      <c r="AJ2049" s="23"/>
      <c r="AK2049" s="23"/>
      <c r="AL2049" s="23"/>
      <c r="AM2049" s="23"/>
      <c r="AN2049" s="23"/>
      <c r="AO2049" s="23"/>
      <c r="AP2049" s="23"/>
      <c r="AQ2049" s="23"/>
      <c r="AR2049" s="23"/>
      <c r="AS2049" s="23"/>
      <c r="AT2049" s="23"/>
      <c r="AU2049" s="23"/>
      <c r="AV2049" s="23"/>
      <c r="AW2049" s="23"/>
      <c r="AX2049" s="23"/>
      <c r="AY2049" s="23"/>
      <c r="AZ2049" s="23"/>
      <c r="BA2049" s="23"/>
      <c r="BB2049" s="23"/>
    </row>
    <row r="2050" spans="5:54" x14ac:dyDescent="0.35"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  <c r="AA2050" s="23"/>
      <c r="AB2050" s="23"/>
      <c r="AC2050" s="23"/>
      <c r="AD2050" s="23"/>
      <c r="AE2050" s="23"/>
      <c r="AF2050" s="23"/>
      <c r="AG2050" s="23"/>
      <c r="AH2050" s="23"/>
      <c r="AI2050" s="23"/>
      <c r="AJ2050" s="23"/>
      <c r="AK2050" s="23"/>
      <c r="AL2050" s="23"/>
      <c r="AM2050" s="23"/>
      <c r="AN2050" s="23"/>
      <c r="AO2050" s="23"/>
      <c r="AP2050" s="23"/>
      <c r="AQ2050" s="23"/>
      <c r="AR2050" s="23"/>
      <c r="AS2050" s="23"/>
      <c r="AT2050" s="23"/>
      <c r="AU2050" s="23"/>
      <c r="AV2050" s="23"/>
      <c r="AW2050" s="23"/>
      <c r="AX2050" s="23"/>
      <c r="AY2050" s="23"/>
      <c r="AZ2050" s="23"/>
      <c r="BA2050" s="23"/>
      <c r="BB2050" s="23"/>
    </row>
    <row r="2051" spans="5:54" x14ac:dyDescent="0.35"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  <c r="AA2051" s="23"/>
      <c r="AB2051" s="23"/>
      <c r="AC2051" s="23"/>
      <c r="AD2051" s="23"/>
      <c r="AE2051" s="23"/>
      <c r="AF2051" s="23"/>
      <c r="AG2051" s="23"/>
      <c r="AH2051" s="23"/>
      <c r="AI2051" s="23"/>
      <c r="AJ2051" s="23"/>
      <c r="AK2051" s="23"/>
      <c r="AL2051" s="23"/>
      <c r="AM2051" s="23"/>
      <c r="AN2051" s="23"/>
      <c r="AO2051" s="23"/>
      <c r="AP2051" s="23"/>
      <c r="AQ2051" s="23"/>
      <c r="AR2051" s="23"/>
      <c r="AS2051" s="23"/>
      <c r="AT2051" s="23"/>
      <c r="AU2051" s="23"/>
      <c r="AV2051" s="23"/>
      <c r="AW2051" s="23"/>
      <c r="AX2051" s="23"/>
      <c r="AY2051" s="23"/>
      <c r="AZ2051" s="23"/>
      <c r="BA2051" s="23"/>
      <c r="BB2051" s="23"/>
    </row>
    <row r="2052" spans="5:54" x14ac:dyDescent="0.35"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  <c r="AA2052" s="23"/>
      <c r="AB2052" s="23"/>
      <c r="AC2052" s="23"/>
      <c r="AD2052" s="23"/>
      <c r="AE2052" s="23"/>
      <c r="AF2052" s="23"/>
      <c r="AG2052" s="23"/>
      <c r="AH2052" s="23"/>
      <c r="AI2052" s="23"/>
      <c r="AJ2052" s="23"/>
      <c r="AK2052" s="23"/>
      <c r="AL2052" s="23"/>
      <c r="AM2052" s="23"/>
      <c r="AN2052" s="23"/>
      <c r="AO2052" s="23"/>
      <c r="AP2052" s="23"/>
      <c r="AQ2052" s="23"/>
      <c r="AR2052" s="23"/>
      <c r="AS2052" s="23"/>
      <c r="AT2052" s="23"/>
      <c r="AU2052" s="23"/>
      <c r="AV2052" s="23"/>
      <c r="AW2052" s="23"/>
      <c r="AX2052" s="23"/>
      <c r="AY2052" s="23"/>
      <c r="AZ2052" s="23"/>
      <c r="BA2052" s="23"/>
      <c r="BB2052" s="23"/>
    </row>
    <row r="2053" spans="5:54" x14ac:dyDescent="0.35"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  <c r="AA2053" s="23"/>
      <c r="AB2053" s="23"/>
      <c r="AC2053" s="23"/>
      <c r="AD2053" s="23"/>
      <c r="AE2053" s="23"/>
      <c r="AF2053" s="23"/>
      <c r="AG2053" s="23"/>
      <c r="AH2053" s="23"/>
      <c r="AI2053" s="23"/>
      <c r="AJ2053" s="23"/>
      <c r="AK2053" s="23"/>
      <c r="AL2053" s="23"/>
      <c r="AM2053" s="23"/>
      <c r="AN2053" s="23"/>
      <c r="AO2053" s="23"/>
      <c r="AP2053" s="23"/>
      <c r="AQ2053" s="23"/>
      <c r="AR2053" s="23"/>
      <c r="AS2053" s="23"/>
      <c r="AT2053" s="23"/>
      <c r="AU2053" s="23"/>
      <c r="AV2053" s="23"/>
      <c r="AW2053" s="23"/>
      <c r="AX2053" s="23"/>
      <c r="AY2053" s="23"/>
      <c r="AZ2053" s="23"/>
      <c r="BA2053" s="23"/>
      <c r="BB2053" s="23"/>
    </row>
    <row r="2054" spans="5:54" x14ac:dyDescent="0.35"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  <c r="AA2054" s="23"/>
      <c r="AB2054" s="23"/>
      <c r="AC2054" s="23"/>
      <c r="AD2054" s="23"/>
      <c r="AE2054" s="23"/>
      <c r="AF2054" s="23"/>
      <c r="AG2054" s="23"/>
      <c r="AH2054" s="23"/>
      <c r="AI2054" s="23"/>
      <c r="AJ2054" s="23"/>
      <c r="AK2054" s="23"/>
      <c r="AL2054" s="23"/>
      <c r="AM2054" s="23"/>
      <c r="AN2054" s="23"/>
      <c r="AO2054" s="23"/>
      <c r="AP2054" s="23"/>
      <c r="AQ2054" s="23"/>
      <c r="AR2054" s="23"/>
      <c r="AS2054" s="23"/>
      <c r="AT2054" s="23"/>
      <c r="AU2054" s="23"/>
      <c r="AV2054" s="23"/>
      <c r="AW2054" s="23"/>
      <c r="AX2054" s="23"/>
      <c r="AY2054" s="23"/>
      <c r="AZ2054" s="23"/>
      <c r="BA2054" s="23"/>
      <c r="BB2054" s="23"/>
    </row>
    <row r="2055" spans="5:54" x14ac:dyDescent="0.35"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  <c r="AA2055" s="23"/>
      <c r="AB2055" s="23"/>
      <c r="AC2055" s="23"/>
      <c r="AD2055" s="23"/>
      <c r="AE2055" s="23"/>
      <c r="AF2055" s="23"/>
      <c r="AG2055" s="23"/>
      <c r="AH2055" s="23"/>
      <c r="AI2055" s="23"/>
      <c r="AJ2055" s="23"/>
      <c r="AK2055" s="23"/>
      <c r="AL2055" s="23"/>
      <c r="AM2055" s="23"/>
      <c r="AN2055" s="23"/>
      <c r="AO2055" s="23"/>
      <c r="AP2055" s="23"/>
      <c r="AQ2055" s="23"/>
      <c r="AR2055" s="23"/>
      <c r="AS2055" s="23"/>
      <c r="AT2055" s="23"/>
      <c r="AU2055" s="23"/>
      <c r="AV2055" s="23"/>
      <c r="AW2055" s="23"/>
      <c r="AX2055" s="23"/>
      <c r="AY2055" s="23"/>
      <c r="AZ2055" s="23"/>
      <c r="BA2055" s="23"/>
      <c r="BB2055" s="23"/>
    </row>
    <row r="2056" spans="5:54" x14ac:dyDescent="0.35"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  <c r="AA2056" s="23"/>
      <c r="AB2056" s="23"/>
      <c r="AC2056" s="23"/>
      <c r="AD2056" s="23"/>
      <c r="AE2056" s="23"/>
      <c r="AF2056" s="23"/>
      <c r="AG2056" s="23"/>
      <c r="AH2056" s="23"/>
      <c r="AI2056" s="23"/>
      <c r="AJ2056" s="23"/>
      <c r="AK2056" s="23"/>
      <c r="AL2056" s="23"/>
      <c r="AM2056" s="23"/>
      <c r="AN2056" s="23"/>
      <c r="AO2056" s="23"/>
      <c r="AP2056" s="23"/>
      <c r="AQ2056" s="23"/>
      <c r="AR2056" s="23"/>
      <c r="AS2056" s="23"/>
      <c r="AT2056" s="23"/>
      <c r="AU2056" s="23"/>
      <c r="AV2056" s="23"/>
      <c r="AW2056" s="23"/>
      <c r="AX2056" s="23"/>
      <c r="AY2056" s="23"/>
      <c r="AZ2056" s="23"/>
      <c r="BA2056" s="23"/>
      <c r="BB2056" s="23"/>
    </row>
    <row r="2057" spans="5:54" x14ac:dyDescent="0.35"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  <c r="AA2057" s="23"/>
      <c r="AB2057" s="23"/>
      <c r="AC2057" s="23"/>
      <c r="AD2057" s="23"/>
      <c r="AE2057" s="23"/>
      <c r="AF2057" s="23"/>
      <c r="AG2057" s="23"/>
      <c r="AH2057" s="23"/>
      <c r="AI2057" s="23"/>
      <c r="AJ2057" s="23"/>
      <c r="AK2057" s="23"/>
      <c r="AL2057" s="23"/>
      <c r="AM2057" s="23"/>
      <c r="AN2057" s="23"/>
      <c r="AO2057" s="23"/>
      <c r="AP2057" s="23"/>
      <c r="AQ2057" s="23"/>
      <c r="AR2057" s="23"/>
      <c r="AS2057" s="23"/>
      <c r="AT2057" s="23"/>
      <c r="AU2057" s="23"/>
      <c r="AV2057" s="23"/>
      <c r="AW2057" s="23"/>
      <c r="AX2057" s="23"/>
      <c r="AY2057" s="23"/>
      <c r="AZ2057" s="23"/>
      <c r="BA2057" s="23"/>
      <c r="BB2057" s="23"/>
    </row>
    <row r="2058" spans="5:54" x14ac:dyDescent="0.35"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  <c r="AA2058" s="23"/>
      <c r="AB2058" s="23"/>
      <c r="AC2058" s="23"/>
      <c r="AD2058" s="23"/>
      <c r="AE2058" s="23"/>
      <c r="AF2058" s="23"/>
      <c r="AG2058" s="23"/>
      <c r="AH2058" s="23"/>
      <c r="AI2058" s="23"/>
      <c r="AJ2058" s="23"/>
      <c r="AK2058" s="23"/>
      <c r="AL2058" s="23"/>
      <c r="AM2058" s="23"/>
      <c r="AN2058" s="23"/>
      <c r="AO2058" s="23"/>
      <c r="AP2058" s="23"/>
      <c r="AQ2058" s="23"/>
      <c r="AR2058" s="23"/>
      <c r="AS2058" s="23"/>
      <c r="AT2058" s="23"/>
      <c r="AU2058" s="23"/>
      <c r="AV2058" s="23"/>
      <c r="AW2058" s="23"/>
      <c r="AX2058" s="23"/>
      <c r="AY2058" s="23"/>
      <c r="AZ2058" s="23"/>
      <c r="BA2058" s="23"/>
      <c r="BB2058" s="23"/>
    </row>
    <row r="2059" spans="5:54" x14ac:dyDescent="0.35"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  <c r="AA2059" s="23"/>
      <c r="AB2059" s="23"/>
      <c r="AC2059" s="23"/>
      <c r="AD2059" s="23"/>
      <c r="AE2059" s="23"/>
      <c r="AF2059" s="23"/>
      <c r="AG2059" s="23"/>
      <c r="AH2059" s="23"/>
      <c r="AI2059" s="23"/>
      <c r="AJ2059" s="23"/>
      <c r="AK2059" s="23"/>
      <c r="AL2059" s="23"/>
      <c r="AM2059" s="23"/>
      <c r="AN2059" s="23"/>
      <c r="AO2059" s="23"/>
      <c r="AP2059" s="23"/>
      <c r="AQ2059" s="23"/>
      <c r="AR2059" s="23"/>
      <c r="AS2059" s="23"/>
      <c r="AT2059" s="23"/>
      <c r="AU2059" s="23"/>
      <c r="AV2059" s="23"/>
      <c r="AW2059" s="23"/>
      <c r="AX2059" s="23"/>
      <c r="AY2059" s="23"/>
      <c r="AZ2059" s="23"/>
      <c r="BA2059" s="23"/>
      <c r="BB2059" s="23"/>
    </row>
    <row r="2060" spans="5:54" x14ac:dyDescent="0.35"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  <c r="AA2060" s="23"/>
      <c r="AB2060" s="23"/>
      <c r="AC2060" s="23"/>
      <c r="AD2060" s="23"/>
      <c r="AE2060" s="23"/>
      <c r="AF2060" s="23"/>
      <c r="AG2060" s="23"/>
      <c r="AH2060" s="23"/>
      <c r="AI2060" s="23"/>
      <c r="AJ2060" s="23"/>
      <c r="AK2060" s="23"/>
      <c r="AL2060" s="23"/>
      <c r="AM2060" s="23"/>
      <c r="AN2060" s="23"/>
      <c r="AO2060" s="23"/>
      <c r="AP2060" s="23"/>
      <c r="AQ2060" s="23"/>
      <c r="AR2060" s="23"/>
      <c r="AS2060" s="23"/>
      <c r="AT2060" s="23"/>
      <c r="AU2060" s="23"/>
      <c r="AV2060" s="23"/>
      <c r="AW2060" s="23"/>
      <c r="AX2060" s="23"/>
      <c r="AY2060" s="23"/>
      <c r="AZ2060" s="23"/>
      <c r="BA2060" s="23"/>
      <c r="BB2060" s="23"/>
    </row>
    <row r="2061" spans="5:54" x14ac:dyDescent="0.35"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  <c r="AA2061" s="23"/>
      <c r="AB2061" s="23"/>
      <c r="AC2061" s="23"/>
      <c r="AD2061" s="23"/>
      <c r="AE2061" s="23"/>
      <c r="AF2061" s="23"/>
      <c r="AG2061" s="23"/>
      <c r="AH2061" s="23"/>
      <c r="AI2061" s="23"/>
      <c r="AJ2061" s="23"/>
      <c r="AK2061" s="23"/>
      <c r="AL2061" s="23"/>
      <c r="AM2061" s="23"/>
      <c r="AN2061" s="23"/>
      <c r="AO2061" s="23"/>
      <c r="AP2061" s="23"/>
      <c r="AQ2061" s="23"/>
      <c r="AR2061" s="23"/>
      <c r="AS2061" s="23"/>
      <c r="AT2061" s="23"/>
      <c r="AU2061" s="23"/>
      <c r="AV2061" s="23"/>
      <c r="AW2061" s="23"/>
      <c r="AX2061" s="23"/>
      <c r="AY2061" s="23"/>
      <c r="AZ2061" s="23"/>
      <c r="BA2061" s="23"/>
      <c r="BB2061" s="23"/>
    </row>
    <row r="2062" spans="5:54" x14ac:dyDescent="0.35"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  <c r="AA2062" s="23"/>
      <c r="AB2062" s="23"/>
      <c r="AC2062" s="23"/>
      <c r="AD2062" s="23"/>
      <c r="AE2062" s="23"/>
      <c r="AF2062" s="23"/>
      <c r="AG2062" s="23"/>
      <c r="AH2062" s="23"/>
      <c r="AI2062" s="23"/>
      <c r="AJ2062" s="23"/>
      <c r="AK2062" s="23"/>
      <c r="AL2062" s="23"/>
      <c r="AM2062" s="23"/>
      <c r="AN2062" s="23"/>
      <c r="AO2062" s="23"/>
      <c r="AP2062" s="23"/>
      <c r="AQ2062" s="23"/>
      <c r="AR2062" s="23"/>
      <c r="AS2062" s="23"/>
      <c r="AT2062" s="23"/>
      <c r="AU2062" s="23"/>
      <c r="AV2062" s="23"/>
      <c r="AW2062" s="23"/>
      <c r="AX2062" s="23"/>
      <c r="AY2062" s="23"/>
      <c r="AZ2062" s="23"/>
      <c r="BA2062" s="23"/>
      <c r="BB2062" s="23"/>
    </row>
    <row r="2063" spans="5:54" x14ac:dyDescent="0.35"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  <c r="AA2063" s="23"/>
      <c r="AB2063" s="23"/>
      <c r="AC2063" s="23"/>
      <c r="AD2063" s="23"/>
      <c r="AE2063" s="23"/>
      <c r="AF2063" s="23"/>
      <c r="AG2063" s="23"/>
      <c r="AH2063" s="23"/>
      <c r="AI2063" s="23"/>
      <c r="AJ2063" s="23"/>
      <c r="AK2063" s="23"/>
      <c r="AL2063" s="23"/>
      <c r="AM2063" s="23"/>
      <c r="AN2063" s="23"/>
      <c r="AO2063" s="23"/>
      <c r="AP2063" s="23"/>
      <c r="AQ2063" s="23"/>
      <c r="AR2063" s="23"/>
      <c r="AS2063" s="23"/>
      <c r="AT2063" s="23"/>
      <c r="AU2063" s="23"/>
      <c r="AV2063" s="23"/>
      <c r="AW2063" s="23"/>
      <c r="AX2063" s="23"/>
      <c r="AY2063" s="23"/>
      <c r="AZ2063" s="23"/>
      <c r="BA2063" s="23"/>
      <c r="BB2063" s="23"/>
    </row>
    <row r="2064" spans="5:54" x14ac:dyDescent="0.35"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  <c r="AA2064" s="23"/>
      <c r="AB2064" s="23"/>
      <c r="AC2064" s="23"/>
      <c r="AD2064" s="23"/>
      <c r="AE2064" s="23"/>
      <c r="AF2064" s="23"/>
      <c r="AG2064" s="23"/>
      <c r="AH2064" s="23"/>
      <c r="AI2064" s="23"/>
      <c r="AJ2064" s="23"/>
      <c r="AK2064" s="23"/>
      <c r="AL2064" s="23"/>
      <c r="AM2064" s="23"/>
      <c r="AN2064" s="23"/>
      <c r="AO2064" s="23"/>
      <c r="AP2064" s="23"/>
      <c r="AQ2064" s="23"/>
      <c r="AR2064" s="23"/>
      <c r="AS2064" s="23"/>
      <c r="AT2064" s="23"/>
      <c r="AU2064" s="23"/>
      <c r="AV2064" s="23"/>
      <c r="AW2064" s="23"/>
      <c r="AX2064" s="23"/>
      <c r="AY2064" s="23"/>
      <c r="AZ2064" s="23"/>
      <c r="BA2064" s="23"/>
      <c r="BB2064" s="23"/>
    </row>
    <row r="2065" spans="5:54" x14ac:dyDescent="0.35"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  <c r="AA2065" s="23"/>
      <c r="AB2065" s="23"/>
      <c r="AC2065" s="23"/>
      <c r="AD2065" s="23"/>
      <c r="AE2065" s="23"/>
      <c r="AF2065" s="23"/>
      <c r="AG2065" s="23"/>
      <c r="AH2065" s="23"/>
      <c r="AI2065" s="23"/>
      <c r="AJ2065" s="23"/>
      <c r="AK2065" s="23"/>
      <c r="AL2065" s="23"/>
      <c r="AM2065" s="23"/>
      <c r="AN2065" s="23"/>
      <c r="AO2065" s="23"/>
      <c r="AP2065" s="23"/>
      <c r="AQ2065" s="23"/>
      <c r="AR2065" s="23"/>
      <c r="AS2065" s="23"/>
      <c r="AT2065" s="23"/>
      <c r="AU2065" s="23"/>
      <c r="AV2065" s="23"/>
      <c r="AW2065" s="23"/>
      <c r="AX2065" s="23"/>
      <c r="AY2065" s="23"/>
      <c r="AZ2065" s="23"/>
      <c r="BA2065" s="23"/>
      <c r="BB2065" s="23"/>
    </row>
    <row r="2066" spans="5:54" x14ac:dyDescent="0.35"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  <c r="AA2066" s="23"/>
      <c r="AB2066" s="23"/>
      <c r="AC2066" s="23"/>
      <c r="AD2066" s="23"/>
      <c r="AE2066" s="23"/>
      <c r="AF2066" s="23"/>
      <c r="AG2066" s="23"/>
      <c r="AH2066" s="23"/>
      <c r="AI2066" s="23"/>
      <c r="AJ2066" s="23"/>
      <c r="AK2066" s="23"/>
      <c r="AL2066" s="23"/>
      <c r="AM2066" s="23"/>
      <c r="AN2066" s="23"/>
      <c r="AO2066" s="23"/>
      <c r="AP2066" s="23"/>
      <c r="AQ2066" s="23"/>
      <c r="AR2066" s="23"/>
      <c r="AS2066" s="23"/>
      <c r="AT2066" s="23"/>
      <c r="AU2066" s="23"/>
      <c r="AV2066" s="23"/>
      <c r="AW2066" s="23"/>
      <c r="AX2066" s="23"/>
      <c r="AY2066" s="23"/>
      <c r="AZ2066" s="23"/>
      <c r="BA2066" s="23"/>
      <c r="BB2066" s="23"/>
    </row>
    <row r="2067" spans="5:54" x14ac:dyDescent="0.35"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  <c r="AA2067" s="23"/>
      <c r="AB2067" s="23"/>
      <c r="AC2067" s="23"/>
      <c r="AD2067" s="23"/>
      <c r="AE2067" s="23"/>
      <c r="AF2067" s="23"/>
      <c r="AG2067" s="23"/>
      <c r="AH2067" s="23"/>
      <c r="AI2067" s="23"/>
      <c r="AJ2067" s="23"/>
      <c r="AK2067" s="23"/>
      <c r="AL2067" s="23"/>
      <c r="AM2067" s="23"/>
      <c r="AN2067" s="23"/>
      <c r="AO2067" s="23"/>
      <c r="AP2067" s="23"/>
      <c r="AQ2067" s="23"/>
      <c r="AR2067" s="23"/>
      <c r="AS2067" s="23"/>
      <c r="AT2067" s="23"/>
      <c r="AU2067" s="23"/>
      <c r="AV2067" s="23"/>
      <c r="AW2067" s="23"/>
      <c r="AX2067" s="23"/>
      <c r="AY2067" s="23"/>
      <c r="AZ2067" s="23"/>
      <c r="BA2067" s="23"/>
      <c r="BB2067" s="23"/>
    </row>
    <row r="2068" spans="5:54" x14ac:dyDescent="0.35"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  <c r="AA2068" s="23"/>
      <c r="AB2068" s="23"/>
      <c r="AC2068" s="23"/>
      <c r="AD2068" s="23"/>
      <c r="AE2068" s="23"/>
      <c r="AF2068" s="23"/>
      <c r="AG2068" s="23"/>
      <c r="AH2068" s="23"/>
      <c r="AI2068" s="23"/>
      <c r="AJ2068" s="23"/>
      <c r="AK2068" s="23"/>
      <c r="AL2068" s="23"/>
      <c r="AM2068" s="23"/>
      <c r="AN2068" s="23"/>
      <c r="AO2068" s="23"/>
      <c r="AP2068" s="23"/>
      <c r="AQ2068" s="23"/>
      <c r="AR2068" s="23"/>
      <c r="AS2068" s="23"/>
      <c r="AT2068" s="23"/>
      <c r="AU2068" s="23"/>
      <c r="AV2068" s="23"/>
      <c r="AW2068" s="23"/>
      <c r="AX2068" s="23"/>
      <c r="AY2068" s="23"/>
      <c r="AZ2068" s="23"/>
      <c r="BA2068" s="23"/>
      <c r="BB2068" s="23"/>
    </row>
    <row r="2069" spans="5:54" x14ac:dyDescent="0.35"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  <c r="AA2069" s="23"/>
      <c r="AB2069" s="23"/>
      <c r="AC2069" s="23"/>
      <c r="AD2069" s="23"/>
      <c r="AE2069" s="23"/>
      <c r="AF2069" s="23"/>
      <c r="AG2069" s="23"/>
      <c r="AH2069" s="23"/>
      <c r="AI2069" s="23"/>
      <c r="AJ2069" s="23"/>
      <c r="AK2069" s="23"/>
      <c r="AL2069" s="23"/>
      <c r="AM2069" s="23"/>
      <c r="AN2069" s="23"/>
      <c r="AO2069" s="23"/>
      <c r="AP2069" s="23"/>
      <c r="AQ2069" s="23"/>
      <c r="AR2069" s="23"/>
      <c r="AS2069" s="23"/>
      <c r="AT2069" s="23"/>
      <c r="AU2069" s="23"/>
      <c r="AV2069" s="23"/>
      <c r="AW2069" s="23"/>
      <c r="AX2069" s="23"/>
      <c r="AY2069" s="23"/>
      <c r="AZ2069" s="23"/>
      <c r="BA2069" s="23"/>
      <c r="BB2069" s="23"/>
    </row>
    <row r="2070" spans="5:54" x14ac:dyDescent="0.35"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  <c r="AA2070" s="23"/>
      <c r="AB2070" s="23"/>
      <c r="AC2070" s="23"/>
      <c r="AD2070" s="23"/>
      <c r="AE2070" s="23"/>
      <c r="AF2070" s="23"/>
      <c r="AG2070" s="23"/>
      <c r="AH2070" s="23"/>
      <c r="AI2070" s="23"/>
      <c r="AJ2070" s="23"/>
      <c r="AK2070" s="23"/>
      <c r="AL2070" s="23"/>
      <c r="AM2070" s="23"/>
      <c r="AN2070" s="23"/>
      <c r="AO2070" s="23"/>
      <c r="AP2070" s="23"/>
      <c r="AQ2070" s="23"/>
      <c r="AR2070" s="23"/>
      <c r="AS2070" s="23"/>
      <c r="AT2070" s="23"/>
      <c r="AU2070" s="23"/>
      <c r="AV2070" s="23"/>
      <c r="AW2070" s="23"/>
      <c r="AX2070" s="23"/>
      <c r="AY2070" s="23"/>
      <c r="AZ2070" s="23"/>
      <c r="BA2070" s="23"/>
      <c r="BB2070" s="23"/>
    </row>
    <row r="2071" spans="5:54" x14ac:dyDescent="0.35"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  <c r="AA2071" s="23"/>
      <c r="AB2071" s="23"/>
      <c r="AC2071" s="23"/>
      <c r="AD2071" s="23"/>
      <c r="AE2071" s="23"/>
      <c r="AF2071" s="23"/>
      <c r="AG2071" s="23"/>
      <c r="AH2071" s="23"/>
      <c r="AI2071" s="23"/>
      <c r="AJ2071" s="23"/>
      <c r="AK2071" s="23"/>
      <c r="AL2071" s="23"/>
      <c r="AM2071" s="23"/>
      <c r="AN2071" s="23"/>
      <c r="AO2071" s="23"/>
      <c r="AP2071" s="23"/>
      <c r="AQ2071" s="23"/>
      <c r="AR2071" s="23"/>
      <c r="AS2071" s="23"/>
      <c r="AT2071" s="23"/>
      <c r="AU2071" s="23"/>
      <c r="AV2071" s="23"/>
      <c r="AW2071" s="23"/>
      <c r="AX2071" s="23"/>
      <c r="AY2071" s="23"/>
      <c r="AZ2071" s="23"/>
      <c r="BA2071" s="23"/>
      <c r="BB2071" s="23"/>
    </row>
    <row r="2072" spans="5:54" x14ac:dyDescent="0.35"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  <c r="AA2072" s="23"/>
      <c r="AB2072" s="23"/>
      <c r="AC2072" s="23"/>
      <c r="AD2072" s="23"/>
      <c r="AE2072" s="23"/>
      <c r="AF2072" s="23"/>
      <c r="AG2072" s="23"/>
      <c r="AH2072" s="23"/>
      <c r="AI2072" s="23"/>
      <c r="AJ2072" s="23"/>
      <c r="AK2072" s="23"/>
      <c r="AL2072" s="23"/>
      <c r="AM2072" s="23"/>
      <c r="AN2072" s="23"/>
      <c r="AO2072" s="23"/>
      <c r="AP2072" s="23"/>
      <c r="AQ2072" s="23"/>
      <c r="AR2072" s="23"/>
      <c r="AS2072" s="23"/>
      <c r="AT2072" s="23"/>
      <c r="AU2072" s="23"/>
      <c r="AV2072" s="23"/>
      <c r="AW2072" s="23"/>
      <c r="AX2072" s="23"/>
      <c r="AY2072" s="23"/>
      <c r="AZ2072" s="23"/>
      <c r="BA2072" s="23"/>
      <c r="BB2072" s="23"/>
    </row>
    <row r="2073" spans="5:54" x14ac:dyDescent="0.35"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  <c r="AA2073" s="23"/>
      <c r="AB2073" s="23"/>
      <c r="AC2073" s="23"/>
      <c r="AD2073" s="23"/>
      <c r="AE2073" s="23"/>
      <c r="AF2073" s="23"/>
      <c r="AG2073" s="23"/>
      <c r="AH2073" s="23"/>
      <c r="AI2073" s="23"/>
      <c r="AJ2073" s="23"/>
      <c r="AK2073" s="23"/>
      <c r="AL2073" s="23"/>
      <c r="AM2073" s="23"/>
      <c r="AN2073" s="23"/>
      <c r="AO2073" s="23"/>
      <c r="AP2073" s="23"/>
      <c r="AQ2073" s="23"/>
      <c r="AR2073" s="23"/>
      <c r="AS2073" s="23"/>
      <c r="AT2073" s="23"/>
      <c r="AU2073" s="23"/>
      <c r="AV2073" s="23"/>
      <c r="AW2073" s="23"/>
      <c r="AX2073" s="23"/>
      <c r="AY2073" s="23"/>
      <c r="AZ2073" s="23"/>
      <c r="BA2073" s="23"/>
      <c r="BB2073" s="23"/>
    </row>
    <row r="2074" spans="5:54" x14ac:dyDescent="0.35"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  <c r="AA2074" s="23"/>
      <c r="AB2074" s="23"/>
      <c r="AC2074" s="23"/>
      <c r="AD2074" s="23"/>
      <c r="AE2074" s="23"/>
      <c r="AF2074" s="23"/>
      <c r="AG2074" s="23"/>
      <c r="AH2074" s="23"/>
      <c r="AI2074" s="23"/>
      <c r="AJ2074" s="23"/>
      <c r="AK2074" s="23"/>
      <c r="AL2074" s="23"/>
      <c r="AM2074" s="23"/>
      <c r="AN2074" s="23"/>
      <c r="AO2074" s="23"/>
      <c r="AP2074" s="23"/>
      <c r="AQ2074" s="23"/>
      <c r="AR2074" s="23"/>
      <c r="AS2074" s="23"/>
      <c r="AT2074" s="23"/>
      <c r="AU2074" s="23"/>
      <c r="AV2074" s="23"/>
      <c r="AW2074" s="23"/>
      <c r="AX2074" s="23"/>
      <c r="AY2074" s="23"/>
      <c r="AZ2074" s="23"/>
      <c r="BA2074" s="23"/>
      <c r="BB2074" s="23"/>
    </row>
    <row r="2075" spans="5:54" x14ac:dyDescent="0.35"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  <c r="AA2075" s="23"/>
      <c r="AB2075" s="23"/>
      <c r="AC2075" s="23"/>
      <c r="AD2075" s="23"/>
      <c r="AE2075" s="23"/>
      <c r="AF2075" s="23"/>
      <c r="AG2075" s="23"/>
      <c r="AH2075" s="23"/>
      <c r="AI2075" s="23"/>
      <c r="AJ2075" s="23"/>
      <c r="AK2075" s="23"/>
      <c r="AL2075" s="23"/>
      <c r="AM2075" s="23"/>
      <c r="AN2075" s="23"/>
      <c r="AO2075" s="23"/>
      <c r="AP2075" s="23"/>
      <c r="AQ2075" s="23"/>
      <c r="AR2075" s="23"/>
      <c r="AS2075" s="23"/>
      <c r="AT2075" s="23"/>
      <c r="AU2075" s="23"/>
      <c r="AV2075" s="23"/>
      <c r="AW2075" s="23"/>
      <c r="AX2075" s="23"/>
      <c r="AY2075" s="23"/>
      <c r="AZ2075" s="23"/>
      <c r="BA2075" s="23"/>
      <c r="BB2075" s="23"/>
    </row>
    <row r="2076" spans="5:54" x14ac:dyDescent="0.35"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  <c r="AA2076" s="23"/>
      <c r="AB2076" s="23"/>
      <c r="AC2076" s="23"/>
      <c r="AD2076" s="23"/>
      <c r="AE2076" s="23"/>
      <c r="AF2076" s="23"/>
      <c r="AG2076" s="23"/>
      <c r="AH2076" s="23"/>
      <c r="AI2076" s="23"/>
      <c r="AJ2076" s="23"/>
      <c r="AK2076" s="23"/>
      <c r="AL2076" s="23"/>
      <c r="AM2076" s="23"/>
      <c r="AN2076" s="23"/>
      <c r="AO2076" s="23"/>
      <c r="AP2076" s="23"/>
      <c r="AQ2076" s="23"/>
      <c r="AR2076" s="23"/>
      <c r="AS2076" s="23"/>
      <c r="AT2076" s="23"/>
      <c r="AU2076" s="23"/>
      <c r="AV2076" s="23"/>
      <c r="AW2076" s="23"/>
      <c r="AX2076" s="23"/>
      <c r="AY2076" s="23"/>
      <c r="AZ2076" s="23"/>
      <c r="BA2076" s="23"/>
      <c r="BB2076" s="23"/>
    </row>
    <row r="2077" spans="5:54" x14ac:dyDescent="0.35"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  <c r="AA2077" s="23"/>
      <c r="AB2077" s="23"/>
      <c r="AC2077" s="23"/>
      <c r="AD2077" s="23"/>
      <c r="AE2077" s="23"/>
      <c r="AF2077" s="23"/>
      <c r="AG2077" s="23"/>
      <c r="AH2077" s="23"/>
      <c r="AI2077" s="23"/>
      <c r="AJ2077" s="23"/>
      <c r="AK2077" s="23"/>
      <c r="AL2077" s="23"/>
      <c r="AM2077" s="23"/>
      <c r="AN2077" s="23"/>
      <c r="AO2077" s="23"/>
      <c r="AP2077" s="23"/>
      <c r="AQ2077" s="23"/>
      <c r="AR2077" s="23"/>
      <c r="AS2077" s="23"/>
      <c r="AT2077" s="23"/>
      <c r="AU2077" s="23"/>
      <c r="AV2077" s="23"/>
      <c r="AW2077" s="23"/>
      <c r="AX2077" s="23"/>
      <c r="AY2077" s="23"/>
      <c r="AZ2077" s="23"/>
      <c r="BA2077" s="23"/>
      <c r="BB2077" s="23"/>
    </row>
    <row r="2078" spans="5:54" x14ac:dyDescent="0.35"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  <c r="AA2078" s="23"/>
      <c r="AB2078" s="23"/>
      <c r="AC2078" s="23"/>
      <c r="AD2078" s="23"/>
      <c r="AE2078" s="23"/>
      <c r="AF2078" s="23"/>
      <c r="AG2078" s="23"/>
      <c r="AH2078" s="23"/>
      <c r="AI2078" s="23"/>
      <c r="AJ2078" s="23"/>
      <c r="AK2078" s="23"/>
      <c r="AL2078" s="23"/>
      <c r="AM2078" s="23"/>
      <c r="AN2078" s="23"/>
      <c r="AO2078" s="23"/>
      <c r="AP2078" s="23"/>
      <c r="AQ2078" s="23"/>
      <c r="AR2078" s="23"/>
      <c r="AS2078" s="23"/>
      <c r="AT2078" s="23"/>
      <c r="AU2078" s="23"/>
      <c r="AV2078" s="23"/>
      <c r="AW2078" s="23"/>
      <c r="AX2078" s="23"/>
      <c r="AY2078" s="23"/>
      <c r="AZ2078" s="23"/>
      <c r="BA2078" s="23"/>
      <c r="BB2078" s="23"/>
    </row>
    <row r="2079" spans="5:54" x14ac:dyDescent="0.35"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  <c r="AA2079" s="23"/>
      <c r="AB2079" s="23"/>
      <c r="AC2079" s="23"/>
      <c r="AD2079" s="23"/>
      <c r="AE2079" s="23"/>
      <c r="AF2079" s="23"/>
      <c r="AG2079" s="23"/>
      <c r="AH2079" s="23"/>
      <c r="AI2079" s="23"/>
      <c r="AJ2079" s="23"/>
      <c r="AK2079" s="23"/>
      <c r="AL2079" s="23"/>
      <c r="AM2079" s="23"/>
      <c r="AN2079" s="23"/>
      <c r="AO2079" s="23"/>
      <c r="AP2079" s="23"/>
      <c r="AQ2079" s="23"/>
      <c r="AR2079" s="23"/>
      <c r="AS2079" s="23"/>
      <c r="AT2079" s="23"/>
      <c r="AU2079" s="23"/>
      <c r="AV2079" s="23"/>
      <c r="AW2079" s="23"/>
      <c r="AX2079" s="23"/>
      <c r="AY2079" s="23"/>
      <c r="AZ2079" s="23"/>
      <c r="BA2079" s="23"/>
      <c r="BB2079" s="23"/>
    </row>
    <row r="2080" spans="5:54" x14ac:dyDescent="0.35"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  <c r="AA2080" s="23"/>
      <c r="AB2080" s="23"/>
      <c r="AC2080" s="23"/>
      <c r="AD2080" s="23"/>
      <c r="AE2080" s="23"/>
      <c r="AF2080" s="23"/>
      <c r="AG2080" s="23"/>
      <c r="AH2080" s="23"/>
      <c r="AI2080" s="23"/>
      <c r="AJ2080" s="23"/>
      <c r="AK2080" s="23"/>
      <c r="AL2080" s="23"/>
      <c r="AM2080" s="23"/>
      <c r="AN2080" s="23"/>
      <c r="AO2080" s="23"/>
      <c r="AP2080" s="23"/>
      <c r="AQ2080" s="23"/>
      <c r="AR2080" s="23"/>
      <c r="AS2080" s="23"/>
      <c r="AT2080" s="23"/>
      <c r="AU2080" s="23"/>
      <c r="AV2080" s="23"/>
      <c r="AW2080" s="23"/>
      <c r="AX2080" s="23"/>
      <c r="AY2080" s="23"/>
      <c r="AZ2080" s="23"/>
      <c r="BA2080" s="23"/>
      <c r="BB2080" s="23"/>
    </row>
    <row r="2081" spans="5:54" x14ac:dyDescent="0.35"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  <c r="AA2081" s="23"/>
      <c r="AB2081" s="23"/>
      <c r="AC2081" s="23"/>
      <c r="AD2081" s="23"/>
      <c r="AE2081" s="23"/>
      <c r="AF2081" s="23"/>
      <c r="AG2081" s="23"/>
      <c r="AH2081" s="23"/>
      <c r="AI2081" s="23"/>
      <c r="AJ2081" s="23"/>
      <c r="AK2081" s="23"/>
      <c r="AL2081" s="23"/>
      <c r="AM2081" s="23"/>
      <c r="AN2081" s="23"/>
      <c r="AO2081" s="23"/>
      <c r="AP2081" s="23"/>
      <c r="AQ2081" s="23"/>
      <c r="AR2081" s="23"/>
      <c r="AS2081" s="23"/>
      <c r="AT2081" s="23"/>
      <c r="AU2081" s="23"/>
      <c r="AV2081" s="23"/>
      <c r="AW2081" s="23"/>
      <c r="AX2081" s="23"/>
      <c r="AY2081" s="23"/>
      <c r="AZ2081" s="23"/>
      <c r="BA2081" s="23"/>
      <c r="BB2081" s="23"/>
    </row>
    <row r="2082" spans="5:54" x14ac:dyDescent="0.35"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  <c r="AA2082" s="23"/>
      <c r="AB2082" s="23"/>
      <c r="AC2082" s="23"/>
      <c r="AD2082" s="23"/>
      <c r="AE2082" s="23"/>
      <c r="AF2082" s="23"/>
      <c r="AG2082" s="23"/>
      <c r="AH2082" s="23"/>
      <c r="AI2082" s="23"/>
      <c r="AJ2082" s="23"/>
      <c r="AK2082" s="23"/>
      <c r="AL2082" s="23"/>
      <c r="AM2082" s="23"/>
      <c r="AN2082" s="23"/>
      <c r="AO2082" s="23"/>
      <c r="AP2082" s="23"/>
      <c r="AQ2082" s="23"/>
      <c r="AR2082" s="23"/>
      <c r="AS2082" s="23"/>
      <c r="AT2082" s="23"/>
      <c r="AU2082" s="23"/>
      <c r="AV2082" s="23"/>
      <c r="AW2082" s="23"/>
      <c r="AX2082" s="23"/>
      <c r="AY2082" s="23"/>
      <c r="AZ2082" s="23"/>
      <c r="BA2082" s="23"/>
      <c r="BB2082" s="23"/>
    </row>
    <row r="2083" spans="5:54" x14ac:dyDescent="0.35"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  <c r="AA2083" s="23"/>
      <c r="AB2083" s="23"/>
      <c r="AC2083" s="23"/>
      <c r="AD2083" s="23"/>
      <c r="AE2083" s="23"/>
      <c r="AF2083" s="23"/>
      <c r="AG2083" s="23"/>
      <c r="AH2083" s="23"/>
      <c r="AI2083" s="23"/>
      <c r="AJ2083" s="23"/>
      <c r="AK2083" s="23"/>
      <c r="AL2083" s="23"/>
      <c r="AM2083" s="23"/>
      <c r="AN2083" s="23"/>
      <c r="AO2083" s="23"/>
      <c r="AP2083" s="23"/>
      <c r="AQ2083" s="23"/>
      <c r="AR2083" s="23"/>
      <c r="AS2083" s="23"/>
      <c r="AT2083" s="23"/>
      <c r="AU2083" s="23"/>
      <c r="AV2083" s="23"/>
      <c r="AW2083" s="23"/>
      <c r="AX2083" s="23"/>
      <c r="AY2083" s="23"/>
      <c r="AZ2083" s="23"/>
      <c r="BA2083" s="23"/>
      <c r="BB2083" s="23"/>
    </row>
    <row r="2084" spans="5:54" x14ac:dyDescent="0.35"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  <c r="AA2084" s="23"/>
      <c r="AB2084" s="23"/>
      <c r="AC2084" s="23"/>
      <c r="AD2084" s="23"/>
      <c r="AE2084" s="23"/>
      <c r="AF2084" s="23"/>
      <c r="AG2084" s="23"/>
      <c r="AH2084" s="23"/>
      <c r="AI2084" s="23"/>
      <c r="AJ2084" s="23"/>
      <c r="AK2084" s="23"/>
      <c r="AL2084" s="23"/>
      <c r="AM2084" s="23"/>
      <c r="AN2084" s="23"/>
      <c r="AO2084" s="23"/>
      <c r="AP2084" s="23"/>
      <c r="AQ2084" s="23"/>
      <c r="AR2084" s="23"/>
      <c r="AS2084" s="23"/>
      <c r="AT2084" s="23"/>
      <c r="AU2084" s="23"/>
      <c r="AV2084" s="23"/>
      <c r="AW2084" s="23"/>
      <c r="AX2084" s="23"/>
      <c r="AY2084" s="23"/>
      <c r="AZ2084" s="23"/>
      <c r="BA2084" s="23"/>
      <c r="BB2084" s="23"/>
    </row>
    <row r="2085" spans="5:54" x14ac:dyDescent="0.35"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  <c r="AA2085" s="23"/>
      <c r="AB2085" s="23"/>
      <c r="AC2085" s="23"/>
      <c r="AD2085" s="23"/>
      <c r="AE2085" s="23"/>
      <c r="AF2085" s="23"/>
      <c r="AG2085" s="23"/>
      <c r="AH2085" s="23"/>
      <c r="AI2085" s="23"/>
      <c r="AJ2085" s="23"/>
      <c r="AK2085" s="23"/>
      <c r="AL2085" s="23"/>
      <c r="AM2085" s="23"/>
      <c r="AN2085" s="23"/>
      <c r="AO2085" s="23"/>
      <c r="AP2085" s="23"/>
      <c r="AQ2085" s="23"/>
      <c r="AR2085" s="23"/>
      <c r="AS2085" s="23"/>
      <c r="AT2085" s="23"/>
      <c r="AU2085" s="23"/>
      <c r="AV2085" s="23"/>
      <c r="AW2085" s="23"/>
      <c r="AX2085" s="23"/>
      <c r="AY2085" s="23"/>
      <c r="AZ2085" s="23"/>
      <c r="BA2085" s="23"/>
      <c r="BB2085" s="23"/>
    </row>
    <row r="2086" spans="5:54" x14ac:dyDescent="0.35"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  <c r="AA2086" s="23"/>
      <c r="AB2086" s="23"/>
      <c r="AC2086" s="23"/>
      <c r="AD2086" s="23"/>
      <c r="AE2086" s="23"/>
      <c r="AF2086" s="23"/>
      <c r="AG2086" s="23"/>
      <c r="AH2086" s="23"/>
      <c r="AI2086" s="23"/>
      <c r="AJ2086" s="23"/>
      <c r="AK2086" s="23"/>
      <c r="AL2086" s="23"/>
      <c r="AM2086" s="23"/>
      <c r="AN2086" s="23"/>
      <c r="AO2086" s="23"/>
      <c r="AP2086" s="23"/>
      <c r="AQ2086" s="23"/>
      <c r="AR2086" s="23"/>
      <c r="AS2086" s="23"/>
      <c r="AT2086" s="23"/>
      <c r="AU2086" s="23"/>
      <c r="AV2086" s="23"/>
      <c r="AW2086" s="23"/>
      <c r="AX2086" s="23"/>
      <c r="AY2086" s="23"/>
      <c r="AZ2086" s="23"/>
      <c r="BA2086" s="23"/>
      <c r="BB2086" s="23"/>
    </row>
    <row r="2087" spans="5:54" x14ac:dyDescent="0.35"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  <c r="AA2087" s="23"/>
      <c r="AB2087" s="23"/>
      <c r="AC2087" s="23"/>
      <c r="AD2087" s="23"/>
      <c r="AE2087" s="23"/>
      <c r="AF2087" s="23"/>
      <c r="AG2087" s="23"/>
      <c r="AH2087" s="23"/>
      <c r="AI2087" s="23"/>
      <c r="AJ2087" s="23"/>
      <c r="AK2087" s="23"/>
      <c r="AL2087" s="23"/>
      <c r="AM2087" s="23"/>
      <c r="AN2087" s="23"/>
      <c r="AO2087" s="23"/>
      <c r="AP2087" s="23"/>
      <c r="AQ2087" s="23"/>
      <c r="AR2087" s="23"/>
      <c r="AS2087" s="23"/>
      <c r="AT2087" s="23"/>
      <c r="AU2087" s="23"/>
      <c r="AV2087" s="23"/>
      <c r="AW2087" s="23"/>
      <c r="AX2087" s="23"/>
      <c r="AY2087" s="23"/>
      <c r="AZ2087" s="23"/>
      <c r="BA2087" s="23"/>
      <c r="BB2087" s="23"/>
    </row>
    <row r="2088" spans="5:54" x14ac:dyDescent="0.35"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  <c r="AA2088" s="23"/>
      <c r="AB2088" s="23"/>
      <c r="AC2088" s="23"/>
      <c r="AD2088" s="23"/>
      <c r="AE2088" s="23"/>
      <c r="AF2088" s="23"/>
      <c r="AG2088" s="23"/>
      <c r="AH2088" s="23"/>
      <c r="AI2088" s="23"/>
      <c r="AJ2088" s="23"/>
      <c r="AK2088" s="23"/>
      <c r="AL2088" s="23"/>
      <c r="AM2088" s="23"/>
      <c r="AN2088" s="23"/>
      <c r="AO2088" s="23"/>
      <c r="AP2088" s="23"/>
      <c r="AQ2088" s="23"/>
      <c r="AR2088" s="23"/>
      <c r="AS2088" s="23"/>
      <c r="AT2088" s="23"/>
      <c r="AU2088" s="23"/>
      <c r="AV2088" s="23"/>
      <c r="AW2088" s="23"/>
      <c r="AX2088" s="23"/>
      <c r="AY2088" s="23"/>
      <c r="AZ2088" s="23"/>
      <c r="BA2088" s="23"/>
      <c r="BB2088" s="23"/>
    </row>
    <row r="2089" spans="5:54" x14ac:dyDescent="0.35"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  <c r="AA2089" s="23"/>
      <c r="AB2089" s="23"/>
      <c r="AC2089" s="23"/>
      <c r="AD2089" s="23"/>
      <c r="AE2089" s="23"/>
      <c r="AF2089" s="23"/>
      <c r="AG2089" s="23"/>
      <c r="AH2089" s="23"/>
      <c r="AI2089" s="23"/>
      <c r="AJ2089" s="23"/>
      <c r="AK2089" s="23"/>
      <c r="AL2089" s="23"/>
      <c r="AM2089" s="23"/>
      <c r="AN2089" s="23"/>
      <c r="AO2089" s="23"/>
      <c r="AP2089" s="23"/>
      <c r="AQ2089" s="23"/>
      <c r="AR2089" s="23"/>
      <c r="AS2089" s="23"/>
      <c r="AT2089" s="23"/>
      <c r="AU2089" s="23"/>
      <c r="AV2089" s="23"/>
      <c r="AW2089" s="23"/>
      <c r="AX2089" s="23"/>
      <c r="AY2089" s="23"/>
      <c r="AZ2089" s="23"/>
      <c r="BA2089" s="23"/>
      <c r="BB2089" s="23"/>
    </row>
    <row r="2090" spans="5:54" x14ac:dyDescent="0.35"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  <c r="AA2090" s="23"/>
      <c r="AB2090" s="23"/>
      <c r="AC2090" s="23"/>
      <c r="AD2090" s="23"/>
      <c r="AE2090" s="23"/>
      <c r="AF2090" s="23"/>
      <c r="AG2090" s="23"/>
      <c r="AH2090" s="23"/>
      <c r="AI2090" s="23"/>
      <c r="AJ2090" s="23"/>
      <c r="AK2090" s="23"/>
      <c r="AL2090" s="23"/>
      <c r="AM2090" s="23"/>
      <c r="AN2090" s="23"/>
      <c r="AO2090" s="23"/>
      <c r="AP2090" s="23"/>
      <c r="AQ2090" s="23"/>
      <c r="AR2090" s="23"/>
      <c r="AS2090" s="23"/>
      <c r="AT2090" s="23"/>
      <c r="AU2090" s="23"/>
      <c r="AV2090" s="23"/>
      <c r="AW2090" s="23"/>
      <c r="AX2090" s="23"/>
      <c r="AY2090" s="23"/>
      <c r="AZ2090" s="23"/>
      <c r="BA2090" s="23"/>
      <c r="BB2090" s="23"/>
    </row>
    <row r="2091" spans="5:54" x14ac:dyDescent="0.35"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  <c r="AA2091" s="23"/>
      <c r="AB2091" s="23"/>
      <c r="AC2091" s="23"/>
      <c r="AD2091" s="23"/>
      <c r="AE2091" s="23"/>
      <c r="AF2091" s="23"/>
      <c r="AG2091" s="23"/>
      <c r="AH2091" s="23"/>
      <c r="AI2091" s="23"/>
      <c r="AJ2091" s="23"/>
      <c r="AK2091" s="23"/>
      <c r="AL2091" s="23"/>
      <c r="AM2091" s="23"/>
      <c r="AN2091" s="23"/>
      <c r="AO2091" s="23"/>
      <c r="AP2091" s="23"/>
      <c r="AQ2091" s="23"/>
      <c r="AR2091" s="23"/>
      <c r="AS2091" s="23"/>
      <c r="AT2091" s="23"/>
      <c r="AU2091" s="23"/>
      <c r="AV2091" s="23"/>
      <c r="AW2091" s="23"/>
      <c r="AX2091" s="23"/>
      <c r="AY2091" s="23"/>
      <c r="AZ2091" s="23"/>
      <c r="BA2091" s="23"/>
      <c r="BB2091" s="23"/>
    </row>
    <row r="2092" spans="5:54" x14ac:dyDescent="0.35"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  <c r="AA2092" s="23"/>
      <c r="AB2092" s="23"/>
      <c r="AC2092" s="23"/>
      <c r="AD2092" s="23"/>
      <c r="AE2092" s="23"/>
      <c r="AF2092" s="23"/>
      <c r="AG2092" s="23"/>
      <c r="AH2092" s="23"/>
      <c r="AI2092" s="23"/>
      <c r="AJ2092" s="23"/>
      <c r="AK2092" s="23"/>
      <c r="AL2092" s="23"/>
      <c r="AM2092" s="23"/>
      <c r="AN2092" s="23"/>
      <c r="AO2092" s="23"/>
      <c r="AP2092" s="23"/>
      <c r="AQ2092" s="23"/>
      <c r="AR2092" s="23"/>
      <c r="AS2092" s="23"/>
      <c r="AT2092" s="23"/>
      <c r="AU2092" s="23"/>
      <c r="AV2092" s="23"/>
      <c r="AW2092" s="23"/>
      <c r="AX2092" s="23"/>
      <c r="AY2092" s="23"/>
      <c r="AZ2092" s="23"/>
      <c r="BA2092" s="23"/>
      <c r="BB2092" s="23"/>
    </row>
    <row r="2093" spans="5:54" x14ac:dyDescent="0.35"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  <c r="AA2093" s="23"/>
      <c r="AB2093" s="23"/>
      <c r="AC2093" s="23"/>
      <c r="AD2093" s="23"/>
      <c r="AE2093" s="23"/>
      <c r="AF2093" s="23"/>
      <c r="AG2093" s="23"/>
      <c r="AH2093" s="23"/>
      <c r="AI2093" s="23"/>
      <c r="AJ2093" s="23"/>
      <c r="AK2093" s="23"/>
      <c r="AL2093" s="23"/>
      <c r="AM2093" s="23"/>
      <c r="AN2093" s="23"/>
      <c r="AO2093" s="23"/>
      <c r="AP2093" s="23"/>
      <c r="AQ2093" s="23"/>
      <c r="AR2093" s="23"/>
      <c r="AS2093" s="23"/>
      <c r="AT2093" s="23"/>
      <c r="AU2093" s="23"/>
      <c r="AV2093" s="23"/>
      <c r="AW2093" s="23"/>
      <c r="AX2093" s="23"/>
      <c r="AY2093" s="23"/>
      <c r="AZ2093" s="23"/>
      <c r="BA2093" s="23"/>
      <c r="BB2093" s="23"/>
    </row>
    <row r="2094" spans="5:54" x14ac:dyDescent="0.35"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  <c r="AA2094" s="23"/>
      <c r="AB2094" s="23"/>
      <c r="AC2094" s="23"/>
      <c r="AD2094" s="23"/>
      <c r="AE2094" s="23"/>
      <c r="AF2094" s="23"/>
      <c r="AG2094" s="23"/>
      <c r="AH2094" s="23"/>
      <c r="AI2094" s="23"/>
      <c r="AJ2094" s="23"/>
      <c r="AK2094" s="23"/>
      <c r="AL2094" s="23"/>
      <c r="AM2094" s="23"/>
      <c r="AN2094" s="23"/>
      <c r="AO2094" s="23"/>
      <c r="AP2094" s="23"/>
      <c r="AQ2094" s="23"/>
      <c r="AR2094" s="23"/>
      <c r="AS2094" s="23"/>
      <c r="AT2094" s="23"/>
      <c r="AU2094" s="23"/>
      <c r="AV2094" s="23"/>
      <c r="AW2094" s="23"/>
      <c r="AX2094" s="23"/>
      <c r="AY2094" s="23"/>
      <c r="AZ2094" s="23"/>
      <c r="BA2094" s="23"/>
      <c r="BB2094" s="23"/>
    </row>
    <row r="2095" spans="5:54" x14ac:dyDescent="0.35"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  <c r="AA2095" s="23"/>
      <c r="AB2095" s="23"/>
      <c r="AC2095" s="23"/>
      <c r="AD2095" s="23"/>
      <c r="AE2095" s="23"/>
      <c r="AF2095" s="23"/>
      <c r="AG2095" s="23"/>
      <c r="AH2095" s="23"/>
      <c r="AI2095" s="23"/>
      <c r="AJ2095" s="23"/>
      <c r="AK2095" s="23"/>
      <c r="AL2095" s="23"/>
      <c r="AM2095" s="23"/>
      <c r="AN2095" s="23"/>
      <c r="AO2095" s="23"/>
      <c r="AP2095" s="23"/>
      <c r="AQ2095" s="23"/>
      <c r="AR2095" s="23"/>
      <c r="AS2095" s="23"/>
      <c r="AT2095" s="23"/>
      <c r="AU2095" s="23"/>
      <c r="AV2095" s="23"/>
      <c r="AW2095" s="23"/>
      <c r="AX2095" s="23"/>
      <c r="AY2095" s="23"/>
      <c r="AZ2095" s="23"/>
      <c r="BA2095" s="23"/>
      <c r="BB2095" s="23"/>
    </row>
    <row r="2096" spans="5:54" x14ac:dyDescent="0.35"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  <c r="AA2096" s="23"/>
      <c r="AB2096" s="23"/>
      <c r="AC2096" s="23"/>
      <c r="AD2096" s="23"/>
      <c r="AE2096" s="23"/>
      <c r="AF2096" s="23"/>
      <c r="AG2096" s="23"/>
      <c r="AH2096" s="23"/>
      <c r="AI2096" s="23"/>
      <c r="AJ2096" s="23"/>
      <c r="AK2096" s="23"/>
      <c r="AL2096" s="23"/>
      <c r="AM2096" s="23"/>
      <c r="AN2096" s="23"/>
      <c r="AO2096" s="23"/>
      <c r="AP2096" s="23"/>
      <c r="AQ2096" s="23"/>
      <c r="AR2096" s="23"/>
      <c r="AS2096" s="23"/>
      <c r="AT2096" s="23"/>
      <c r="AU2096" s="23"/>
      <c r="AV2096" s="23"/>
      <c r="AW2096" s="23"/>
      <c r="AX2096" s="23"/>
      <c r="AY2096" s="23"/>
      <c r="AZ2096" s="23"/>
      <c r="BA2096" s="23"/>
      <c r="BB2096" s="23"/>
    </row>
    <row r="2097" spans="5:54" x14ac:dyDescent="0.35"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  <c r="AA2097" s="23"/>
      <c r="AB2097" s="23"/>
      <c r="AC2097" s="23"/>
      <c r="AD2097" s="23"/>
      <c r="AE2097" s="23"/>
      <c r="AF2097" s="23"/>
      <c r="AG2097" s="23"/>
      <c r="AH2097" s="23"/>
      <c r="AI2097" s="23"/>
      <c r="AJ2097" s="23"/>
      <c r="AK2097" s="23"/>
      <c r="AL2097" s="23"/>
      <c r="AM2097" s="23"/>
      <c r="AN2097" s="23"/>
      <c r="AO2097" s="23"/>
      <c r="AP2097" s="23"/>
      <c r="AQ2097" s="23"/>
      <c r="AR2097" s="23"/>
      <c r="AS2097" s="23"/>
      <c r="AT2097" s="23"/>
      <c r="AU2097" s="23"/>
      <c r="AV2097" s="23"/>
      <c r="AW2097" s="23"/>
      <c r="AX2097" s="23"/>
      <c r="AY2097" s="23"/>
      <c r="AZ2097" s="23"/>
      <c r="BA2097" s="23"/>
      <c r="BB2097" s="23"/>
    </row>
    <row r="2098" spans="5:54" x14ac:dyDescent="0.35"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  <c r="AA2098" s="23"/>
      <c r="AB2098" s="23"/>
      <c r="AC2098" s="23"/>
      <c r="AD2098" s="23"/>
      <c r="AE2098" s="23"/>
      <c r="AF2098" s="23"/>
      <c r="AG2098" s="23"/>
      <c r="AH2098" s="23"/>
      <c r="AI2098" s="23"/>
      <c r="AJ2098" s="23"/>
      <c r="AK2098" s="23"/>
      <c r="AL2098" s="23"/>
      <c r="AM2098" s="23"/>
      <c r="AN2098" s="23"/>
      <c r="AO2098" s="23"/>
      <c r="AP2098" s="23"/>
      <c r="AQ2098" s="23"/>
      <c r="AR2098" s="23"/>
      <c r="AS2098" s="23"/>
      <c r="AT2098" s="23"/>
      <c r="AU2098" s="23"/>
      <c r="AV2098" s="23"/>
      <c r="AW2098" s="23"/>
      <c r="AX2098" s="23"/>
      <c r="AY2098" s="23"/>
      <c r="AZ2098" s="23"/>
      <c r="BA2098" s="23"/>
      <c r="BB2098" s="23"/>
    </row>
    <row r="2099" spans="5:54" x14ac:dyDescent="0.35"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  <c r="AA2099" s="23"/>
      <c r="AB2099" s="23"/>
      <c r="AC2099" s="23"/>
      <c r="AD2099" s="23"/>
      <c r="AE2099" s="23"/>
      <c r="AF2099" s="23"/>
      <c r="AG2099" s="23"/>
      <c r="AH2099" s="23"/>
      <c r="AI2099" s="23"/>
      <c r="AJ2099" s="23"/>
      <c r="AK2099" s="23"/>
      <c r="AL2099" s="23"/>
      <c r="AM2099" s="23"/>
      <c r="AN2099" s="23"/>
      <c r="AO2099" s="23"/>
      <c r="AP2099" s="23"/>
      <c r="AQ2099" s="23"/>
      <c r="AR2099" s="23"/>
      <c r="AS2099" s="23"/>
      <c r="AT2099" s="23"/>
      <c r="AU2099" s="23"/>
      <c r="AV2099" s="23"/>
      <c r="AW2099" s="23"/>
      <c r="AX2099" s="23"/>
      <c r="AY2099" s="23"/>
      <c r="AZ2099" s="23"/>
      <c r="BA2099" s="23"/>
      <c r="BB2099" s="23"/>
    </row>
    <row r="2100" spans="5:54" x14ac:dyDescent="0.35"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  <c r="AA2100" s="23"/>
      <c r="AB2100" s="23"/>
      <c r="AC2100" s="23"/>
      <c r="AD2100" s="23"/>
      <c r="AE2100" s="23"/>
      <c r="AF2100" s="23"/>
      <c r="AG2100" s="23"/>
      <c r="AH2100" s="23"/>
      <c r="AI2100" s="23"/>
      <c r="AJ2100" s="23"/>
      <c r="AK2100" s="23"/>
      <c r="AL2100" s="23"/>
      <c r="AM2100" s="23"/>
      <c r="AN2100" s="23"/>
      <c r="AO2100" s="23"/>
      <c r="AP2100" s="23"/>
      <c r="AQ2100" s="23"/>
      <c r="AR2100" s="23"/>
      <c r="AS2100" s="23"/>
      <c r="AT2100" s="23"/>
      <c r="AU2100" s="23"/>
      <c r="AV2100" s="23"/>
      <c r="AW2100" s="23"/>
      <c r="AX2100" s="23"/>
      <c r="AY2100" s="23"/>
      <c r="AZ2100" s="23"/>
      <c r="BA2100" s="23"/>
      <c r="BB2100" s="23"/>
    </row>
    <row r="2101" spans="5:54" x14ac:dyDescent="0.35"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  <c r="AA2101" s="23"/>
      <c r="AB2101" s="23"/>
      <c r="AC2101" s="23"/>
      <c r="AD2101" s="23"/>
      <c r="AE2101" s="23"/>
      <c r="AF2101" s="23"/>
      <c r="AG2101" s="23"/>
      <c r="AH2101" s="23"/>
      <c r="AI2101" s="23"/>
      <c r="AJ2101" s="23"/>
      <c r="AK2101" s="23"/>
      <c r="AL2101" s="23"/>
      <c r="AM2101" s="23"/>
      <c r="AN2101" s="23"/>
      <c r="AO2101" s="23"/>
      <c r="AP2101" s="23"/>
      <c r="AQ2101" s="23"/>
      <c r="AR2101" s="23"/>
      <c r="AS2101" s="23"/>
      <c r="AT2101" s="23"/>
      <c r="AU2101" s="23"/>
      <c r="AV2101" s="23"/>
      <c r="AW2101" s="23"/>
      <c r="AX2101" s="23"/>
      <c r="AY2101" s="23"/>
      <c r="AZ2101" s="23"/>
      <c r="BA2101" s="23"/>
      <c r="BB2101" s="23"/>
    </row>
    <row r="2102" spans="5:54" x14ac:dyDescent="0.35"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  <c r="AA2102" s="23"/>
      <c r="AB2102" s="23"/>
      <c r="AC2102" s="23"/>
      <c r="AD2102" s="23"/>
      <c r="AE2102" s="23"/>
      <c r="AF2102" s="23"/>
      <c r="AG2102" s="23"/>
      <c r="AH2102" s="23"/>
      <c r="AI2102" s="23"/>
      <c r="AJ2102" s="23"/>
      <c r="AK2102" s="23"/>
      <c r="AL2102" s="23"/>
      <c r="AM2102" s="23"/>
      <c r="AN2102" s="23"/>
      <c r="AO2102" s="23"/>
      <c r="AP2102" s="23"/>
      <c r="AQ2102" s="23"/>
      <c r="AR2102" s="23"/>
      <c r="AS2102" s="23"/>
      <c r="AT2102" s="23"/>
      <c r="AU2102" s="23"/>
      <c r="AV2102" s="23"/>
      <c r="AW2102" s="23"/>
      <c r="AX2102" s="23"/>
      <c r="AY2102" s="23"/>
      <c r="AZ2102" s="23"/>
      <c r="BA2102" s="23"/>
      <c r="BB2102" s="23"/>
    </row>
    <row r="2103" spans="5:54" x14ac:dyDescent="0.35"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  <c r="AA2103" s="23"/>
      <c r="AB2103" s="23"/>
      <c r="AC2103" s="23"/>
      <c r="AD2103" s="23"/>
      <c r="AE2103" s="23"/>
      <c r="AF2103" s="23"/>
      <c r="AG2103" s="23"/>
      <c r="AH2103" s="23"/>
      <c r="AI2103" s="23"/>
      <c r="AJ2103" s="23"/>
      <c r="AK2103" s="23"/>
      <c r="AL2103" s="23"/>
      <c r="AM2103" s="23"/>
      <c r="AN2103" s="23"/>
      <c r="AO2103" s="23"/>
      <c r="AP2103" s="23"/>
      <c r="AQ2103" s="23"/>
      <c r="AR2103" s="23"/>
      <c r="AS2103" s="23"/>
      <c r="AT2103" s="23"/>
      <c r="AU2103" s="23"/>
      <c r="AV2103" s="23"/>
      <c r="AW2103" s="23"/>
      <c r="AX2103" s="23"/>
      <c r="AY2103" s="23"/>
      <c r="AZ2103" s="23"/>
      <c r="BA2103" s="23"/>
      <c r="BB2103" s="23"/>
    </row>
    <row r="2104" spans="5:54" x14ac:dyDescent="0.35"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  <c r="AA2104" s="23"/>
      <c r="AB2104" s="23"/>
      <c r="AC2104" s="23"/>
      <c r="AD2104" s="23"/>
      <c r="AE2104" s="23"/>
      <c r="AF2104" s="23"/>
      <c r="AG2104" s="23"/>
      <c r="AH2104" s="23"/>
      <c r="AI2104" s="23"/>
      <c r="AJ2104" s="23"/>
      <c r="AK2104" s="23"/>
      <c r="AL2104" s="23"/>
      <c r="AM2104" s="23"/>
      <c r="AN2104" s="23"/>
      <c r="AO2104" s="23"/>
      <c r="AP2104" s="23"/>
      <c r="AQ2104" s="23"/>
      <c r="AR2104" s="23"/>
      <c r="AS2104" s="23"/>
      <c r="AT2104" s="23"/>
      <c r="AU2104" s="23"/>
      <c r="AV2104" s="23"/>
      <c r="AW2104" s="23"/>
      <c r="AX2104" s="23"/>
      <c r="AY2104" s="23"/>
      <c r="AZ2104" s="23"/>
      <c r="BA2104" s="23"/>
      <c r="BB2104" s="23"/>
    </row>
    <row r="2105" spans="5:54" x14ac:dyDescent="0.35"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  <c r="AA2105" s="23"/>
      <c r="AB2105" s="23"/>
      <c r="AC2105" s="23"/>
      <c r="AD2105" s="23"/>
      <c r="AE2105" s="23"/>
      <c r="AF2105" s="23"/>
      <c r="AG2105" s="23"/>
      <c r="AH2105" s="23"/>
      <c r="AI2105" s="23"/>
      <c r="AJ2105" s="23"/>
      <c r="AK2105" s="23"/>
      <c r="AL2105" s="23"/>
      <c r="AM2105" s="23"/>
      <c r="AN2105" s="23"/>
      <c r="AO2105" s="23"/>
      <c r="AP2105" s="23"/>
      <c r="AQ2105" s="23"/>
      <c r="AR2105" s="23"/>
      <c r="AS2105" s="23"/>
      <c r="AT2105" s="23"/>
      <c r="AU2105" s="23"/>
      <c r="AV2105" s="23"/>
      <c r="AW2105" s="23"/>
      <c r="AX2105" s="23"/>
      <c r="AY2105" s="23"/>
      <c r="AZ2105" s="23"/>
      <c r="BA2105" s="23"/>
      <c r="BB2105" s="23"/>
    </row>
    <row r="2106" spans="5:54" x14ac:dyDescent="0.35"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  <c r="AA2106" s="23"/>
      <c r="AB2106" s="23"/>
      <c r="AC2106" s="23"/>
      <c r="AD2106" s="23"/>
      <c r="AE2106" s="23"/>
      <c r="AF2106" s="23"/>
      <c r="AG2106" s="23"/>
      <c r="AH2106" s="23"/>
      <c r="AI2106" s="23"/>
      <c r="AJ2106" s="23"/>
      <c r="AK2106" s="23"/>
      <c r="AL2106" s="23"/>
      <c r="AM2106" s="23"/>
      <c r="AN2106" s="23"/>
      <c r="AO2106" s="23"/>
      <c r="AP2106" s="23"/>
      <c r="AQ2106" s="23"/>
      <c r="AR2106" s="23"/>
      <c r="AS2106" s="23"/>
      <c r="AT2106" s="23"/>
      <c r="AU2106" s="23"/>
      <c r="AV2106" s="23"/>
      <c r="AW2106" s="23"/>
      <c r="AX2106" s="23"/>
      <c r="AY2106" s="23"/>
      <c r="AZ2106" s="23"/>
      <c r="BA2106" s="23"/>
      <c r="BB2106" s="23"/>
    </row>
    <row r="2107" spans="5:54" x14ac:dyDescent="0.35"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  <c r="AA2107" s="23"/>
      <c r="AB2107" s="23"/>
      <c r="AC2107" s="23"/>
      <c r="AD2107" s="23"/>
      <c r="AE2107" s="23"/>
      <c r="AF2107" s="23"/>
      <c r="AG2107" s="23"/>
      <c r="AH2107" s="23"/>
      <c r="AI2107" s="23"/>
      <c r="AJ2107" s="23"/>
      <c r="AK2107" s="23"/>
      <c r="AL2107" s="23"/>
      <c r="AM2107" s="23"/>
      <c r="AN2107" s="23"/>
      <c r="AO2107" s="23"/>
      <c r="AP2107" s="23"/>
      <c r="AQ2107" s="23"/>
      <c r="AR2107" s="23"/>
      <c r="AS2107" s="23"/>
      <c r="AT2107" s="23"/>
      <c r="AU2107" s="23"/>
      <c r="AV2107" s="23"/>
      <c r="AW2107" s="23"/>
      <c r="AX2107" s="23"/>
      <c r="AY2107" s="23"/>
      <c r="AZ2107" s="23"/>
      <c r="BA2107" s="23"/>
      <c r="BB2107" s="23"/>
    </row>
    <row r="2108" spans="5:54" x14ac:dyDescent="0.35"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  <c r="AA2108" s="23"/>
      <c r="AB2108" s="23"/>
      <c r="AC2108" s="23"/>
      <c r="AD2108" s="23"/>
      <c r="AE2108" s="23"/>
      <c r="AF2108" s="23"/>
      <c r="AG2108" s="23"/>
      <c r="AH2108" s="23"/>
      <c r="AI2108" s="23"/>
      <c r="AJ2108" s="23"/>
      <c r="AK2108" s="23"/>
      <c r="AL2108" s="23"/>
      <c r="AM2108" s="23"/>
      <c r="AN2108" s="23"/>
      <c r="AO2108" s="23"/>
      <c r="AP2108" s="23"/>
      <c r="AQ2108" s="23"/>
      <c r="AR2108" s="23"/>
      <c r="AS2108" s="23"/>
      <c r="AT2108" s="23"/>
      <c r="AU2108" s="23"/>
      <c r="AV2108" s="23"/>
      <c r="AW2108" s="23"/>
      <c r="AX2108" s="23"/>
      <c r="AY2108" s="23"/>
      <c r="AZ2108" s="23"/>
      <c r="BA2108" s="23"/>
      <c r="BB2108" s="23"/>
    </row>
    <row r="2109" spans="5:54" x14ac:dyDescent="0.35"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  <c r="AA2109" s="23"/>
      <c r="AB2109" s="23"/>
      <c r="AC2109" s="23"/>
      <c r="AD2109" s="23"/>
      <c r="AE2109" s="23"/>
      <c r="AF2109" s="23"/>
      <c r="AG2109" s="23"/>
      <c r="AH2109" s="23"/>
      <c r="AI2109" s="23"/>
      <c r="AJ2109" s="23"/>
      <c r="AK2109" s="23"/>
      <c r="AL2109" s="23"/>
      <c r="AM2109" s="23"/>
      <c r="AN2109" s="23"/>
      <c r="AO2109" s="23"/>
      <c r="AP2109" s="23"/>
      <c r="AQ2109" s="23"/>
      <c r="AR2109" s="23"/>
      <c r="AS2109" s="23"/>
      <c r="AT2109" s="23"/>
      <c r="AU2109" s="23"/>
      <c r="AV2109" s="23"/>
      <c r="AW2109" s="23"/>
      <c r="AX2109" s="23"/>
      <c r="AY2109" s="23"/>
      <c r="AZ2109" s="23"/>
      <c r="BA2109" s="23"/>
      <c r="BB2109" s="23"/>
    </row>
    <row r="2110" spans="5:54" x14ac:dyDescent="0.35"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  <c r="AA2110" s="23"/>
      <c r="AB2110" s="23"/>
      <c r="AC2110" s="23"/>
      <c r="AD2110" s="23"/>
      <c r="AE2110" s="23"/>
      <c r="AF2110" s="23"/>
      <c r="AG2110" s="23"/>
      <c r="AH2110" s="23"/>
      <c r="AI2110" s="23"/>
      <c r="AJ2110" s="23"/>
      <c r="AK2110" s="23"/>
      <c r="AL2110" s="23"/>
      <c r="AM2110" s="23"/>
      <c r="AN2110" s="23"/>
      <c r="AO2110" s="23"/>
      <c r="AP2110" s="23"/>
      <c r="AQ2110" s="23"/>
      <c r="AR2110" s="23"/>
      <c r="AS2110" s="23"/>
      <c r="AT2110" s="23"/>
      <c r="AU2110" s="23"/>
      <c r="AV2110" s="23"/>
      <c r="AW2110" s="23"/>
      <c r="AX2110" s="23"/>
      <c r="AY2110" s="23"/>
      <c r="AZ2110" s="23"/>
      <c r="BA2110" s="23"/>
      <c r="BB2110" s="23"/>
    </row>
    <row r="2111" spans="5:54" x14ac:dyDescent="0.35"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  <c r="AA2111" s="23"/>
      <c r="AB2111" s="23"/>
      <c r="AC2111" s="23"/>
      <c r="AD2111" s="23"/>
      <c r="AE2111" s="23"/>
      <c r="AF2111" s="23"/>
      <c r="AG2111" s="23"/>
      <c r="AH2111" s="23"/>
      <c r="AI2111" s="23"/>
      <c r="AJ2111" s="23"/>
      <c r="AK2111" s="23"/>
      <c r="AL2111" s="23"/>
      <c r="AM2111" s="23"/>
      <c r="AN2111" s="23"/>
      <c r="AO2111" s="23"/>
      <c r="AP2111" s="23"/>
      <c r="AQ2111" s="23"/>
      <c r="AR2111" s="23"/>
      <c r="AS2111" s="23"/>
      <c r="AT2111" s="23"/>
      <c r="AU2111" s="23"/>
      <c r="AV2111" s="23"/>
      <c r="AW2111" s="23"/>
      <c r="AX2111" s="23"/>
      <c r="AY2111" s="23"/>
      <c r="AZ2111" s="23"/>
      <c r="BA2111" s="23"/>
      <c r="BB2111" s="23"/>
    </row>
    <row r="2112" spans="5:54" x14ac:dyDescent="0.35"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  <c r="AA2112" s="23"/>
      <c r="AB2112" s="23"/>
      <c r="AC2112" s="23"/>
      <c r="AD2112" s="23"/>
      <c r="AE2112" s="23"/>
      <c r="AF2112" s="23"/>
      <c r="AG2112" s="23"/>
      <c r="AH2112" s="23"/>
      <c r="AI2112" s="23"/>
      <c r="AJ2112" s="23"/>
      <c r="AK2112" s="23"/>
      <c r="AL2112" s="23"/>
      <c r="AM2112" s="23"/>
      <c r="AN2112" s="23"/>
      <c r="AO2112" s="23"/>
      <c r="AP2112" s="23"/>
      <c r="AQ2112" s="23"/>
      <c r="AR2112" s="23"/>
      <c r="AS2112" s="23"/>
      <c r="AT2112" s="23"/>
      <c r="AU2112" s="23"/>
      <c r="AV2112" s="23"/>
      <c r="AW2112" s="23"/>
      <c r="AX2112" s="23"/>
      <c r="AY2112" s="23"/>
      <c r="AZ2112" s="23"/>
      <c r="BA2112" s="23"/>
      <c r="BB2112" s="23"/>
    </row>
    <row r="2113" spans="5:54" x14ac:dyDescent="0.35"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  <c r="AA2113" s="23"/>
      <c r="AB2113" s="23"/>
      <c r="AC2113" s="23"/>
      <c r="AD2113" s="23"/>
      <c r="AE2113" s="23"/>
      <c r="AF2113" s="23"/>
      <c r="AG2113" s="23"/>
      <c r="AH2113" s="23"/>
      <c r="AI2113" s="23"/>
      <c r="AJ2113" s="23"/>
      <c r="AK2113" s="23"/>
      <c r="AL2113" s="23"/>
      <c r="AM2113" s="23"/>
      <c r="AN2113" s="23"/>
      <c r="AO2113" s="23"/>
      <c r="AP2113" s="23"/>
      <c r="AQ2113" s="23"/>
      <c r="AR2113" s="23"/>
      <c r="AS2113" s="23"/>
      <c r="AT2113" s="23"/>
      <c r="AU2113" s="23"/>
      <c r="AV2113" s="23"/>
      <c r="AW2113" s="23"/>
      <c r="AX2113" s="23"/>
      <c r="AY2113" s="23"/>
      <c r="AZ2113" s="23"/>
      <c r="BA2113" s="23"/>
      <c r="BB2113" s="23"/>
    </row>
    <row r="2114" spans="5:54" x14ac:dyDescent="0.35"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  <c r="AA2114" s="23"/>
      <c r="AB2114" s="23"/>
      <c r="AC2114" s="23"/>
      <c r="AD2114" s="23"/>
      <c r="AE2114" s="23"/>
      <c r="AF2114" s="23"/>
      <c r="AG2114" s="23"/>
      <c r="AH2114" s="23"/>
      <c r="AI2114" s="23"/>
      <c r="AJ2114" s="23"/>
      <c r="AK2114" s="23"/>
      <c r="AL2114" s="23"/>
      <c r="AM2114" s="23"/>
      <c r="AN2114" s="23"/>
      <c r="AO2114" s="23"/>
      <c r="AP2114" s="23"/>
      <c r="AQ2114" s="23"/>
      <c r="AR2114" s="23"/>
      <c r="AS2114" s="23"/>
      <c r="AT2114" s="23"/>
      <c r="AU2114" s="23"/>
      <c r="AV2114" s="23"/>
      <c r="AW2114" s="23"/>
      <c r="AX2114" s="23"/>
      <c r="AY2114" s="23"/>
      <c r="AZ2114" s="23"/>
      <c r="BA2114" s="23"/>
      <c r="BB2114" s="23"/>
    </row>
    <row r="2115" spans="5:54" x14ac:dyDescent="0.35"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  <c r="AA2115" s="23"/>
      <c r="AB2115" s="23"/>
      <c r="AC2115" s="23"/>
      <c r="AD2115" s="23"/>
      <c r="AE2115" s="23"/>
      <c r="AF2115" s="23"/>
      <c r="AG2115" s="23"/>
      <c r="AH2115" s="23"/>
      <c r="AI2115" s="23"/>
      <c r="AJ2115" s="23"/>
      <c r="AK2115" s="23"/>
      <c r="AL2115" s="23"/>
      <c r="AM2115" s="23"/>
      <c r="AN2115" s="23"/>
      <c r="AO2115" s="23"/>
      <c r="AP2115" s="23"/>
      <c r="AQ2115" s="23"/>
      <c r="AR2115" s="23"/>
      <c r="AS2115" s="23"/>
      <c r="AT2115" s="23"/>
      <c r="AU2115" s="23"/>
      <c r="AV2115" s="23"/>
      <c r="AW2115" s="23"/>
      <c r="AX2115" s="23"/>
      <c r="AY2115" s="23"/>
      <c r="AZ2115" s="23"/>
      <c r="BA2115" s="23"/>
      <c r="BB2115" s="23"/>
    </row>
    <row r="2116" spans="5:54" x14ac:dyDescent="0.35"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  <c r="AA2116" s="23"/>
      <c r="AB2116" s="23"/>
      <c r="AC2116" s="23"/>
      <c r="AD2116" s="23"/>
      <c r="AE2116" s="23"/>
      <c r="AF2116" s="23"/>
      <c r="AG2116" s="23"/>
      <c r="AH2116" s="23"/>
      <c r="AI2116" s="23"/>
      <c r="AJ2116" s="23"/>
      <c r="AK2116" s="23"/>
      <c r="AL2116" s="23"/>
      <c r="AM2116" s="23"/>
      <c r="AN2116" s="23"/>
      <c r="AO2116" s="23"/>
      <c r="AP2116" s="23"/>
      <c r="AQ2116" s="23"/>
      <c r="AR2116" s="23"/>
      <c r="AS2116" s="23"/>
      <c r="AT2116" s="23"/>
      <c r="AU2116" s="23"/>
      <c r="AV2116" s="23"/>
      <c r="AW2116" s="23"/>
      <c r="AX2116" s="23"/>
      <c r="AY2116" s="23"/>
      <c r="AZ2116" s="23"/>
      <c r="BA2116" s="23"/>
      <c r="BB2116" s="23"/>
    </row>
    <row r="2117" spans="5:54" x14ac:dyDescent="0.35"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  <c r="AA2117" s="23"/>
      <c r="AB2117" s="23"/>
      <c r="AC2117" s="23"/>
      <c r="AD2117" s="23"/>
      <c r="AE2117" s="23"/>
      <c r="AF2117" s="23"/>
      <c r="AG2117" s="23"/>
      <c r="AH2117" s="23"/>
      <c r="AI2117" s="23"/>
      <c r="AJ2117" s="23"/>
      <c r="AK2117" s="23"/>
      <c r="AL2117" s="23"/>
      <c r="AM2117" s="23"/>
      <c r="AN2117" s="23"/>
      <c r="AO2117" s="23"/>
      <c r="AP2117" s="23"/>
      <c r="AQ2117" s="23"/>
      <c r="AR2117" s="23"/>
      <c r="AS2117" s="23"/>
      <c r="AT2117" s="23"/>
      <c r="AU2117" s="23"/>
      <c r="AV2117" s="23"/>
      <c r="AW2117" s="23"/>
      <c r="AX2117" s="23"/>
      <c r="AY2117" s="23"/>
      <c r="AZ2117" s="23"/>
      <c r="BA2117" s="23"/>
      <c r="BB2117" s="23"/>
    </row>
    <row r="2118" spans="5:54" x14ac:dyDescent="0.35"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  <c r="AA2118" s="23"/>
      <c r="AB2118" s="23"/>
      <c r="AC2118" s="23"/>
      <c r="AD2118" s="23"/>
      <c r="AE2118" s="23"/>
      <c r="AF2118" s="23"/>
      <c r="AG2118" s="23"/>
      <c r="AH2118" s="23"/>
      <c r="AI2118" s="23"/>
      <c r="AJ2118" s="23"/>
      <c r="AK2118" s="23"/>
      <c r="AL2118" s="23"/>
      <c r="AM2118" s="23"/>
      <c r="AN2118" s="23"/>
      <c r="AO2118" s="23"/>
      <c r="AP2118" s="23"/>
      <c r="AQ2118" s="23"/>
      <c r="AR2118" s="23"/>
      <c r="AS2118" s="23"/>
      <c r="AT2118" s="23"/>
      <c r="AU2118" s="23"/>
      <c r="AV2118" s="23"/>
      <c r="AW2118" s="23"/>
      <c r="AX2118" s="23"/>
      <c r="AY2118" s="23"/>
      <c r="AZ2118" s="23"/>
      <c r="BA2118" s="23"/>
      <c r="BB2118" s="23"/>
    </row>
    <row r="2119" spans="5:54" x14ac:dyDescent="0.35"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  <c r="AA2119" s="23"/>
      <c r="AB2119" s="23"/>
      <c r="AC2119" s="23"/>
      <c r="AD2119" s="23"/>
      <c r="AE2119" s="23"/>
      <c r="AF2119" s="23"/>
      <c r="AG2119" s="23"/>
      <c r="AH2119" s="23"/>
      <c r="AI2119" s="23"/>
      <c r="AJ2119" s="23"/>
      <c r="AK2119" s="23"/>
      <c r="AL2119" s="23"/>
      <c r="AM2119" s="23"/>
      <c r="AN2119" s="23"/>
      <c r="AO2119" s="23"/>
      <c r="AP2119" s="23"/>
      <c r="AQ2119" s="23"/>
      <c r="AR2119" s="23"/>
      <c r="AS2119" s="23"/>
      <c r="AT2119" s="23"/>
      <c r="AU2119" s="23"/>
      <c r="AV2119" s="23"/>
      <c r="AW2119" s="23"/>
      <c r="AX2119" s="23"/>
      <c r="AY2119" s="23"/>
      <c r="AZ2119" s="23"/>
      <c r="BA2119" s="23"/>
      <c r="BB2119" s="23"/>
    </row>
    <row r="2120" spans="5:54" x14ac:dyDescent="0.35"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  <c r="AA2120" s="23"/>
      <c r="AB2120" s="23"/>
      <c r="AC2120" s="23"/>
      <c r="AD2120" s="23"/>
      <c r="AE2120" s="23"/>
      <c r="AF2120" s="23"/>
      <c r="AG2120" s="23"/>
      <c r="AH2120" s="23"/>
      <c r="AI2120" s="23"/>
      <c r="AJ2120" s="23"/>
      <c r="AK2120" s="23"/>
      <c r="AL2120" s="23"/>
      <c r="AM2120" s="23"/>
      <c r="AN2120" s="23"/>
      <c r="AO2120" s="23"/>
      <c r="AP2120" s="23"/>
      <c r="AQ2120" s="23"/>
      <c r="AR2120" s="23"/>
      <c r="AS2120" s="23"/>
      <c r="AT2120" s="23"/>
      <c r="AU2120" s="23"/>
      <c r="AV2120" s="23"/>
      <c r="AW2120" s="23"/>
      <c r="AX2120" s="23"/>
      <c r="AY2120" s="23"/>
      <c r="AZ2120" s="23"/>
      <c r="BA2120" s="23"/>
      <c r="BB2120" s="23"/>
    </row>
    <row r="2121" spans="5:54" x14ac:dyDescent="0.35"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  <c r="AA2121" s="23"/>
      <c r="AB2121" s="23"/>
      <c r="AC2121" s="23"/>
      <c r="AD2121" s="23"/>
      <c r="AE2121" s="23"/>
      <c r="AF2121" s="23"/>
      <c r="AG2121" s="23"/>
      <c r="AH2121" s="23"/>
      <c r="AI2121" s="23"/>
      <c r="AJ2121" s="23"/>
      <c r="AK2121" s="23"/>
      <c r="AL2121" s="23"/>
      <c r="AM2121" s="23"/>
      <c r="AN2121" s="23"/>
      <c r="AO2121" s="23"/>
      <c r="AP2121" s="23"/>
      <c r="AQ2121" s="23"/>
      <c r="AR2121" s="23"/>
      <c r="AS2121" s="23"/>
      <c r="AT2121" s="23"/>
      <c r="AU2121" s="23"/>
      <c r="AV2121" s="23"/>
      <c r="AW2121" s="23"/>
      <c r="AX2121" s="23"/>
      <c r="AY2121" s="23"/>
      <c r="AZ2121" s="23"/>
      <c r="BA2121" s="23"/>
      <c r="BB2121" s="23"/>
    </row>
    <row r="2122" spans="5:54" x14ac:dyDescent="0.35"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  <c r="AA2122" s="23"/>
      <c r="AB2122" s="23"/>
      <c r="AC2122" s="23"/>
      <c r="AD2122" s="23"/>
      <c r="AE2122" s="23"/>
      <c r="AF2122" s="23"/>
      <c r="AG2122" s="23"/>
      <c r="AH2122" s="23"/>
      <c r="AI2122" s="23"/>
      <c r="AJ2122" s="23"/>
      <c r="AK2122" s="23"/>
      <c r="AL2122" s="23"/>
      <c r="AM2122" s="23"/>
      <c r="AN2122" s="23"/>
      <c r="AO2122" s="23"/>
      <c r="AP2122" s="23"/>
      <c r="AQ2122" s="23"/>
      <c r="AR2122" s="23"/>
      <c r="AS2122" s="23"/>
      <c r="AT2122" s="23"/>
      <c r="AU2122" s="23"/>
      <c r="AV2122" s="23"/>
      <c r="AW2122" s="23"/>
      <c r="AX2122" s="23"/>
      <c r="AY2122" s="23"/>
      <c r="AZ2122" s="23"/>
      <c r="BA2122" s="23"/>
      <c r="BB2122" s="23"/>
    </row>
    <row r="2123" spans="5:54" x14ac:dyDescent="0.35"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  <c r="AA2123" s="23"/>
      <c r="AB2123" s="23"/>
      <c r="AC2123" s="23"/>
      <c r="AD2123" s="23"/>
      <c r="AE2123" s="23"/>
      <c r="AF2123" s="23"/>
      <c r="AG2123" s="23"/>
      <c r="AH2123" s="23"/>
      <c r="AI2123" s="23"/>
      <c r="AJ2123" s="23"/>
      <c r="AK2123" s="23"/>
      <c r="AL2123" s="23"/>
      <c r="AM2123" s="23"/>
      <c r="AN2123" s="23"/>
      <c r="AO2123" s="23"/>
      <c r="AP2123" s="23"/>
      <c r="AQ2123" s="23"/>
      <c r="AR2123" s="23"/>
      <c r="AS2123" s="23"/>
      <c r="AT2123" s="23"/>
      <c r="AU2123" s="23"/>
      <c r="AV2123" s="23"/>
      <c r="AW2123" s="23"/>
      <c r="AX2123" s="23"/>
      <c r="AY2123" s="23"/>
      <c r="AZ2123" s="23"/>
      <c r="BA2123" s="23"/>
      <c r="BB2123" s="23"/>
    </row>
    <row r="2124" spans="5:54" x14ac:dyDescent="0.35"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  <c r="AA2124" s="23"/>
      <c r="AB2124" s="23"/>
      <c r="AC2124" s="23"/>
      <c r="AD2124" s="23"/>
      <c r="AE2124" s="23"/>
      <c r="AF2124" s="23"/>
      <c r="AG2124" s="23"/>
      <c r="AH2124" s="23"/>
      <c r="AI2124" s="23"/>
      <c r="AJ2124" s="23"/>
      <c r="AK2124" s="23"/>
      <c r="AL2124" s="23"/>
      <c r="AM2124" s="23"/>
      <c r="AN2124" s="23"/>
      <c r="AO2124" s="23"/>
      <c r="AP2124" s="23"/>
      <c r="AQ2124" s="23"/>
      <c r="AR2124" s="23"/>
      <c r="AS2124" s="23"/>
      <c r="AT2124" s="23"/>
      <c r="AU2124" s="23"/>
      <c r="AV2124" s="23"/>
      <c r="AW2124" s="23"/>
      <c r="AX2124" s="23"/>
      <c r="AY2124" s="23"/>
      <c r="AZ2124" s="23"/>
      <c r="BA2124" s="23"/>
      <c r="BB2124" s="23"/>
    </row>
    <row r="2125" spans="5:54" x14ac:dyDescent="0.35"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  <c r="AA2125" s="23"/>
      <c r="AB2125" s="23"/>
      <c r="AC2125" s="23"/>
      <c r="AD2125" s="23"/>
      <c r="AE2125" s="23"/>
      <c r="AF2125" s="23"/>
      <c r="AG2125" s="23"/>
      <c r="AH2125" s="23"/>
      <c r="AI2125" s="23"/>
      <c r="AJ2125" s="23"/>
      <c r="AK2125" s="23"/>
      <c r="AL2125" s="23"/>
      <c r="AM2125" s="23"/>
      <c r="AN2125" s="23"/>
      <c r="AO2125" s="23"/>
      <c r="AP2125" s="23"/>
      <c r="AQ2125" s="23"/>
      <c r="AR2125" s="23"/>
      <c r="AS2125" s="23"/>
      <c r="AT2125" s="23"/>
      <c r="AU2125" s="23"/>
      <c r="AV2125" s="23"/>
      <c r="AW2125" s="23"/>
      <c r="AX2125" s="23"/>
      <c r="AY2125" s="23"/>
      <c r="AZ2125" s="23"/>
      <c r="BA2125" s="23"/>
      <c r="BB2125" s="23"/>
    </row>
    <row r="2126" spans="5:54" x14ac:dyDescent="0.35"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  <c r="AA2126" s="23"/>
      <c r="AB2126" s="23"/>
      <c r="AC2126" s="23"/>
      <c r="AD2126" s="23"/>
      <c r="AE2126" s="23"/>
      <c r="AF2126" s="23"/>
      <c r="AG2126" s="23"/>
      <c r="AH2126" s="23"/>
      <c r="AI2126" s="23"/>
      <c r="AJ2126" s="23"/>
      <c r="AK2126" s="23"/>
      <c r="AL2126" s="23"/>
      <c r="AM2126" s="23"/>
      <c r="AN2126" s="23"/>
      <c r="AO2126" s="23"/>
      <c r="AP2126" s="23"/>
      <c r="AQ2126" s="23"/>
      <c r="AR2126" s="23"/>
      <c r="AS2126" s="23"/>
      <c r="AT2126" s="23"/>
      <c r="AU2126" s="23"/>
      <c r="AV2126" s="23"/>
      <c r="AW2126" s="23"/>
      <c r="AX2126" s="23"/>
      <c r="AY2126" s="23"/>
      <c r="AZ2126" s="23"/>
      <c r="BA2126" s="23"/>
      <c r="BB2126" s="23"/>
    </row>
    <row r="2127" spans="5:54" x14ac:dyDescent="0.35"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  <c r="AA2127" s="23"/>
      <c r="AB2127" s="23"/>
      <c r="AC2127" s="23"/>
      <c r="AD2127" s="23"/>
      <c r="AE2127" s="23"/>
      <c r="AF2127" s="23"/>
      <c r="AG2127" s="23"/>
      <c r="AH2127" s="23"/>
      <c r="AI2127" s="23"/>
      <c r="AJ2127" s="23"/>
      <c r="AK2127" s="23"/>
      <c r="AL2127" s="23"/>
      <c r="AM2127" s="23"/>
      <c r="AN2127" s="23"/>
      <c r="AO2127" s="23"/>
      <c r="AP2127" s="23"/>
      <c r="AQ2127" s="23"/>
      <c r="AR2127" s="23"/>
      <c r="AS2127" s="23"/>
      <c r="AT2127" s="23"/>
      <c r="AU2127" s="23"/>
      <c r="AV2127" s="23"/>
      <c r="AW2127" s="23"/>
      <c r="AX2127" s="23"/>
      <c r="AY2127" s="23"/>
      <c r="AZ2127" s="23"/>
      <c r="BA2127" s="23"/>
      <c r="BB2127" s="23"/>
    </row>
    <row r="2128" spans="5:54" x14ac:dyDescent="0.35"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  <c r="AA2128" s="23"/>
      <c r="AB2128" s="23"/>
      <c r="AC2128" s="23"/>
      <c r="AD2128" s="23"/>
      <c r="AE2128" s="23"/>
      <c r="AF2128" s="23"/>
      <c r="AG2128" s="23"/>
      <c r="AH2128" s="23"/>
      <c r="AI2128" s="23"/>
      <c r="AJ2128" s="23"/>
      <c r="AK2128" s="23"/>
      <c r="AL2128" s="23"/>
      <c r="AM2128" s="23"/>
      <c r="AN2128" s="23"/>
      <c r="AO2128" s="23"/>
      <c r="AP2128" s="23"/>
      <c r="AQ2128" s="23"/>
      <c r="AR2128" s="23"/>
      <c r="AS2128" s="23"/>
      <c r="AT2128" s="23"/>
      <c r="AU2128" s="23"/>
      <c r="AV2128" s="23"/>
      <c r="AW2128" s="23"/>
      <c r="AX2128" s="23"/>
      <c r="AY2128" s="23"/>
      <c r="AZ2128" s="23"/>
      <c r="BA2128" s="23"/>
      <c r="BB2128" s="23"/>
    </row>
    <row r="2129" spans="5:54" x14ac:dyDescent="0.35"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  <c r="AA2129" s="23"/>
      <c r="AB2129" s="23"/>
      <c r="AC2129" s="23"/>
      <c r="AD2129" s="23"/>
      <c r="AE2129" s="23"/>
      <c r="AF2129" s="23"/>
      <c r="AG2129" s="23"/>
      <c r="AH2129" s="23"/>
      <c r="AI2129" s="23"/>
      <c r="AJ2129" s="23"/>
      <c r="AK2129" s="23"/>
      <c r="AL2129" s="23"/>
      <c r="AM2129" s="23"/>
      <c r="AN2129" s="23"/>
      <c r="AO2129" s="23"/>
      <c r="AP2129" s="23"/>
      <c r="AQ2129" s="23"/>
      <c r="AR2129" s="23"/>
      <c r="AS2129" s="23"/>
      <c r="AT2129" s="23"/>
      <c r="AU2129" s="23"/>
      <c r="AV2129" s="23"/>
      <c r="AW2129" s="23"/>
      <c r="AX2129" s="23"/>
      <c r="AY2129" s="23"/>
      <c r="AZ2129" s="23"/>
      <c r="BA2129" s="23"/>
      <c r="BB2129" s="23"/>
    </row>
    <row r="2130" spans="5:54" x14ac:dyDescent="0.35"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  <c r="AA2130" s="23"/>
      <c r="AB2130" s="23"/>
      <c r="AC2130" s="23"/>
      <c r="AD2130" s="23"/>
      <c r="AE2130" s="23"/>
      <c r="AF2130" s="23"/>
      <c r="AG2130" s="23"/>
      <c r="AH2130" s="23"/>
      <c r="AI2130" s="23"/>
      <c r="AJ2130" s="23"/>
      <c r="AK2130" s="23"/>
      <c r="AL2130" s="23"/>
      <c r="AM2130" s="23"/>
      <c r="AN2130" s="23"/>
      <c r="AO2130" s="23"/>
      <c r="AP2130" s="23"/>
      <c r="AQ2130" s="23"/>
      <c r="AR2130" s="23"/>
      <c r="AS2130" s="23"/>
      <c r="AT2130" s="23"/>
      <c r="AU2130" s="23"/>
      <c r="AV2130" s="23"/>
      <c r="AW2130" s="23"/>
      <c r="AX2130" s="23"/>
      <c r="AY2130" s="23"/>
      <c r="AZ2130" s="23"/>
      <c r="BA2130" s="23"/>
      <c r="BB2130" s="23"/>
    </row>
    <row r="2131" spans="5:54" x14ac:dyDescent="0.35"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  <c r="AA2131" s="23"/>
      <c r="AB2131" s="23"/>
      <c r="AC2131" s="23"/>
      <c r="AD2131" s="23"/>
      <c r="AE2131" s="23"/>
      <c r="AF2131" s="23"/>
      <c r="AG2131" s="23"/>
      <c r="AH2131" s="23"/>
      <c r="AI2131" s="23"/>
      <c r="AJ2131" s="23"/>
      <c r="AK2131" s="23"/>
      <c r="AL2131" s="23"/>
      <c r="AM2131" s="23"/>
      <c r="AN2131" s="23"/>
      <c r="AO2131" s="23"/>
      <c r="AP2131" s="23"/>
      <c r="AQ2131" s="23"/>
      <c r="AR2131" s="23"/>
      <c r="AS2131" s="23"/>
      <c r="AT2131" s="23"/>
      <c r="AU2131" s="23"/>
      <c r="AV2131" s="23"/>
      <c r="AW2131" s="23"/>
      <c r="AX2131" s="23"/>
      <c r="AY2131" s="23"/>
      <c r="AZ2131" s="23"/>
      <c r="BA2131" s="23"/>
      <c r="BB2131" s="23"/>
    </row>
    <row r="2132" spans="5:54" x14ac:dyDescent="0.35"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  <c r="AA2132" s="23"/>
      <c r="AB2132" s="23"/>
      <c r="AC2132" s="23"/>
      <c r="AD2132" s="23"/>
      <c r="AE2132" s="23"/>
      <c r="AF2132" s="23"/>
      <c r="AG2132" s="23"/>
      <c r="AH2132" s="23"/>
      <c r="AI2132" s="23"/>
      <c r="AJ2132" s="23"/>
      <c r="AK2132" s="23"/>
      <c r="AL2132" s="23"/>
      <c r="AM2132" s="23"/>
      <c r="AN2132" s="23"/>
      <c r="AO2132" s="23"/>
      <c r="AP2132" s="23"/>
      <c r="AQ2132" s="23"/>
      <c r="AR2132" s="23"/>
      <c r="AS2132" s="23"/>
      <c r="AT2132" s="23"/>
      <c r="AU2132" s="23"/>
      <c r="AV2132" s="23"/>
      <c r="AW2132" s="23"/>
      <c r="AX2132" s="23"/>
      <c r="AY2132" s="23"/>
      <c r="AZ2132" s="23"/>
      <c r="BA2132" s="23"/>
      <c r="BB2132" s="23"/>
    </row>
    <row r="2133" spans="5:54" x14ac:dyDescent="0.35"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  <c r="AA2133" s="23"/>
      <c r="AB2133" s="23"/>
      <c r="AC2133" s="23"/>
      <c r="AD2133" s="23"/>
      <c r="AE2133" s="23"/>
      <c r="AF2133" s="23"/>
      <c r="AG2133" s="23"/>
      <c r="AH2133" s="23"/>
      <c r="AI2133" s="23"/>
      <c r="AJ2133" s="23"/>
      <c r="AK2133" s="23"/>
      <c r="AL2133" s="23"/>
      <c r="AM2133" s="23"/>
      <c r="AN2133" s="23"/>
      <c r="AO2133" s="23"/>
      <c r="AP2133" s="23"/>
      <c r="AQ2133" s="23"/>
      <c r="AR2133" s="23"/>
      <c r="AS2133" s="23"/>
      <c r="AT2133" s="23"/>
      <c r="AU2133" s="23"/>
      <c r="AV2133" s="23"/>
      <c r="AW2133" s="23"/>
      <c r="AX2133" s="23"/>
      <c r="AY2133" s="23"/>
      <c r="AZ2133" s="23"/>
      <c r="BA2133" s="23"/>
      <c r="BB2133" s="23"/>
    </row>
    <row r="2134" spans="5:54" x14ac:dyDescent="0.35"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  <c r="AA2134" s="23"/>
      <c r="AB2134" s="23"/>
      <c r="AC2134" s="23"/>
      <c r="AD2134" s="23"/>
      <c r="AE2134" s="23"/>
      <c r="AF2134" s="23"/>
      <c r="AG2134" s="23"/>
      <c r="AH2134" s="23"/>
      <c r="AI2134" s="23"/>
      <c r="AJ2134" s="23"/>
      <c r="AK2134" s="23"/>
      <c r="AL2134" s="23"/>
      <c r="AM2134" s="23"/>
      <c r="AN2134" s="23"/>
      <c r="AO2134" s="23"/>
      <c r="AP2134" s="23"/>
      <c r="AQ2134" s="23"/>
      <c r="AR2134" s="23"/>
      <c r="AS2134" s="23"/>
      <c r="AT2134" s="23"/>
      <c r="AU2134" s="23"/>
      <c r="AV2134" s="23"/>
      <c r="AW2134" s="23"/>
      <c r="AX2134" s="23"/>
      <c r="AY2134" s="23"/>
      <c r="AZ2134" s="23"/>
      <c r="BA2134" s="23"/>
      <c r="BB2134" s="23"/>
    </row>
    <row r="2135" spans="5:54" x14ac:dyDescent="0.35"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  <c r="AA2135" s="23"/>
      <c r="AB2135" s="23"/>
      <c r="AC2135" s="23"/>
      <c r="AD2135" s="23"/>
      <c r="AE2135" s="23"/>
      <c r="AF2135" s="23"/>
      <c r="AG2135" s="23"/>
      <c r="AH2135" s="23"/>
      <c r="AI2135" s="23"/>
      <c r="AJ2135" s="23"/>
      <c r="AK2135" s="23"/>
      <c r="AL2135" s="23"/>
      <c r="AM2135" s="23"/>
      <c r="AN2135" s="23"/>
      <c r="AO2135" s="23"/>
      <c r="AP2135" s="23"/>
      <c r="AQ2135" s="23"/>
      <c r="AR2135" s="23"/>
      <c r="AS2135" s="23"/>
      <c r="AT2135" s="23"/>
      <c r="AU2135" s="23"/>
      <c r="AV2135" s="23"/>
      <c r="AW2135" s="23"/>
      <c r="AX2135" s="23"/>
      <c r="AY2135" s="23"/>
      <c r="AZ2135" s="23"/>
      <c r="BA2135" s="23"/>
      <c r="BB2135" s="23"/>
    </row>
    <row r="2136" spans="5:54" x14ac:dyDescent="0.35"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  <c r="AA2136" s="23"/>
      <c r="AB2136" s="23"/>
      <c r="AC2136" s="23"/>
      <c r="AD2136" s="23"/>
      <c r="AE2136" s="23"/>
      <c r="AF2136" s="23"/>
      <c r="AG2136" s="23"/>
      <c r="AH2136" s="23"/>
      <c r="AI2136" s="23"/>
      <c r="AJ2136" s="23"/>
      <c r="AK2136" s="23"/>
      <c r="AL2136" s="23"/>
      <c r="AM2136" s="23"/>
      <c r="AN2136" s="23"/>
      <c r="AO2136" s="23"/>
      <c r="AP2136" s="23"/>
      <c r="AQ2136" s="23"/>
      <c r="AR2136" s="23"/>
      <c r="AS2136" s="23"/>
      <c r="AT2136" s="23"/>
      <c r="AU2136" s="23"/>
      <c r="AV2136" s="23"/>
      <c r="AW2136" s="23"/>
      <c r="AX2136" s="23"/>
      <c r="AY2136" s="23"/>
      <c r="AZ2136" s="23"/>
      <c r="BA2136" s="23"/>
      <c r="BB2136" s="23"/>
    </row>
    <row r="2137" spans="5:54" x14ac:dyDescent="0.35"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  <c r="AA2137" s="23"/>
      <c r="AB2137" s="23"/>
      <c r="AC2137" s="23"/>
      <c r="AD2137" s="23"/>
      <c r="AE2137" s="23"/>
      <c r="AF2137" s="23"/>
      <c r="AG2137" s="23"/>
      <c r="AH2137" s="23"/>
      <c r="AI2137" s="23"/>
      <c r="AJ2137" s="23"/>
      <c r="AK2137" s="23"/>
      <c r="AL2137" s="23"/>
      <c r="AM2137" s="23"/>
      <c r="AN2137" s="23"/>
      <c r="AO2137" s="23"/>
      <c r="AP2137" s="23"/>
      <c r="AQ2137" s="23"/>
      <c r="AR2137" s="23"/>
      <c r="AS2137" s="23"/>
      <c r="AT2137" s="23"/>
      <c r="AU2137" s="23"/>
      <c r="AV2137" s="23"/>
      <c r="AW2137" s="23"/>
      <c r="AX2137" s="23"/>
      <c r="AY2137" s="23"/>
      <c r="AZ2137" s="23"/>
      <c r="BA2137" s="23"/>
      <c r="BB2137" s="23"/>
    </row>
    <row r="2138" spans="5:54" x14ac:dyDescent="0.35"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  <c r="AA2138" s="23"/>
      <c r="AB2138" s="23"/>
      <c r="AC2138" s="23"/>
      <c r="AD2138" s="23"/>
      <c r="AE2138" s="23"/>
      <c r="AF2138" s="23"/>
      <c r="AG2138" s="23"/>
      <c r="AH2138" s="23"/>
      <c r="AI2138" s="23"/>
      <c r="AJ2138" s="23"/>
      <c r="AK2138" s="23"/>
      <c r="AL2138" s="23"/>
      <c r="AM2138" s="23"/>
      <c r="AN2138" s="23"/>
      <c r="AO2138" s="23"/>
      <c r="AP2138" s="23"/>
      <c r="AQ2138" s="23"/>
      <c r="AR2138" s="23"/>
      <c r="AS2138" s="23"/>
      <c r="AT2138" s="23"/>
      <c r="AU2138" s="23"/>
      <c r="AV2138" s="23"/>
      <c r="AW2138" s="23"/>
      <c r="AX2138" s="23"/>
      <c r="AY2138" s="23"/>
      <c r="AZ2138" s="23"/>
      <c r="BA2138" s="23"/>
      <c r="BB2138" s="23"/>
    </row>
    <row r="2139" spans="5:54" x14ac:dyDescent="0.35"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  <c r="AA2139" s="23"/>
      <c r="AB2139" s="23"/>
      <c r="AC2139" s="23"/>
      <c r="AD2139" s="23"/>
      <c r="AE2139" s="23"/>
      <c r="AF2139" s="23"/>
      <c r="AG2139" s="23"/>
      <c r="AH2139" s="23"/>
      <c r="AI2139" s="23"/>
      <c r="AJ2139" s="23"/>
      <c r="AK2139" s="23"/>
      <c r="AL2139" s="23"/>
      <c r="AM2139" s="23"/>
      <c r="AN2139" s="23"/>
      <c r="AO2139" s="23"/>
      <c r="AP2139" s="23"/>
      <c r="AQ2139" s="23"/>
      <c r="AR2139" s="23"/>
      <c r="AS2139" s="23"/>
      <c r="AT2139" s="23"/>
      <c r="AU2139" s="23"/>
      <c r="AV2139" s="23"/>
      <c r="AW2139" s="23"/>
      <c r="AX2139" s="23"/>
      <c r="AY2139" s="23"/>
      <c r="AZ2139" s="23"/>
      <c r="BA2139" s="23"/>
      <c r="BB2139" s="23"/>
    </row>
    <row r="2140" spans="5:54" x14ac:dyDescent="0.35"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  <c r="AA2140" s="23"/>
      <c r="AB2140" s="23"/>
      <c r="AC2140" s="23"/>
      <c r="AD2140" s="23"/>
      <c r="AE2140" s="23"/>
      <c r="AF2140" s="23"/>
      <c r="AG2140" s="23"/>
      <c r="AH2140" s="23"/>
      <c r="AI2140" s="23"/>
      <c r="AJ2140" s="23"/>
      <c r="AK2140" s="23"/>
      <c r="AL2140" s="23"/>
      <c r="AM2140" s="23"/>
      <c r="AN2140" s="23"/>
      <c r="AO2140" s="23"/>
      <c r="AP2140" s="23"/>
      <c r="AQ2140" s="23"/>
      <c r="AR2140" s="23"/>
      <c r="AS2140" s="23"/>
      <c r="AT2140" s="23"/>
      <c r="AU2140" s="23"/>
      <c r="AV2140" s="23"/>
      <c r="AW2140" s="23"/>
      <c r="AX2140" s="23"/>
      <c r="AY2140" s="23"/>
      <c r="AZ2140" s="23"/>
      <c r="BA2140" s="23"/>
      <c r="BB2140" s="23"/>
    </row>
    <row r="2141" spans="5:54" x14ac:dyDescent="0.35"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  <c r="AA2141" s="23"/>
      <c r="AB2141" s="23"/>
      <c r="AC2141" s="23"/>
      <c r="AD2141" s="23"/>
      <c r="AE2141" s="23"/>
      <c r="AF2141" s="23"/>
      <c r="AG2141" s="23"/>
      <c r="AH2141" s="23"/>
      <c r="AI2141" s="23"/>
      <c r="AJ2141" s="23"/>
      <c r="AK2141" s="23"/>
      <c r="AL2141" s="23"/>
      <c r="AM2141" s="23"/>
      <c r="AN2141" s="23"/>
      <c r="AO2141" s="23"/>
      <c r="AP2141" s="23"/>
      <c r="AQ2141" s="23"/>
      <c r="AR2141" s="23"/>
      <c r="AS2141" s="23"/>
      <c r="AT2141" s="23"/>
      <c r="AU2141" s="23"/>
      <c r="AV2141" s="23"/>
      <c r="AW2141" s="23"/>
      <c r="AX2141" s="23"/>
      <c r="AY2141" s="23"/>
      <c r="AZ2141" s="23"/>
      <c r="BA2141" s="23"/>
      <c r="BB2141" s="23"/>
    </row>
    <row r="2142" spans="5:54" x14ac:dyDescent="0.35"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  <c r="AA2142" s="23"/>
      <c r="AB2142" s="23"/>
      <c r="AC2142" s="23"/>
      <c r="AD2142" s="23"/>
      <c r="AE2142" s="23"/>
      <c r="AF2142" s="23"/>
      <c r="AG2142" s="23"/>
      <c r="AH2142" s="23"/>
      <c r="AI2142" s="23"/>
      <c r="AJ2142" s="23"/>
      <c r="AK2142" s="23"/>
      <c r="AL2142" s="23"/>
      <c r="AM2142" s="23"/>
      <c r="AN2142" s="23"/>
      <c r="AO2142" s="23"/>
      <c r="AP2142" s="23"/>
      <c r="AQ2142" s="23"/>
      <c r="AR2142" s="23"/>
      <c r="AS2142" s="23"/>
      <c r="AT2142" s="23"/>
      <c r="AU2142" s="23"/>
      <c r="AV2142" s="23"/>
      <c r="AW2142" s="23"/>
      <c r="AX2142" s="23"/>
      <c r="AY2142" s="23"/>
      <c r="AZ2142" s="23"/>
      <c r="BA2142" s="23"/>
      <c r="BB2142" s="23"/>
    </row>
    <row r="2143" spans="5:54" x14ac:dyDescent="0.35"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  <c r="AA2143" s="23"/>
      <c r="AB2143" s="23"/>
      <c r="AC2143" s="23"/>
      <c r="AD2143" s="23"/>
      <c r="AE2143" s="23"/>
      <c r="AF2143" s="23"/>
      <c r="AG2143" s="23"/>
      <c r="AH2143" s="23"/>
      <c r="AI2143" s="23"/>
      <c r="AJ2143" s="23"/>
      <c r="AK2143" s="23"/>
      <c r="AL2143" s="23"/>
      <c r="AM2143" s="23"/>
      <c r="AN2143" s="23"/>
      <c r="AO2143" s="23"/>
      <c r="AP2143" s="23"/>
      <c r="AQ2143" s="23"/>
      <c r="AR2143" s="23"/>
      <c r="AS2143" s="23"/>
      <c r="AT2143" s="23"/>
      <c r="AU2143" s="23"/>
      <c r="AV2143" s="23"/>
      <c r="AW2143" s="23"/>
      <c r="AX2143" s="23"/>
      <c r="AY2143" s="23"/>
      <c r="AZ2143" s="23"/>
      <c r="BA2143" s="23"/>
      <c r="BB2143" s="23"/>
    </row>
    <row r="2144" spans="5:54" x14ac:dyDescent="0.35"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  <c r="AA2144" s="23"/>
      <c r="AB2144" s="23"/>
      <c r="AC2144" s="23"/>
      <c r="AD2144" s="23"/>
      <c r="AE2144" s="23"/>
      <c r="AF2144" s="23"/>
      <c r="AG2144" s="23"/>
      <c r="AH2144" s="23"/>
      <c r="AI2144" s="23"/>
      <c r="AJ2144" s="23"/>
      <c r="AK2144" s="23"/>
      <c r="AL2144" s="23"/>
      <c r="AM2144" s="23"/>
      <c r="AN2144" s="23"/>
      <c r="AO2144" s="23"/>
      <c r="AP2144" s="23"/>
      <c r="AQ2144" s="23"/>
      <c r="AR2144" s="23"/>
      <c r="AS2144" s="23"/>
      <c r="AT2144" s="23"/>
      <c r="AU2144" s="23"/>
      <c r="AV2144" s="23"/>
      <c r="AW2144" s="23"/>
      <c r="AX2144" s="23"/>
      <c r="AY2144" s="23"/>
      <c r="AZ2144" s="23"/>
      <c r="BA2144" s="23"/>
      <c r="BB2144" s="23"/>
    </row>
    <row r="2145" spans="5:54" x14ac:dyDescent="0.35"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  <c r="AA2145" s="23"/>
      <c r="AB2145" s="23"/>
      <c r="AC2145" s="23"/>
      <c r="AD2145" s="23"/>
      <c r="AE2145" s="23"/>
      <c r="AF2145" s="23"/>
      <c r="AG2145" s="23"/>
      <c r="AH2145" s="23"/>
      <c r="AI2145" s="23"/>
      <c r="AJ2145" s="23"/>
      <c r="AK2145" s="23"/>
      <c r="AL2145" s="23"/>
      <c r="AM2145" s="23"/>
      <c r="AN2145" s="23"/>
      <c r="AO2145" s="23"/>
      <c r="AP2145" s="23"/>
      <c r="AQ2145" s="23"/>
      <c r="AR2145" s="23"/>
      <c r="AS2145" s="23"/>
      <c r="AT2145" s="23"/>
      <c r="AU2145" s="23"/>
      <c r="AV2145" s="23"/>
      <c r="AW2145" s="23"/>
      <c r="AX2145" s="23"/>
      <c r="AY2145" s="23"/>
      <c r="AZ2145" s="23"/>
      <c r="BA2145" s="23"/>
      <c r="BB2145" s="23"/>
    </row>
    <row r="2146" spans="5:54" x14ac:dyDescent="0.35"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  <c r="AA2146" s="23"/>
      <c r="AB2146" s="23"/>
      <c r="AC2146" s="23"/>
      <c r="AD2146" s="23"/>
      <c r="AE2146" s="23"/>
      <c r="AF2146" s="23"/>
      <c r="AG2146" s="23"/>
      <c r="AH2146" s="23"/>
      <c r="AI2146" s="23"/>
      <c r="AJ2146" s="23"/>
      <c r="AK2146" s="23"/>
      <c r="AL2146" s="23"/>
      <c r="AM2146" s="23"/>
      <c r="AN2146" s="23"/>
      <c r="AO2146" s="23"/>
      <c r="AP2146" s="23"/>
      <c r="AQ2146" s="23"/>
      <c r="AR2146" s="23"/>
      <c r="AS2146" s="23"/>
      <c r="AT2146" s="23"/>
      <c r="AU2146" s="23"/>
      <c r="AV2146" s="23"/>
      <c r="AW2146" s="23"/>
      <c r="AX2146" s="23"/>
      <c r="AY2146" s="23"/>
      <c r="AZ2146" s="23"/>
      <c r="BA2146" s="23"/>
      <c r="BB2146" s="23"/>
    </row>
    <row r="2147" spans="5:54" x14ac:dyDescent="0.35"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  <c r="AA2147" s="23"/>
      <c r="AB2147" s="23"/>
      <c r="AC2147" s="23"/>
      <c r="AD2147" s="23"/>
      <c r="AE2147" s="23"/>
      <c r="AF2147" s="23"/>
      <c r="AG2147" s="23"/>
      <c r="AH2147" s="23"/>
      <c r="AI2147" s="23"/>
      <c r="AJ2147" s="23"/>
      <c r="AK2147" s="23"/>
      <c r="AL2147" s="23"/>
      <c r="AM2147" s="23"/>
      <c r="AN2147" s="23"/>
      <c r="AO2147" s="23"/>
      <c r="AP2147" s="23"/>
      <c r="AQ2147" s="23"/>
      <c r="AR2147" s="23"/>
      <c r="AS2147" s="23"/>
      <c r="AT2147" s="23"/>
      <c r="AU2147" s="23"/>
      <c r="AV2147" s="23"/>
      <c r="AW2147" s="23"/>
      <c r="AX2147" s="23"/>
      <c r="AY2147" s="23"/>
      <c r="AZ2147" s="23"/>
      <c r="BA2147" s="23"/>
      <c r="BB2147" s="23"/>
    </row>
    <row r="2148" spans="5:54" x14ac:dyDescent="0.35"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  <c r="AA2148" s="23"/>
      <c r="AB2148" s="23"/>
      <c r="AC2148" s="23"/>
      <c r="AD2148" s="23"/>
      <c r="AE2148" s="23"/>
      <c r="AF2148" s="23"/>
      <c r="AG2148" s="23"/>
      <c r="AH2148" s="23"/>
      <c r="AI2148" s="23"/>
      <c r="AJ2148" s="23"/>
      <c r="AK2148" s="23"/>
      <c r="AL2148" s="23"/>
      <c r="AM2148" s="23"/>
      <c r="AN2148" s="23"/>
      <c r="AO2148" s="23"/>
      <c r="AP2148" s="23"/>
      <c r="AQ2148" s="23"/>
      <c r="AR2148" s="23"/>
      <c r="AS2148" s="23"/>
      <c r="AT2148" s="23"/>
      <c r="AU2148" s="23"/>
      <c r="AV2148" s="23"/>
      <c r="AW2148" s="23"/>
      <c r="AX2148" s="23"/>
      <c r="AY2148" s="23"/>
      <c r="AZ2148" s="23"/>
      <c r="BA2148" s="23"/>
      <c r="BB2148" s="23"/>
    </row>
    <row r="2149" spans="5:54" x14ac:dyDescent="0.35"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  <c r="AA2149" s="23"/>
      <c r="AB2149" s="23"/>
      <c r="AC2149" s="23"/>
      <c r="AD2149" s="23"/>
      <c r="AE2149" s="23"/>
      <c r="AF2149" s="23"/>
      <c r="AG2149" s="23"/>
      <c r="AH2149" s="23"/>
      <c r="AI2149" s="23"/>
      <c r="AJ2149" s="23"/>
      <c r="AK2149" s="23"/>
      <c r="AL2149" s="23"/>
      <c r="AM2149" s="23"/>
      <c r="AN2149" s="23"/>
      <c r="AO2149" s="23"/>
      <c r="AP2149" s="23"/>
      <c r="AQ2149" s="23"/>
      <c r="AR2149" s="23"/>
      <c r="AS2149" s="23"/>
      <c r="AT2149" s="23"/>
      <c r="AU2149" s="23"/>
      <c r="AV2149" s="23"/>
      <c r="AW2149" s="23"/>
      <c r="AX2149" s="23"/>
      <c r="AY2149" s="23"/>
      <c r="AZ2149" s="23"/>
      <c r="BA2149" s="23"/>
      <c r="BB2149" s="23"/>
    </row>
    <row r="2150" spans="5:54" x14ac:dyDescent="0.35"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  <c r="AA2150" s="23"/>
      <c r="AB2150" s="23"/>
      <c r="AC2150" s="23"/>
      <c r="AD2150" s="23"/>
      <c r="AE2150" s="23"/>
      <c r="AF2150" s="23"/>
      <c r="AG2150" s="23"/>
      <c r="AH2150" s="23"/>
      <c r="AI2150" s="23"/>
      <c r="AJ2150" s="23"/>
      <c r="AK2150" s="23"/>
      <c r="AL2150" s="23"/>
      <c r="AM2150" s="23"/>
      <c r="AN2150" s="23"/>
      <c r="AO2150" s="23"/>
      <c r="AP2150" s="23"/>
      <c r="AQ2150" s="23"/>
      <c r="AR2150" s="23"/>
      <c r="AS2150" s="23"/>
      <c r="AT2150" s="23"/>
      <c r="AU2150" s="23"/>
      <c r="AV2150" s="23"/>
      <c r="AW2150" s="23"/>
      <c r="AX2150" s="23"/>
      <c r="AY2150" s="23"/>
      <c r="AZ2150" s="23"/>
      <c r="BA2150" s="23"/>
      <c r="BB2150" s="23"/>
    </row>
    <row r="2151" spans="5:54" x14ac:dyDescent="0.35"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  <c r="AA2151" s="23"/>
      <c r="AB2151" s="23"/>
      <c r="AC2151" s="23"/>
      <c r="AD2151" s="23"/>
      <c r="AE2151" s="23"/>
      <c r="AF2151" s="23"/>
      <c r="AG2151" s="23"/>
      <c r="AH2151" s="23"/>
      <c r="AI2151" s="23"/>
      <c r="AJ2151" s="23"/>
      <c r="AK2151" s="23"/>
      <c r="AL2151" s="23"/>
      <c r="AM2151" s="23"/>
      <c r="AN2151" s="23"/>
      <c r="AO2151" s="23"/>
      <c r="AP2151" s="23"/>
      <c r="AQ2151" s="23"/>
      <c r="AR2151" s="23"/>
      <c r="AS2151" s="23"/>
      <c r="AT2151" s="23"/>
      <c r="AU2151" s="23"/>
      <c r="AV2151" s="23"/>
      <c r="AW2151" s="23"/>
      <c r="AX2151" s="23"/>
      <c r="AY2151" s="23"/>
      <c r="AZ2151" s="23"/>
      <c r="BA2151" s="23"/>
      <c r="BB2151" s="23"/>
    </row>
    <row r="2152" spans="5:54" x14ac:dyDescent="0.35"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  <c r="AA2152" s="23"/>
      <c r="AB2152" s="23"/>
      <c r="AC2152" s="23"/>
      <c r="AD2152" s="23"/>
      <c r="AE2152" s="23"/>
      <c r="AF2152" s="23"/>
      <c r="AG2152" s="23"/>
      <c r="AH2152" s="23"/>
      <c r="AI2152" s="23"/>
      <c r="AJ2152" s="23"/>
      <c r="AK2152" s="23"/>
      <c r="AL2152" s="23"/>
      <c r="AM2152" s="23"/>
      <c r="AN2152" s="23"/>
      <c r="AO2152" s="23"/>
      <c r="AP2152" s="23"/>
      <c r="AQ2152" s="23"/>
      <c r="AR2152" s="23"/>
      <c r="AS2152" s="23"/>
      <c r="AT2152" s="23"/>
      <c r="AU2152" s="23"/>
      <c r="AV2152" s="23"/>
      <c r="AW2152" s="23"/>
      <c r="AX2152" s="23"/>
      <c r="AY2152" s="23"/>
      <c r="AZ2152" s="23"/>
      <c r="BA2152" s="23"/>
      <c r="BB2152" s="23"/>
    </row>
    <row r="2153" spans="5:54" x14ac:dyDescent="0.35"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  <c r="AA2153" s="23"/>
      <c r="AB2153" s="23"/>
      <c r="AC2153" s="23"/>
      <c r="AD2153" s="23"/>
      <c r="AE2153" s="23"/>
      <c r="AF2153" s="23"/>
      <c r="AG2153" s="23"/>
      <c r="AH2153" s="23"/>
      <c r="AI2153" s="23"/>
      <c r="AJ2153" s="23"/>
      <c r="AK2153" s="23"/>
      <c r="AL2153" s="23"/>
      <c r="AM2153" s="23"/>
      <c r="AN2153" s="23"/>
      <c r="AO2153" s="23"/>
      <c r="AP2153" s="23"/>
      <c r="AQ2153" s="23"/>
      <c r="AR2153" s="23"/>
      <c r="AS2153" s="23"/>
      <c r="AT2153" s="23"/>
      <c r="AU2153" s="23"/>
      <c r="AV2153" s="23"/>
      <c r="AW2153" s="23"/>
      <c r="AX2153" s="23"/>
      <c r="AY2153" s="23"/>
      <c r="AZ2153" s="23"/>
      <c r="BA2153" s="23"/>
      <c r="BB2153" s="23"/>
    </row>
    <row r="2154" spans="5:54" x14ac:dyDescent="0.35"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  <c r="AA2154" s="23"/>
      <c r="AB2154" s="23"/>
      <c r="AC2154" s="23"/>
      <c r="AD2154" s="23"/>
      <c r="AE2154" s="23"/>
      <c r="AF2154" s="23"/>
      <c r="AG2154" s="23"/>
      <c r="AH2154" s="23"/>
      <c r="AI2154" s="23"/>
      <c r="AJ2154" s="23"/>
      <c r="AK2154" s="23"/>
      <c r="AL2154" s="23"/>
      <c r="AM2154" s="23"/>
      <c r="AN2154" s="23"/>
      <c r="AO2154" s="23"/>
      <c r="AP2154" s="23"/>
      <c r="AQ2154" s="23"/>
      <c r="AR2154" s="23"/>
      <c r="AS2154" s="23"/>
      <c r="AT2154" s="23"/>
      <c r="AU2154" s="23"/>
      <c r="AV2154" s="23"/>
      <c r="AW2154" s="23"/>
      <c r="AX2154" s="23"/>
      <c r="AY2154" s="23"/>
      <c r="AZ2154" s="23"/>
      <c r="BA2154" s="23"/>
      <c r="BB2154" s="23"/>
    </row>
    <row r="2155" spans="5:54" x14ac:dyDescent="0.35"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  <c r="AA2155" s="23"/>
      <c r="AB2155" s="23"/>
      <c r="AC2155" s="23"/>
      <c r="AD2155" s="23"/>
      <c r="AE2155" s="23"/>
      <c r="AF2155" s="23"/>
      <c r="AG2155" s="23"/>
      <c r="AH2155" s="23"/>
      <c r="AI2155" s="23"/>
      <c r="AJ2155" s="23"/>
      <c r="AK2155" s="23"/>
      <c r="AL2155" s="23"/>
      <c r="AM2155" s="23"/>
      <c r="AN2155" s="23"/>
      <c r="AO2155" s="23"/>
      <c r="AP2155" s="23"/>
      <c r="AQ2155" s="23"/>
      <c r="AR2155" s="23"/>
      <c r="AS2155" s="23"/>
      <c r="AT2155" s="23"/>
      <c r="AU2155" s="23"/>
      <c r="AV2155" s="23"/>
      <c r="AW2155" s="23"/>
      <c r="AX2155" s="23"/>
      <c r="AY2155" s="23"/>
      <c r="AZ2155" s="23"/>
      <c r="BA2155" s="23"/>
      <c r="BB2155" s="23"/>
    </row>
    <row r="2156" spans="5:54" x14ac:dyDescent="0.35"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  <c r="AA2156" s="23"/>
      <c r="AB2156" s="23"/>
      <c r="AC2156" s="23"/>
      <c r="AD2156" s="23"/>
      <c r="AE2156" s="23"/>
      <c r="AF2156" s="23"/>
      <c r="AG2156" s="23"/>
      <c r="AH2156" s="23"/>
      <c r="AI2156" s="23"/>
      <c r="AJ2156" s="23"/>
      <c r="AK2156" s="23"/>
      <c r="AL2156" s="23"/>
      <c r="AM2156" s="23"/>
      <c r="AN2156" s="23"/>
      <c r="AO2156" s="23"/>
      <c r="AP2156" s="23"/>
      <c r="AQ2156" s="23"/>
      <c r="AR2156" s="23"/>
      <c r="AS2156" s="23"/>
      <c r="AT2156" s="23"/>
      <c r="AU2156" s="23"/>
      <c r="AV2156" s="23"/>
      <c r="AW2156" s="23"/>
      <c r="AX2156" s="23"/>
      <c r="AY2156" s="23"/>
      <c r="AZ2156" s="23"/>
      <c r="BA2156" s="23"/>
      <c r="BB2156" s="23"/>
    </row>
    <row r="2157" spans="5:54" x14ac:dyDescent="0.35"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  <c r="AA2157" s="23"/>
      <c r="AB2157" s="23"/>
      <c r="AC2157" s="23"/>
      <c r="AD2157" s="23"/>
      <c r="AE2157" s="23"/>
      <c r="AF2157" s="23"/>
      <c r="AG2157" s="23"/>
      <c r="AH2157" s="23"/>
      <c r="AI2157" s="23"/>
      <c r="AJ2157" s="23"/>
      <c r="AK2157" s="23"/>
      <c r="AL2157" s="23"/>
      <c r="AM2157" s="23"/>
      <c r="AN2157" s="23"/>
      <c r="AO2157" s="23"/>
      <c r="AP2157" s="23"/>
      <c r="AQ2157" s="23"/>
      <c r="AR2157" s="23"/>
      <c r="AS2157" s="23"/>
      <c r="AT2157" s="23"/>
      <c r="AU2157" s="23"/>
      <c r="AV2157" s="23"/>
      <c r="AW2157" s="23"/>
      <c r="AX2157" s="23"/>
      <c r="AY2157" s="23"/>
      <c r="AZ2157" s="23"/>
      <c r="BA2157" s="23"/>
      <c r="BB2157" s="23"/>
    </row>
    <row r="2158" spans="5:54" x14ac:dyDescent="0.35"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  <c r="AA2158" s="23"/>
      <c r="AB2158" s="23"/>
      <c r="AC2158" s="23"/>
      <c r="AD2158" s="23"/>
      <c r="AE2158" s="23"/>
      <c r="AF2158" s="23"/>
      <c r="AG2158" s="23"/>
      <c r="AH2158" s="23"/>
      <c r="AI2158" s="23"/>
      <c r="AJ2158" s="23"/>
      <c r="AK2158" s="23"/>
      <c r="AL2158" s="23"/>
      <c r="AM2158" s="23"/>
      <c r="AN2158" s="23"/>
      <c r="AO2158" s="23"/>
      <c r="AP2158" s="23"/>
      <c r="AQ2158" s="23"/>
      <c r="AR2158" s="23"/>
      <c r="AS2158" s="23"/>
      <c r="AT2158" s="23"/>
      <c r="AU2158" s="23"/>
      <c r="AV2158" s="23"/>
      <c r="AW2158" s="23"/>
      <c r="AX2158" s="23"/>
      <c r="AY2158" s="23"/>
      <c r="AZ2158" s="23"/>
      <c r="BA2158" s="23"/>
      <c r="BB2158" s="23"/>
    </row>
    <row r="2159" spans="5:54" x14ac:dyDescent="0.35"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  <c r="AA2159" s="23"/>
      <c r="AB2159" s="23"/>
      <c r="AC2159" s="23"/>
      <c r="AD2159" s="23"/>
      <c r="AE2159" s="23"/>
      <c r="AF2159" s="23"/>
      <c r="AG2159" s="23"/>
      <c r="AH2159" s="23"/>
      <c r="AI2159" s="23"/>
      <c r="AJ2159" s="23"/>
      <c r="AK2159" s="23"/>
      <c r="AL2159" s="23"/>
      <c r="AM2159" s="23"/>
      <c r="AN2159" s="23"/>
      <c r="AO2159" s="23"/>
      <c r="AP2159" s="23"/>
      <c r="AQ2159" s="23"/>
      <c r="AR2159" s="23"/>
      <c r="AS2159" s="23"/>
      <c r="AT2159" s="23"/>
      <c r="AU2159" s="23"/>
      <c r="AV2159" s="23"/>
      <c r="AW2159" s="23"/>
      <c r="AX2159" s="23"/>
      <c r="AY2159" s="23"/>
      <c r="AZ2159" s="23"/>
      <c r="BA2159" s="23"/>
      <c r="BB2159" s="23"/>
    </row>
    <row r="2160" spans="5:54" x14ac:dyDescent="0.35"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  <c r="AA2160" s="23"/>
      <c r="AB2160" s="23"/>
      <c r="AC2160" s="23"/>
      <c r="AD2160" s="23"/>
      <c r="AE2160" s="23"/>
      <c r="AF2160" s="23"/>
      <c r="AG2160" s="23"/>
      <c r="AH2160" s="23"/>
      <c r="AI2160" s="23"/>
      <c r="AJ2160" s="23"/>
      <c r="AK2160" s="23"/>
      <c r="AL2160" s="23"/>
      <c r="AM2160" s="23"/>
      <c r="AN2160" s="23"/>
      <c r="AO2160" s="23"/>
      <c r="AP2160" s="23"/>
      <c r="AQ2160" s="23"/>
      <c r="AR2160" s="23"/>
      <c r="AS2160" s="23"/>
      <c r="AT2160" s="23"/>
      <c r="AU2160" s="23"/>
      <c r="AV2160" s="23"/>
      <c r="AW2160" s="23"/>
      <c r="AX2160" s="23"/>
      <c r="AY2160" s="23"/>
      <c r="AZ2160" s="23"/>
      <c r="BA2160" s="23"/>
      <c r="BB2160" s="23"/>
    </row>
    <row r="2161" spans="5:54" x14ac:dyDescent="0.35"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  <c r="AA2161" s="23"/>
      <c r="AB2161" s="23"/>
      <c r="AC2161" s="23"/>
      <c r="AD2161" s="23"/>
      <c r="AE2161" s="23"/>
      <c r="AF2161" s="23"/>
      <c r="AG2161" s="23"/>
      <c r="AH2161" s="23"/>
      <c r="AI2161" s="23"/>
      <c r="AJ2161" s="23"/>
      <c r="AK2161" s="23"/>
      <c r="AL2161" s="23"/>
      <c r="AM2161" s="23"/>
      <c r="AN2161" s="23"/>
      <c r="AO2161" s="23"/>
      <c r="AP2161" s="23"/>
      <c r="AQ2161" s="23"/>
      <c r="AR2161" s="23"/>
      <c r="AS2161" s="23"/>
      <c r="AT2161" s="23"/>
      <c r="AU2161" s="23"/>
      <c r="AV2161" s="23"/>
      <c r="AW2161" s="23"/>
      <c r="AX2161" s="23"/>
      <c r="AY2161" s="23"/>
      <c r="AZ2161" s="23"/>
      <c r="BA2161" s="23"/>
      <c r="BB2161" s="23"/>
    </row>
    <row r="2162" spans="5:54" x14ac:dyDescent="0.35"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  <c r="AA2162" s="23"/>
      <c r="AB2162" s="23"/>
      <c r="AC2162" s="23"/>
      <c r="AD2162" s="23"/>
      <c r="AE2162" s="23"/>
      <c r="AF2162" s="23"/>
      <c r="AG2162" s="23"/>
      <c r="AH2162" s="23"/>
      <c r="AI2162" s="23"/>
      <c r="AJ2162" s="23"/>
      <c r="AK2162" s="23"/>
      <c r="AL2162" s="23"/>
      <c r="AM2162" s="23"/>
      <c r="AN2162" s="23"/>
      <c r="AO2162" s="23"/>
      <c r="AP2162" s="23"/>
      <c r="AQ2162" s="23"/>
      <c r="AR2162" s="23"/>
      <c r="AS2162" s="23"/>
      <c r="AT2162" s="23"/>
      <c r="AU2162" s="23"/>
      <c r="AV2162" s="23"/>
      <c r="AW2162" s="23"/>
      <c r="AX2162" s="23"/>
      <c r="AY2162" s="23"/>
      <c r="AZ2162" s="23"/>
      <c r="BA2162" s="23"/>
      <c r="BB2162" s="23"/>
    </row>
    <row r="2163" spans="5:54" x14ac:dyDescent="0.35"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  <c r="AA2163" s="23"/>
      <c r="AB2163" s="23"/>
      <c r="AC2163" s="23"/>
      <c r="AD2163" s="23"/>
      <c r="AE2163" s="23"/>
      <c r="AF2163" s="23"/>
      <c r="AG2163" s="23"/>
      <c r="AH2163" s="23"/>
      <c r="AI2163" s="23"/>
      <c r="AJ2163" s="23"/>
      <c r="AK2163" s="23"/>
      <c r="AL2163" s="23"/>
      <c r="AM2163" s="23"/>
      <c r="AN2163" s="23"/>
      <c r="AO2163" s="23"/>
      <c r="AP2163" s="23"/>
      <c r="AQ2163" s="23"/>
      <c r="AR2163" s="23"/>
      <c r="AS2163" s="23"/>
      <c r="AT2163" s="23"/>
      <c r="AU2163" s="23"/>
      <c r="AV2163" s="23"/>
      <c r="AW2163" s="23"/>
      <c r="AX2163" s="23"/>
      <c r="AY2163" s="23"/>
      <c r="AZ2163" s="23"/>
      <c r="BA2163" s="23"/>
      <c r="BB2163" s="23"/>
    </row>
    <row r="2164" spans="5:54" x14ac:dyDescent="0.35"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  <c r="AA2164" s="23"/>
      <c r="AB2164" s="23"/>
      <c r="AC2164" s="23"/>
      <c r="AD2164" s="23"/>
      <c r="AE2164" s="23"/>
      <c r="AF2164" s="23"/>
      <c r="AG2164" s="23"/>
      <c r="AH2164" s="23"/>
      <c r="AI2164" s="23"/>
      <c r="AJ2164" s="23"/>
      <c r="AK2164" s="23"/>
      <c r="AL2164" s="23"/>
      <c r="AM2164" s="23"/>
      <c r="AN2164" s="23"/>
      <c r="AO2164" s="23"/>
      <c r="AP2164" s="23"/>
      <c r="AQ2164" s="23"/>
      <c r="AR2164" s="23"/>
      <c r="AS2164" s="23"/>
      <c r="AT2164" s="23"/>
      <c r="AU2164" s="23"/>
      <c r="AV2164" s="23"/>
      <c r="AW2164" s="23"/>
      <c r="AX2164" s="23"/>
      <c r="AY2164" s="23"/>
      <c r="AZ2164" s="23"/>
      <c r="BA2164" s="23"/>
      <c r="BB2164" s="23"/>
    </row>
    <row r="2165" spans="5:54" x14ac:dyDescent="0.35"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  <c r="AA2165" s="23"/>
      <c r="AB2165" s="23"/>
      <c r="AC2165" s="23"/>
      <c r="AD2165" s="23"/>
      <c r="AE2165" s="23"/>
      <c r="AF2165" s="23"/>
      <c r="AG2165" s="23"/>
      <c r="AH2165" s="23"/>
      <c r="AI2165" s="23"/>
      <c r="AJ2165" s="23"/>
      <c r="AK2165" s="23"/>
      <c r="AL2165" s="23"/>
      <c r="AM2165" s="23"/>
      <c r="AN2165" s="23"/>
      <c r="AO2165" s="23"/>
      <c r="AP2165" s="23"/>
      <c r="AQ2165" s="23"/>
      <c r="AR2165" s="23"/>
      <c r="AS2165" s="23"/>
      <c r="AT2165" s="23"/>
      <c r="AU2165" s="23"/>
      <c r="AV2165" s="23"/>
      <c r="AW2165" s="23"/>
      <c r="AX2165" s="23"/>
      <c r="AY2165" s="23"/>
      <c r="AZ2165" s="23"/>
      <c r="BA2165" s="23"/>
      <c r="BB2165" s="23"/>
    </row>
    <row r="2166" spans="5:54" x14ac:dyDescent="0.35"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  <c r="AA2166" s="23"/>
      <c r="AB2166" s="23"/>
      <c r="AC2166" s="23"/>
      <c r="AD2166" s="23"/>
      <c r="AE2166" s="23"/>
      <c r="AF2166" s="23"/>
      <c r="AG2166" s="23"/>
      <c r="AH2166" s="23"/>
      <c r="AI2166" s="23"/>
      <c r="AJ2166" s="23"/>
      <c r="AK2166" s="23"/>
      <c r="AL2166" s="23"/>
      <c r="AM2166" s="23"/>
      <c r="AN2166" s="23"/>
      <c r="AO2166" s="23"/>
      <c r="AP2166" s="23"/>
      <c r="AQ2166" s="23"/>
      <c r="AR2166" s="23"/>
      <c r="AS2166" s="23"/>
      <c r="AT2166" s="23"/>
      <c r="AU2166" s="23"/>
      <c r="AV2166" s="23"/>
      <c r="AW2166" s="23"/>
      <c r="AX2166" s="23"/>
      <c r="AY2166" s="23"/>
      <c r="AZ2166" s="23"/>
      <c r="BA2166" s="23"/>
      <c r="BB2166" s="23"/>
    </row>
    <row r="2167" spans="5:54" x14ac:dyDescent="0.35"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  <c r="AA2167" s="23"/>
      <c r="AB2167" s="23"/>
      <c r="AC2167" s="23"/>
      <c r="AD2167" s="23"/>
      <c r="AE2167" s="23"/>
      <c r="AF2167" s="23"/>
      <c r="AG2167" s="23"/>
      <c r="AH2167" s="23"/>
      <c r="AI2167" s="23"/>
      <c r="AJ2167" s="23"/>
      <c r="AK2167" s="23"/>
      <c r="AL2167" s="23"/>
      <c r="AM2167" s="23"/>
      <c r="AN2167" s="23"/>
      <c r="AO2167" s="23"/>
      <c r="AP2167" s="23"/>
      <c r="AQ2167" s="23"/>
      <c r="AR2167" s="23"/>
      <c r="AS2167" s="23"/>
      <c r="AT2167" s="23"/>
      <c r="AU2167" s="23"/>
      <c r="AV2167" s="23"/>
      <c r="AW2167" s="23"/>
      <c r="AX2167" s="23"/>
      <c r="AY2167" s="23"/>
      <c r="AZ2167" s="23"/>
      <c r="BA2167" s="23"/>
      <c r="BB2167" s="23"/>
    </row>
    <row r="2168" spans="5:54" x14ac:dyDescent="0.35"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  <c r="AA2168" s="23"/>
      <c r="AB2168" s="23"/>
      <c r="AC2168" s="23"/>
      <c r="AD2168" s="23"/>
      <c r="AE2168" s="23"/>
      <c r="AF2168" s="23"/>
      <c r="AG2168" s="23"/>
      <c r="AH2168" s="23"/>
      <c r="AI2168" s="23"/>
      <c r="AJ2168" s="23"/>
      <c r="AK2168" s="23"/>
      <c r="AL2168" s="23"/>
      <c r="AM2168" s="23"/>
      <c r="AN2168" s="23"/>
      <c r="AO2168" s="23"/>
      <c r="AP2168" s="23"/>
      <c r="AQ2168" s="23"/>
      <c r="AR2168" s="23"/>
      <c r="AS2168" s="23"/>
      <c r="AT2168" s="23"/>
      <c r="AU2168" s="23"/>
      <c r="AV2168" s="23"/>
      <c r="AW2168" s="23"/>
      <c r="AX2168" s="23"/>
      <c r="AY2168" s="23"/>
      <c r="AZ2168" s="23"/>
      <c r="BA2168" s="23"/>
      <c r="BB2168" s="23"/>
    </row>
    <row r="2169" spans="5:54" x14ac:dyDescent="0.35"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  <c r="AA2169" s="23"/>
      <c r="AB2169" s="23"/>
      <c r="AC2169" s="23"/>
      <c r="AD2169" s="23"/>
      <c r="AE2169" s="23"/>
      <c r="AF2169" s="23"/>
      <c r="AG2169" s="23"/>
      <c r="AH2169" s="23"/>
      <c r="AI2169" s="23"/>
      <c r="AJ2169" s="23"/>
      <c r="AK2169" s="23"/>
      <c r="AL2169" s="23"/>
      <c r="AM2169" s="23"/>
      <c r="AN2169" s="23"/>
      <c r="AO2169" s="23"/>
      <c r="AP2169" s="23"/>
      <c r="AQ2169" s="23"/>
      <c r="AR2169" s="23"/>
      <c r="AS2169" s="23"/>
      <c r="AT2169" s="23"/>
      <c r="AU2169" s="23"/>
      <c r="AV2169" s="23"/>
      <c r="AW2169" s="23"/>
      <c r="AX2169" s="23"/>
      <c r="AY2169" s="23"/>
      <c r="AZ2169" s="23"/>
      <c r="BA2169" s="23"/>
      <c r="BB2169" s="23"/>
    </row>
    <row r="2170" spans="5:54" x14ac:dyDescent="0.35"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  <c r="AA2170" s="23"/>
      <c r="AB2170" s="23"/>
      <c r="AC2170" s="23"/>
      <c r="AD2170" s="23"/>
      <c r="AE2170" s="23"/>
      <c r="AF2170" s="23"/>
      <c r="AG2170" s="23"/>
      <c r="AH2170" s="23"/>
      <c r="AI2170" s="23"/>
      <c r="AJ2170" s="23"/>
      <c r="AK2170" s="23"/>
      <c r="AL2170" s="23"/>
      <c r="AM2170" s="23"/>
      <c r="AN2170" s="23"/>
      <c r="AO2170" s="23"/>
      <c r="AP2170" s="23"/>
      <c r="AQ2170" s="23"/>
      <c r="AR2170" s="23"/>
      <c r="AS2170" s="23"/>
      <c r="AT2170" s="23"/>
      <c r="AU2170" s="23"/>
      <c r="AV2170" s="23"/>
      <c r="AW2170" s="23"/>
      <c r="AX2170" s="23"/>
      <c r="AY2170" s="23"/>
      <c r="AZ2170" s="23"/>
      <c r="BA2170" s="23"/>
      <c r="BB2170" s="23"/>
    </row>
    <row r="2171" spans="5:54" x14ac:dyDescent="0.35"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  <c r="AA2171" s="23"/>
      <c r="AB2171" s="23"/>
      <c r="AC2171" s="23"/>
      <c r="AD2171" s="23"/>
      <c r="AE2171" s="23"/>
      <c r="AF2171" s="23"/>
      <c r="AG2171" s="23"/>
      <c r="AH2171" s="23"/>
      <c r="AI2171" s="23"/>
      <c r="AJ2171" s="23"/>
      <c r="AK2171" s="23"/>
      <c r="AL2171" s="23"/>
      <c r="AM2171" s="23"/>
      <c r="AN2171" s="23"/>
      <c r="AO2171" s="23"/>
      <c r="AP2171" s="23"/>
      <c r="AQ2171" s="23"/>
      <c r="AR2171" s="23"/>
      <c r="AS2171" s="23"/>
      <c r="AT2171" s="23"/>
      <c r="AU2171" s="23"/>
      <c r="AV2171" s="23"/>
      <c r="AW2171" s="23"/>
      <c r="AX2171" s="23"/>
      <c r="AY2171" s="23"/>
      <c r="AZ2171" s="23"/>
      <c r="BA2171" s="23"/>
      <c r="BB2171" s="23"/>
    </row>
    <row r="2172" spans="5:54" x14ac:dyDescent="0.35"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  <c r="AA2172" s="23"/>
      <c r="AB2172" s="23"/>
      <c r="AC2172" s="23"/>
      <c r="AD2172" s="23"/>
      <c r="AE2172" s="23"/>
      <c r="AF2172" s="23"/>
      <c r="AG2172" s="23"/>
      <c r="AH2172" s="23"/>
      <c r="AI2172" s="23"/>
      <c r="AJ2172" s="23"/>
      <c r="AK2172" s="23"/>
      <c r="AL2172" s="23"/>
      <c r="AM2172" s="23"/>
      <c r="AN2172" s="23"/>
      <c r="AO2172" s="23"/>
      <c r="AP2172" s="23"/>
      <c r="AQ2172" s="23"/>
      <c r="AR2172" s="23"/>
      <c r="AS2172" s="23"/>
      <c r="AT2172" s="23"/>
      <c r="AU2172" s="23"/>
      <c r="AV2172" s="23"/>
      <c r="AW2172" s="23"/>
      <c r="AX2172" s="23"/>
      <c r="AY2172" s="23"/>
      <c r="AZ2172" s="23"/>
      <c r="BA2172" s="23"/>
      <c r="BB2172" s="23"/>
    </row>
    <row r="2173" spans="5:54" x14ac:dyDescent="0.35"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  <c r="AA2173" s="23"/>
      <c r="AB2173" s="23"/>
      <c r="AC2173" s="23"/>
      <c r="AD2173" s="23"/>
      <c r="AE2173" s="23"/>
      <c r="AF2173" s="23"/>
      <c r="AG2173" s="23"/>
      <c r="AH2173" s="23"/>
      <c r="AI2173" s="23"/>
      <c r="AJ2173" s="23"/>
      <c r="AK2173" s="23"/>
      <c r="AL2173" s="23"/>
      <c r="AM2173" s="23"/>
      <c r="AN2173" s="23"/>
      <c r="AO2173" s="23"/>
      <c r="AP2173" s="23"/>
      <c r="AQ2173" s="23"/>
      <c r="AR2173" s="23"/>
      <c r="AS2173" s="23"/>
      <c r="AT2173" s="23"/>
      <c r="AU2173" s="23"/>
      <c r="AV2173" s="23"/>
      <c r="AW2173" s="23"/>
      <c r="AX2173" s="23"/>
      <c r="AY2173" s="23"/>
      <c r="AZ2173" s="23"/>
      <c r="BA2173" s="23"/>
      <c r="BB2173" s="23"/>
    </row>
    <row r="2174" spans="5:54" x14ac:dyDescent="0.35"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  <c r="AA2174" s="23"/>
      <c r="AB2174" s="23"/>
      <c r="AC2174" s="23"/>
      <c r="AD2174" s="23"/>
      <c r="AE2174" s="23"/>
      <c r="AF2174" s="23"/>
      <c r="AG2174" s="23"/>
      <c r="AH2174" s="23"/>
      <c r="AI2174" s="23"/>
      <c r="AJ2174" s="23"/>
      <c r="AK2174" s="23"/>
      <c r="AL2174" s="23"/>
      <c r="AM2174" s="23"/>
      <c r="AN2174" s="23"/>
      <c r="AO2174" s="23"/>
      <c r="AP2174" s="23"/>
      <c r="AQ2174" s="23"/>
      <c r="AR2174" s="23"/>
      <c r="AS2174" s="23"/>
      <c r="AT2174" s="23"/>
      <c r="AU2174" s="23"/>
      <c r="AV2174" s="23"/>
      <c r="AW2174" s="23"/>
      <c r="AX2174" s="23"/>
      <c r="AY2174" s="23"/>
      <c r="AZ2174" s="23"/>
      <c r="BA2174" s="23"/>
      <c r="BB2174" s="23"/>
    </row>
    <row r="2175" spans="5:54" x14ac:dyDescent="0.35"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  <c r="AA2175" s="23"/>
      <c r="AB2175" s="23"/>
      <c r="AC2175" s="23"/>
      <c r="AD2175" s="23"/>
      <c r="AE2175" s="23"/>
      <c r="AF2175" s="23"/>
      <c r="AG2175" s="23"/>
      <c r="AH2175" s="23"/>
      <c r="AI2175" s="23"/>
      <c r="AJ2175" s="23"/>
      <c r="AK2175" s="23"/>
      <c r="AL2175" s="23"/>
      <c r="AM2175" s="23"/>
      <c r="AN2175" s="23"/>
      <c r="AO2175" s="23"/>
      <c r="AP2175" s="23"/>
      <c r="AQ2175" s="23"/>
      <c r="AR2175" s="23"/>
      <c r="AS2175" s="23"/>
      <c r="AT2175" s="23"/>
      <c r="AU2175" s="23"/>
      <c r="AV2175" s="23"/>
      <c r="AW2175" s="23"/>
      <c r="AX2175" s="23"/>
      <c r="AY2175" s="23"/>
      <c r="AZ2175" s="23"/>
      <c r="BA2175" s="23"/>
      <c r="BB2175" s="23"/>
    </row>
    <row r="2176" spans="5:54" x14ac:dyDescent="0.35"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  <c r="AA2176" s="23"/>
      <c r="AB2176" s="23"/>
      <c r="AC2176" s="23"/>
      <c r="AD2176" s="23"/>
      <c r="AE2176" s="23"/>
      <c r="AF2176" s="23"/>
      <c r="AG2176" s="23"/>
      <c r="AH2176" s="23"/>
      <c r="AI2176" s="23"/>
      <c r="AJ2176" s="23"/>
      <c r="AK2176" s="23"/>
      <c r="AL2176" s="23"/>
      <c r="AM2176" s="23"/>
      <c r="AN2176" s="23"/>
      <c r="AO2176" s="23"/>
      <c r="AP2176" s="23"/>
      <c r="AQ2176" s="23"/>
      <c r="AR2176" s="23"/>
      <c r="AS2176" s="23"/>
      <c r="AT2176" s="23"/>
      <c r="AU2176" s="23"/>
      <c r="AV2176" s="23"/>
      <c r="AW2176" s="23"/>
      <c r="AX2176" s="23"/>
      <c r="AY2176" s="23"/>
      <c r="AZ2176" s="23"/>
      <c r="BA2176" s="23"/>
      <c r="BB2176" s="23"/>
    </row>
    <row r="2177" spans="5:54" x14ac:dyDescent="0.35"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  <c r="AA2177" s="23"/>
      <c r="AB2177" s="23"/>
      <c r="AC2177" s="23"/>
      <c r="AD2177" s="23"/>
      <c r="AE2177" s="23"/>
      <c r="AF2177" s="23"/>
      <c r="AG2177" s="23"/>
      <c r="AH2177" s="23"/>
      <c r="AI2177" s="23"/>
      <c r="AJ2177" s="23"/>
      <c r="AK2177" s="23"/>
      <c r="AL2177" s="23"/>
      <c r="AM2177" s="23"/>
      <c r="AN2177" s="23"/>
      <c r="AO2177" s="23"/>
      <c r="AP2177" s="23"/>
      <c r="AQ2177" s="23"/>
      <c r="AR2177" s="23"/>
      <c r="AS2177" s="23"/>
      <c r="AT2177" s="23"/>
      <c r="AU2177" s="23"/>
      <c r="AV2177" s="23"/>
      <c r="AW2177" s="23"/>
      <c r="AX2177" s="23"/>
      <c r="AY2177" s="23"/>
      <c r="AZ2177" s="23"/>
      <c r="BA2177" s="23"/>
      <c r="BB2177" s="23"/>
    </row>
    <row r="2178" spans="5:54" x14ac:dyDescent="0.35"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  <c r="AA2178" s="23"/>
      <c r="AB2178" s="23"/>
      <c r="AC2178" s="23"/>
      <c r="AD2178" s="23"/>
      <c r="AE2178" s="23"/>
      <c r="AF2178" s="23"/>
      <c r="AG2178" s="23"/>
      <c r="AH2178" s="23"/>
      <c r="AI2178" s="23"/>
      <c r="AJ2178" s="23"/>
      <c r="AK2178" s="23"/>
      <c r="AL2178" s="23"/>
      <c r="AM2178" s="23"/>
      <c r="AN2178" s="23"/>
      <c r="AO2178" s="23"/>
      <c r="AP2178" s="23"/>
      <c r="AQ2178" s="23"/>
      <c r="AR2178" s="23"/>
      <c r="AS2178" s="23"/>
      <c r="AT2178" s="23"/>
      <c r="AU2178" s="23"/>
      <c r="AV2178" s="23"/>
      <c r="AW2178" s="23"/>
      <c r="AX2178" s="23"/>
      <c r="AY2178" s="23"/>
      <c r="AZ2178" s="23"/>
      <c r="BA2178" s="23"/>
      <c r="BB2178" s="23"/>
    </row>
    <row r="2179" spans="5:54" x14ac:dyDescent="0.35"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  <c r="AA2179" s="23"/>
      <c r="AB2179" s="23"/>
      <c r="AC2179" s="23"/>
      <c r="AD2179" s="23"/>
      <c r="AE2179" s="23"/>
      <c r="AF2179" s="23"/>
      <c r="AG2179" s="23"/>
      <c r="AH2179" s="23"/>
      <c r="AI2179" s="23"/>
      <c r="AJ2179" s="23"/>
      <c r="AK2179" s="23"/>
      <c r="AL2179" s="23"/>
      <c r="AM2179" s="23"/>
      <c r="AN2179" s="23"/>
      <c r="AO2179" s="23"/>
      <c r="AP2179" s="23"/>
      <c r="AQ2179" s="23"/>
      <c r="AR2179" s="23"/>
      <c r="AS2179" s="23"/>
      <c r="AT2179" s="23"/>
      <c r="AU2179" s="23"/>
      <c r="AV2179" s="23"/>
      <c r="AW2179" s="23"/>
      <c r="AX2179" s="23"/>
      <c r="AY2179" s="23"/>
      <c r="AZ2179" s="23"/>
      <c r="BA2179" s="23"/>
      <c r="BB2179" s="23"/>
    </row>
    <row r="2180" spans="5:54" x14ac:dyDescent="0.35"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  <c r="AA2180" s="23"/>
      <c r="AB2180" s="23"/>
      <c r="AC2180" s="23"/>
      <c r="AD2180" s="23"/>
      <c r="AE2180" s="23"/>
      <c r="AF2180" s="23"/>
      <c r="AG2180" s="23"/>
      <c r="AH2180" s="23"/>
      <c r="AI2180" s="23"/>
      <c r="AJ2180" s="23"/>
      <c r="AK2180" s="23"/>
      <c r="AL2180" s="23"/>
      <c r="AM2180" s="23"/>
      <c r="AN2180" s="23"/>
      <c r="AO2180" s="23"/>
      <c r="AP2180" s="23"/>
      <c r="AQ2180" s="23"/>
      <c r="AR2180" s="23"/>
      <c r="AS2180" s="23"/>
      <c r="AT2180" s="23"/>
      <c r="AU2180" s="23"/>
      <c r="AV2180" s="23"/>
      <c r="AW2180" s="23"/>
      <c r="AX2180" s="23"/>
      <c r="AY2180" s="23"/>
      <c r="AZ2180" s="23"/>
      <c r="BA2180" s="23"/>
      <c r="BB2180" s="23"/>
    </row>
    <row r="2181" spans="5:54" x14ac:dyDescent="0.35"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  <c r="AA2181" s="23"/>
      <c r="AB2181" s="23"/>
      <c r="AC2181" s="23"/>
      <c r="AD2181" s="23"/>
      <c r="AE2181" s="23"/>
      <c r="AF2181" s="23"/>
      <c r="AG2181" s="23"/>
      <c r="AH2181" s="23"/>
      <c r="AI2181" s="23"/>
      <c r="AJ2181" s="23"/>
      <c r="AK2181" s="23"/>
      <c r="AL2181" s="23"/>
      <c r="AM2181" s="23"/>
      <c r="AN2181" s="23"/>
      <c r="AO2181" s="23"/>
      <c r="AP2181" s="23"/>
      <c r="AQ2181" s="23"/>
      <c r="AR2181" s="23"/>
      <c r="AS2181" s="23"/>
      <c r="AT2181" s="23"/>
      <c r="AU2181" s="23"/>
      <c r="AV2181" s="23"/>
      <c r="AW2181" s="23"/>
      <c r="AX2181" s="23"/>
      <c r="AY2181" s="23"/>
      <c r="AZ2181" s="23"/>
      <c r="BA2181" s="23"/>
      <c r="BB2181" s="23"/>
    </row>
    <row r="2182" spans="5:54" x14ac:dyDescent="0.35"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  <c r="AA2182" s="23"/>
      <c r="AB2182" s="23"/>
      <c r="AC2182" s="23"/>
      <c r="AD2182" s="23"/>
      <c r="AE2182" s="23"/>
      <c r="AF2182" s="23"/>
      <c r="AG2182" s="23"/>
      <c r="AH2182" s="23"/>
      <c r="AI2182" s="23"/>
      <c r="AJ2182" s="23"/>
      <c r="AK2182" s="23"/>
      <c r="AL2182" s="23"/>
      <c r="AM2182" s="23"/>
      <c r="AN2182" s="23"/>
      <c r="AO2182" s="23"/>
      <c r="AP2182" s="23"/>
      <c r="AQ2182" s="23"/>
      <c r="AR2182" s="23"/>
      <c r="AS2182" s="23"/>
      <c r="AT2182" s="23"/>
      <c r="AU2182" s="23"/>
      <c r="AV2182" s="23"/>
      <c r="AW2182" s="23"/>
      <c r="AX2182" s="23"/>
      <c r="AY2182" s="23"/>
      <c r="AZ2182" s="23"/>
      <c r="BA2182" s="23"/>
      <c r="BB2182" s="23"/>
    </row>
    <row r="2183" spans="5:54" x14ac:dyDescent="0.35"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  <c r="AA2183" s="23"/>
      <c r="AB2183" s="23"/>
      <c r="AC2183" s="23"/>
      <c r="AD2183" s="23"/>
      <c r="AE2183" s="23"/>
      <c r="AF2183" s="23"/>
      <c r="AG2183" s="23"/>
      <c r="AH2183" s="23"/>
      <c r="AI2183" s="23"/>
      <c r="AJ2183" s="23"/>
      <c r="AK2183" s="23"/>
      <c r="AL2183" s="23"/>
      <c r="AM2183" s="23"/>
      <c r="AN2183" s="23"/>
      <c r="AO2183" s="23"/>
      <c r="AP2183" s="23"/>
      <c r="AQ2183" s="23"/>
      <c r="AR2183" s="23"/>
      <c r="AS2183" s="23"/>
      <c r="AT2183" s="23"/>
      <c r="AU2183" s="23"/>
      <c r="AV2183" s="23"/>
      <c r="AW2183" s="23"/>
      <c r="AX2183" s="23"/>
      <c r="AY2183" s="23"/>
      <c r="AZ2183" s="23"/>
      <c r="BA2183" s="23"/>
      <c r="BB2183" s="23"/>
    </row>
    <row r="2184" spans="5:54" x14ac:dyDescent="0.35"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  <c r="AA2184" s="23"/>
      <c r="AB2184" s="23"/>
      <c r="AC2184" s="23"/>
      <c r="AD2184" s="23"/>
      <c r="AE2184" s="23"/>
      <c r="AF2184" s="23"/>
      <c r="AG2184" s="23"/>
      <c r="AH2184" s="23"/>
      <c r="AI2184" s="23"/>
      <c r="AJ2184" s="23"/>
      <c r="AK2184" s="23"/>
      <c r="AL2184" s="23"/>
      <c r="AM2184" s="23"/>
      <c r="AN2184" s="23"/>
      <c r="AO2184" s="23"/>
      <c r="AP2184" s="23"/>
      <c r="AQ2184" s="23"/>
      <c r="AR2184" s="23"/>
      <c r="AS2184" s="23"/>
      <c r="AT2184" s="23"/>
      <c r="AU2184" s="23"/>
      <c r="AV2184" s="23"/>
      <c r="AW2184" s="23"/>
      <c r="AX2184" s="23"/>
      <c r="AY2184" s="23"/>
      <c r="AZ2184" s="23"/>
      <c r="BA2184" s="23"/>
      <c r="BB2184" s="23"/>
    </row>
    <row r="2185" spans="5:54" x14ac:dyDescent="0.35"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  <c r="AA2185" s="23"/>
      <c r="AB2185" s="23"/>
      <c r="AC2185" s="23"/>
      <c r="AD2185" s="23"/>
      <c r="AE2185" s="23"/>
      <c r="AF2185" s="23"/>
      <c r="AG2185" s="23"/>
      <c r="AH2185" s="23"/>
      <c r="AI2185" s="23"/>
      <c r="AJ2185" s="23"/>
      <c r="AK2185" s="23"/>
      <c r="AL2185" s="23"/>
      <c r="AM2185" s="23"/>
      <c r="AN2185" s="23"/>
      <c r="AO2185" s="23"/>
      <c r="AP2185" s="23"/>
      <c r="AQ2185" s="23"/>
      <c r="AR2185" s="23"/>
      <c r="AS2185" s="23"/>
      <c r="AT2185" s="23"/>
      <c r="AU2185" s="23"/>
      <c r="AV2185" s="23"/>
      <c r="AW2185" s="23"/>
      <c r="AX2185" s="23"/>
      <c r="AY2185" s="23"/>
      <c r="AZ2185" s="23"/>
      <c r="BA2185" s="23"/>
      <c r="BB2185" s="23"/>
    </row>
    <row r="2186" spans="5:54" x14ac:dyDescent="0.35"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  <c r="AA2186" s="23"/>
      <c r="AB2186" s="23"/>
      <c r="AC2186" s="23"/>
      <c r="AD2186" s="23"/>
      <c r="AE2186" s="23"/>
      <c r="AF2186" s="23"/>
      <c r="AG2186" s="23"/>
      <c r="AH2186" s="23"/>
      <c r="AI2186" s="23"/>
      <c r="AJ2186" s="23"/>
      <c r="AK2186" s="23"/>
      <c r="AL2186" s="23"/>
      <c r="AM2186" s="23"/>
      <c r="AN2186" s="23"/>
      <c r="AO2186" s="23"/>
      <c r="AP2186" s="23"/>
      <c r="AQ2186" s="23"/>
      <c r="AR2186" s="23"/>
      <c r="AS2186" s="23"/>
      <c r="AT2186" s="23"/>
      <c r="AU2186" s="23"/>
      <c r="AV2186" s="23"/>
      <c r="AW2186" s="23"/>
      <c r="AX2186" s="23"/>
      <c r="AY2186" s="23"/>
      <c r="AZ2186" s="23"/>
      <c r="BA2186" s="23"/>
      <c r="BB2186" s="23"/>
    </row>
    <row r="2187" spans="5:54" x14ac:dyDescent="0.35"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  <c r="AA2187" s="23"/>
      <c r="AB2187" s="23"/>
      <c r="AC2187" s="23"/>
      <c r="AD2187" s="23"/>
      <c r="AE2187" s="23"/>
      <c r="AF2187" s="23"/>
      <c r="AG2187" s="23"/>
      <c r="AH2187" s="23"/>
      <c r="AI2187" s="23"/>
      <c r="AJ2187" s="23"/>
      <c r="AK2187" s="23"/>
      <c r="AL2187" s="23"/>
      <c r="AM2187" s="23"/>
      <c r="AN2187" s="23"/>
      <c r="AO2187" s="23"/>
      <c r="AP2187" s="23"/>
      <c r="AQ2187" s="23"/>
      <c r="AR2187" s="23"/>
      <c r="AS2187" s="23"/>
      <c r="AT2187" s="23"/>
      <c r="AU2187" s="23"/>
      <c r="AV2187" s="23"/>
      <c r="AW2187" s="23"/>
      <c r="AX2187" s="23"/>
      <c r="AY2187" s="23"/>
      <c r="AZ2187" s="23"/>
      <c r="BA2187" s="23"/>
      <c r="BB2187" s="23"/>
    </row>
    <row r="2188" spans="5:54" x14ac:dyDescent="0.35"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  <c r="AA2188" s="23"/>
      <c r="AB2188" s="23"/>
      <c r="AC2188" s="23"/>
      <c r="AD2188" s="23"/>
      <c r="AE2188" s="23"/>
      <c r="AF2188" s="23"/>
      <c r="AG2188" s="23"/>
      <c r="AH2188" s="23"/>
      <c r="AI2188" s="23"/>
      <c r="AJ2188" s="23"/>
      <c r="AK2188" s="23"/>
      <c r="AL2188" s="23"/>
      <c r="AM2188" s="23"/>
      <c r="AN2188" s="23"/>
      <c r="AO2188" s="23"/>
      <c r="AP2188" s="23"/>
      <c r="AQ2188" s="23"/>
      <c r="AR2188" s="23"/>
      <c r="AS2188" s="23"/>
      <c r="AT2188" s="23"/>
      <c r="AU2188" s="23"/>
      <c r="AV2188" s="23"/>
      <c r="AW2188" s="23"/>
      <c r="AX2188" s="23"/>
      <c r="AY2188" s="23"/>
      <c r="AZ2188" s="23"/>
      <c r="BA2188" s="23"/>
      <c r="BB2188" s="23"/>
    </row>
    <row r="2189" spans="5:54" x14ac:dyDescent="0.35"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  <c r="AA2189" s="23"/>
      <c r="AB2189" s="23"/>
      <c r="AC2189" s="23"/>
      <c r="AD2189" s="23"/>
      <c r="AE2189" s="23"/>
      <c r="AF2189" s="23"/>
      <c r="AG2189" s="23"/>
      <c r="AH2189" s="23"/>
      <c r="AI2189" s="23"/>
      <c r="AJ2189" s="23"/>
      <c r="AK2189" s="23"/>
      <c r="AL2189" s="23"/>
      <c r="AM2189" s="23"/>
      <c r="AN2189" s="23"/>
      <c r="AO2189" s="23"/>
      <c r="AP2189" s="23"/>
      <c r="AQ2189" s="23"/>
      <c r="AR2189" s="23"/>
      <c r="AS2189" s="23"/>
      <c r="AT2189" s="23"/>
      <c r="AU2189" s="23"/>
      <c r="AV2189" s="23"/>
      <c r="AW2189" s="23"/>
      <c r="AX2189" s="23"/>
      <c r="AY2189" s="23"/>
      <c r="AZ2189" s="23"/>
      <c r="BA2189" s="23"/>
      <c r="BB2189" s="23"/>
    </row>
    <row r="2190" spans="5:54" x14ac:dyDescent="0.35"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  <c r="AA2190" s="23"/>
      <c r="AB2190" s="23"/>
      <c r="AC2190" s="23"/>
      <c r="AD2190" s="23"/>
      <c r="AE2190" s="23"/>
      <c r="AF2190" s="23"/>
      <c r="AG2190" s="23"/>
      <c r="AH2190" s="23"/>
      <c r="AI2190" s="23"/>
      <c r="AJ2190" s="23"/>
      <c r="AK2190" s="23"/>
      <c r="AL2190" s="23"/>
      <c r="AM2190" s="23"/>
      <c r="AN2190" s="23"/>
      <c r="AO2190" s="23"/>
      <c r="AP2190" s="23"/>
      <c r="AQ2190" s="23"/>
      <c r="AR2190" s="23"/>
      <c r="AS2190" s="23"/>
      <c r="AT2190" s="23"/>
      <c r="AU2190" s="23"/>
      <c r="AV2190" s="23"/>
      <c r="AW2190" s="23"/>
      <c r="AX2190" s="23"/>
      <c r="AY2190" s="23"/>
      <c r="AZ2190" s="23"/>
      <c r="BA2190" s="23"/>
      <c r="BB2190" s="23"/>
    </row>
    <row r="2191" spans="5:54" x14ac:dyDescent="0.35"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  <c r="AA2191" s="23"/>
      <c r="AB2191" s="23"/>
      <c r="AC2191" s="23"/>
      <c r="AD2191" s="23"/>
      <c r="AE2191" s="23"/>
      <c r="AF2191" s="23"/>
      <c r="AG2191" s="23"/>
      <c r="AH2191" s="23"/>
      <c r="AI2191" s="23"/>
      <c r="AJ2191" s="23"/>
      <c r="AK2191" s="23"/>
      <c r="AL2191" s="23"/>
      <c r="AM2191" s="23"/>
      <c r="AN2191" s="23"/>
      <c r="AO2191" s="23"/>
      <c r="AP2191" s="23"/>
      <c r="AQ2191" s="23"/>
      <c r="AR2191" s="23"/>
      <c r="AS2191" s="23"/>
      <c r="AT2191" s="23"/>
      <c r="AU2191" s="23"/>
      <c r="AV2191" s="23"/>
      <c r="AW2191" s="23"/>
      <c r="AX2191" s="23"/>
      <c r="AY2191" s="23"/>
      <c r="AZ2191" s="23"/>
      <c r="BA2191" s="23"/>
      <c r="BB2191" s="23"/>
    </row>
    <row r="2192" spans="5:54" x14ac:dyDescent="0.35"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  <c r="AA2192" s="23"/>
      <c r="AB2192" s="23"/>
      <c r="AC2192" s="23"/>
      <c r="AD2192" s="23"/>
      <c r="AE2192" s="23"/>
      <c r="AF2192" s="23"/>
      <c r="AG2192" s="23"/>
      <c r="AH2192" s="23"/>
      <c r="AI2192" s="23"/>
      <c r="AJ2192" s="23"/>
      <c r="AK2192" s="23"/>
      <c r="AL2192" s="23"/>
      <c r="AM2192" s="23"/>
      <c r="AN2192" s="23"/>
      <c r="AO2192" s="23"/>
      <c r="AP2192" s="23"/>
      <c r="AQ2192" s="23"/>
      <c r="AR2192" s="23"/>
      <c r="AS2192" s="23"/>
      <c r="AT2192" s="23"/>
      <c r="AU2192" s="23"/>
      <c r="AV2192" s="23"/>
      <c r="AW2192" s="23"/>
      <c r="AX2192" s="23"/>
      <c r="AY2192" s="23"/>
      <c r="AZ2192" s="23"/>
      <c r="BA2192" s="23"/>
      <c r="BB2192" s="23"/>
    </row>
    <row r="2193" spans="5:54" x14ac:dyDescent="0.35"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  <c r="AA2193" s="23"/>
      <c r="AB2193" s="23"/>
      <c r="AC2193" s="23"/>
      <c r="AD2193" s="23"/>
      <c r="AE2193" s="23"/>
      <c r="AF2193" s="23"/>
      <c r="AG2193" s="23"/>
      <c r="AH2193" s="23"/>
      <c r="AI2193" s="23"/>
      <c r="AJ2193" s="23"/>
      <c r="AK2193" s="23"/>
      <c r="AL2193" s="23"/>
      <c r="AM2193" s="23"/>
      <c r="AN2193" s="23"/>
      <c r="AO2193" s="23"/>
      <c r="AP2193" s="23"/>
      <c r="AQ2193" s="23"/>
      <c r="AR2193" s="23"/>
      <c r="AS2193" s="23"/>
      <c r="AT2193" s="23"/>
      <c r="AU2193" s="23"/>
      <c r="AV2193" s="23"/>
      <c r="AW2193" s="23"/>
      <c r="AX2193" s="23"/>
      <c r="AY2193" s="23"/>
      <c r="AZ2193" s="23"/>
      <c r="BA2193" s="23"/>
      <c r="BB2193" s="23"/>
    </row>
    <row r="2194" spans="5:54" x14ac:dyDescent="0.35"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  <c r="AA2194" s="23"/>
      <c r="AB2194" s="23"/>
      <c r="AC2194" s="23"/>
      <c r="AD2194" s="23"/>
      <c r="AE2194" s="23"/>
      <c r="AF2194" s="23"/>
      <c r="AG2194" s="23"/>
      <c r="AH2194" s="23"/>
      <c r="AI2194" s="23"/>
      <c r="AJ2194" s="23"/>
      <c r="AK2194" s="23"/>
      <c r="AL2194" s="23"/>
      <c r="AM2194" s="23"/>
      <c r="AN2194" s="23"/>
      <c r="AO2194" s="23"/>
      <c r="AP2194" s="23"/>
      <c r="AQ2194" s="23"/>
      <c r="AR2194" s="23"/>
      <c r="AS2194" s="23"/>
      <c r="AT2194" s="23"/>
      <c r="AU2194" s="23"/>
      <c r="AV2194" s="23"/>
      <c r="AW2194" s="23"/>
      <c r="AX2194" s="23"/>
      <c r="AY2194" s="23"/>
      <c r="AZ2194" s="23"/>
      <c r="BA2194" s="23"/>
      <c r="BB2194" s="23"/>
    </row>
    <row r="2195" spans="5:54" x14ac:dyDescent="0.35"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  <c r="AA2195" s="23"/>
      <c r="AB2195" s="23"/>
      <c r="AC2195" s="23"/>
      <c r="AD2195" s="23"/>
      <c r="AE2195" s="23"/>
      <c r="AF2195" s="23"/>
      <c r="AG2195" s="23"/>
      <c r="AH2195" s="23"/>
      <c r="AI2195" s="23"/>
      <c r="AJ2195" s="23"/>
      <c r="AK2195" s="23"/>
      <c r="AL2195" s="23"/>
      <c r="AM2195" s="23"/>
      <c r="AN2195" s="23"/>
      <c r="AO2195" s="23"/>
      <c r="AP2195" s="23"/>
      <c r="AQ2195" s="23"/>
      <c r="AR2195" s="23"/>
      <c r="AS2195" s="23"/>
      <c r="AT2195" s="23"/>
      <c r="AU2195" s="23"/>
      <c r="AV2195" s="23"/>
      <c r="AW2195" s="23"/>
      <c r="AX2195" s="23"/>
      <c r="AY2195" s="23"/>
      <c r="AZ2195" s="23"/>
      <c r="BA2195" s="23"/>
      <c r="BB2195" s="23"/>
    </row>
    <row r="2196" spans="5:54" x14ac:dyDescent="0.35"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  <c r="AA2196" s="23"/>
      <c r="AB2196" s="23"/>
      <c r="AC2196" s="23"/>
      <c r="AD2196" s="23"/>
      <c r="AE2196" s="23"/>
      <c r="AF2196" s="23"/>
      <c r="AG2196" s="23"/>
      <c r="AH2196" s="23"/>
      <c r="AI2196" s="23"/>
      <c r="AJ2196" s="23"/>
      <c r="AK2196" s="23"/>
      <c r="AL2196" s="23"/>
      <c r="AM2196" s="23"/>
      <c r="AN2196" s="23"/>
      <c r="AO2196" s="23"/>
      <c r="AP2196" s="23"/>
      <c r="AQ2196" s="23"/>
      <c r="AR2196" s="23"/>
      <c r="AS2196" s="23"/>
      <c r="AT2196" s="23"/>
      <c r="AU2196" s="23"/>
      <c r="AV2196" s="23"/>
      <c r="AW2196" s="23"/>
      <c r="AX2196" s="23"/>
      <c r="AY2196" s="23"/>
      <c r="AZ2196" s="23"/>
      <c r="BA2196" s="23"/>
      <c r="BB2196" s="23"/>
    </row>
    <row r="2197" spans="5:54" x14ac:dyDescent="0.35"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  <c r="AA2197" s="23"/>
      <c r="AB2197" s="23"/>
      <c r="AC2197" s="23"/>
      <c r="AD2197" s="23"/>
      <c r="AE2197" s="23"/>
      <c r="AF2197" s="23"/>
      <c r="AG2197" s="23"/>
      <c r="AH2197" s="23"/>
      <c r="AI2197" s="23"/>
      <c r="AJ2197" s="23"/>
      <c r="AK2197" s="23"/>
      <c r="AL2197" s="23"/>
      <c r="AM2197" s="23"/>
      <c r="AN2197" s="23"/>
      <c r="AO2197" s="23"/>
      <c r="AP2197" s="23"/>
      <c r="AQ2197" s="23"/>
      <c r="AR2197" s="23"/>
      <c r="AS2197" s="23"/>
      <c r="AT2197" s="23"/>
      <c r="AU2197" s="23"/>
      <c r="AV2197" s="23"/>
      <c r="AW2197" s="23"/>
      <c r="AX2197" s="23"/>
      <c r="AY2197" s="23"/>
      <c r="AZ2197" s="23"/>
      <c r="BA2197" s="23"/>
      <c r="BB2197" s="23"/>
    </row>
    <row r="2198" spans="5:54" x14ac:dyDescent="0.35"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  <c r="AA2198" s="23"/>
      <c r="AB2198" s="23"/>
      <c r="AC2198" s="23"/>
      <c r="AD2198" s="23"/>
      <c r="AE2198" s="23"/>
      <c r="AF2198" s="23"/>
      <c r="AG2198" s="23"/>
      <c r="AH2198" s="23"/>
      <c r="AI2198" s="23"/>
      <c r="AJ2198" s="23"/>
      <c r="AK2198" s="23"/>
      <c r="AL2198" s="23"/>
      <c r="AM2198" s="23"/>
      <c r="AN2198" s="23"/>
      <c r="AO2198" s="23"/>
      <c r="AP2198" s="23"/>
      <c r="AQ2198" s="23"/>
      <c r="AR2198" s="23"/>
      <c r="AS2198" s="23"/>
      <c r="AT2198" s="23"/>
      <c r="AU2198" s="23"/>
      <c r="AV2198" s="23"/>
      <c r="AW2198" s="23"/>
      <c r="AX2198" s="23"/>
      <c r="AY2198" s="23"/>
      <c r="AZ2198" s="23"/>
      <c r="BA2198" s="23"/>
      <c r="BB2198" s="23"/>
    </row>
    <row r="2199" spans="5:54" x14ac:dyDescent="0.35"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  <c r="AA2199" s="23"/>
      <c r="AB2199" s="23"/>
      <c r="AC2199" s="23"/>
      <c r="AD2199" s="23"/>
      <c r="AE2199" s="23"/>
      <c r="AF2199" s="23"/>
      <c r="AG2199" s="23"/>
      <c r="AH2199" s="23"/>
      <c r="AI2199" s="23"/>
      <c r="AJ2199" s="23"/>
      <c r="AK2199" s="23"/>
      <c r="AL2199" s="23"/>
      <c r="AM2199" s="23"/>
      <c r="AN2199" s="23"/>
      <c r="AO2199" s="23"/>
      <c r="AP2199" s="23"/>
      <c r="AQ2199" s="23"/>
      <c r="AR2199" s="23"/>
      <c r="AS2199" s="23"/>
      <c r="AT2199" s="23"/>
      <c r="AU2199" s="23"/>
      <c r="AV2199" s="23"/>
      <c r="AW2199" s="23"/>
      <c r="AX2199" s="23"/>
      <c r="AY2199" s="23"/>
      <c r="AZ2199" s="23"/>
      <c r="BA2199" s="23"/>
      <c r="BB2199" s="23"/>
    </row>
    <row r="2200" spans="5:54" x14ac:dyDescent="0.35"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  <c r="AA2200" s="23"/>
      <c r="AB2200" s="23"/>
      <c r="AC2200" s="23"/>
      <c r="AD2200" s="23"/>
      <c r="AE2200" s="23"/>
      <c r="AF2200" s="23"/>
      <c r="AG2200" s="23"/>
      <c r="AH2200" s="23"/>
      <c r="AI2200" s="23"/>
      <c r="AJ2200" s="23"/>
      <c r="AK2200" s="23"/>
      <c r="AL2200" s="23"/>
      <c r="AM2200" s="23"/>
      <c r="AN2200" s="23"/>
      <c r="AO2200" s="23"/>
      <c r="AP2200" s="23"/>
      <c r="AQ2200" s="23"/>
      <c r="AR2200" s="23"/>
      <c r="AS2200" s="23"/>
      <c r="AT2200" s="23"/>
      <c r="AU2200" s="23"/>
      <c r="AV2200" s="23"/>
      <c r="AW2200" s="23"/>
      <c r="AX2200" s="23"/>
      <c r="AY2200" s="23"/>
      <c r="AZ2200" s="23"/>
      <c r="BA2200" s="23"/>
      <c r="BB2200" s="23"/>
    </row>
    <row r="2201" spans="5:54" x14ac:dyDescent="0.35"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  <c r="AA2201" s="23"/>
      <c r="AB2201" s="23"/>
      <c r="AC2201" s="23"/>
      <c r="AD2201" s="23"/>
      <c r="AE2201" s="23"/>
      <c r="AF2201" s="23"/>
      <c r="AG2201" s="23"/>
      <c r="AH2201" s="23"/>
      <c r="AI2201" s="23"/>
      <c r="AJ2201" s="23"/>
      <c r="AK2201" s="23"/>
      <c r="AL2201" s="23"/>
      <c r="AM2201" s="23"/>
      <c r="AN2201" s="23"/>
      <c r="AO2201" s="23"/>
      <c r="AP2201" s="23"/>
      <c r="AQ2201" s="23"/>
      <c r="AR2201" s="23"/>
      <c r="AS2201" s="23"/>
      <c r="AT2201" s="23"/>
      <c r="AU2201" s="23"/>
      <c r="AV2201" s="23"/>
      <c r="AW2201" s="23"/>
      <c r="AX2201" s="23"/>
      <c r="AY2201" s="23"/>
      <c r="AZ2201" s="23"/>
      <c r="BA2201" s="23"/>
      <c r="BB2201" s="23"/>
    </row>
    <row r="2202" spans="5:54" x14ac:dyDescent="0.35"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  <c r="AA2202" s="23"/>
      <c r="AB2202" s="23"/>
      <c r="AC2202" s="23"/>
      <c r="AD2202" s="23"/>
      <c r="AE2202" s="23"/>
      <c r="AF2202" s="23"/>
      <c r="AG2202" s="23"/>
      <c r="AH2202" s="23"/>
      <c r="AI2202" s="23"/>
      <c r="AJ2202" s="23"/>
      <c r="AK2202" s="23"/>
      <c r="AL2202" s="23"/>
      <c r="AM2202" s="23"/>
      <c r="AN2202" s="23"/>
      <c r="AO2202" s="23"/>
      <c r="AP2202" s="23"/>
      <c r="AQ2202" s="23"/>
      <c r="AR2202" s="23"/>
      <c r="AS2202" s="23"/>
      <c r="AT2202" s="23"/>
      <c r="AU2202" s="23"/>
      <c r="AV2202" s="23"/>
      <c r="AW2202" s="23"/>
      <c r="AX2202" s="23"/>
      <c r="AY2202" s="23"/>
      <c r="AZ2202" s="23"/>
      <c r="BA2202" s="23"/>
      <c r="BB2202" s="23"/>
    </row>
    <row r="2203" spans="5:54" x14ac:dyDescent="0.35"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  <c r="AA2203" s="23"/>
      <c r="AB2203" s="23"/>
      <c r="AC2203" s="23"/>
      <c r="AD2203" s="23"/>
      <c r="AE2203" s="23"/>
      <c r="AF2203" s="23"/>
      <c r="AG2203" s="23"/>
      <c r="AH2203" s="23"/>
      <c r="AI2203" s="23"/>
      <c r="AJ2203" s="23"/>
      <c r="AK2203" s="23"/>
      <c r="AL2203" s="23"/>
      <c r="AM2203" s="23"/>
      <c r="AN2203" s="23"/>
      <c r="AO2203" s="23"/>
      <c r="AP2203" s="23"/>
      <c r="AQ2203" s="23"/>
      <c r="AR2203" s="23"/>
      <c r="AS2203" s="23"/>
      <c r="AT2203" s="23"/>
      <c r="AU2203" s="23"/>
      <c r="AV2203" s="23"/>
      <c r="AW2203" s="23"/>
      <c r="AX2203" s="23"/>
      <c r="AY2203" s="23"/>
      <c r="AZ2203" s="23"/>
      <c r="BA2203" s="23"/>
      <c r="BB2203" s="23"/>
    </row>
    <row r="2204" spans="5:54" x14ac:dyDescent="0.35"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  <c r="AA2204" s="23"/>
      <c r="AB2204" s="23"/>
      <c r="AC2204" s="23"/>
      <c r="AD2204" s="23"/>
      <c r="AE2204" s="23"/>
      <c r="AF2204" s="23"/>
      <c r="AG2204" s="23"/>
      <c r="AH2204" s="23"/>
      <c r="AI2204" s="23"/>
      <c r="AJ2204" s="23"/>
      <c r="AK2204" s="23"/>
      <c r="AL2204" s="23"/>
      <c r="AM2204" s="23"/>
      <c r="AN2204" s="23"/>
      <c r="AO2204" s="23"/>
      <c r="AP2204" s="23"/>
      <c r="AQ2204" s="23"/>
      <c r="AR2204" s="23"/>
      <c r="AS2204" s="23"/>
      <c r="AT2204" s="23"/>
      <c r="AU2204" s="23"/>
      <c r="AV2204" s="23"/>
      <c r="AW2204" s="23"/>
      <c r="AX2204" s="23"/>
      <c r="AY2204" s="23"/>
      <c r="AZ2204" s="23"/>
      <c r="BA2204" s="23"/>
      <c r="BB2204" s="23"/>
    </row>
    <row r="2205" spans="5:54" x14ac:dyDescent="0.35"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  <c r="AA2205" s="23"/>
      <c r="AB2205" s="23"/>
      <c r="AC2205" s="23"/>
      <c r="AD2205" s="23"/>
      <c r="AE2205" s="23"/>
      <c r="AF2205" s="23"/>
      <c r="AG2205" s="23"/>
      <c r="AH2205" s="23"/>
      <c r="AI2205" s="23"/>
      <c r="AJ2205" s="23"/>
      <c r="AK2205" s="23"/>
      <c r="AL2205" s="23"/>
      <c r="AM2205" s="23"/>
      <c r="AN2205" s="23"/>
      <c r="AO2205" s="23"/>
      <c r="AP2205" s="23"/>
      <c r="AQ2205" s="23"/>
      <c r="AR2205" s="23"/>
      <c r="AS2205" s="23"/>
      <c r="AT2205" s="23"/>
      <c r="AU2205" s="23"/>
      <c r="AV2205" s="23"/>
      <c r="AW2205" s="23"/>
      <c r="AX2205" s="23"/>
      <c r="AY2205" s="23"/>
      <c r="AZ2205" s="23"/>
      <c r="BA2205" s="23"/>
      <c r="BB2205" s="23"/>
    </row>
    <row r="2206" spans="5:54" x14ac:dyDescent="0.35"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  <c r="AA2206" s="23"/>
      <c r="AB2206" s="23"/>
      <c r="AC2206" s="23"/>
      <c r="AD2206" s="23"/>
      <c r="AE2206" s="23"/>
      <c r="AF2206" s="23"/>
      <c r="AG2206" s="23"/>
      <c r="AH2206" s="23"/>
      <c r="AI2206" s="23"/>
      <c r="AJ2206" s="23"/>
      <c r="AK2206" s="23"/>
      <c r="AL2206" s="23"/>
      <c r="AM2206" s="23"/>
      <c r="AN2206" s="23"/>
      <c r="AO2206" s="23"/>
      <c r="AP2206" s="23"/>
      <c r="AQ2206" s="23"/>
      <c r="AR2206" s="23"/>
      <c r="AS2206" s="23"/>
      <c r="AT2206" s="23"/>
      <c r="AU2206" s="23"/>
      <c r="AV2206" s="23"/>
      <c r="AW2206" s="23"/>
      <c r="AX2206" s="23"/>
      <c r="AY2206" s="23"/>
      <c r="AZ2206" s="23"/>
      <c r="BA2206" s="23"/>
      <c r="BB2206" s="23"/>
    </row>
    <row r="2207" spans="5:54" x14ac:dyDescent="0.35"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  <c r="AA2207" s="23"/>
      <c r="AB2207" s="23"/>
      <c r="AC2207" s="23"/>
      <c r="AD2207" s="23"/>
      <c r="AE2207" s="23"/>
      <c r="AF2207" s="23"/>
      <c r="AG2207" s="23"/>
      <c r="AH2207" s="23"/>
      <c r="AI2207" s="23"/>
      <c r="AJ2207" s="23"/>
      <c r="AK2207" s="23"/>
      <c r="AL2207" s="23"/>
      <c r="AM2207" s="23"/>
      <c r="AN2207" s="23"/>
      <c r="AO2207" s="23"/>
      <c r="AP2207" s="23"/>
      <c r="AQ2207" s="23"/>
      <c r="AR2207" s="23"/>
      <c r="AS2207" s="23"/>
      <c r="AT2207" s="23"/>
      <c r="AU2207" s="23"/>
      <c r="AV2207" s="23"/>
      <c r="AW2207" s="23"/>
      <c r="AX2207" s="23"/>
      <c r="AY2207" s="23"/>
      <c r="AZ2207" s="23"/>
      <c r="BA2207" s="23"/>
      <c r="BB2207" s="23"/>
    </row>
    <row r="2208" spans="5:54" x14ac:dyDescent="0.35"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  <c r="AA2208" s="23"/>
      <c r="AB2208" s="23"/>
      <c r="AC2208" s="23"/>
      <c r="AD2208" s="23"/>
      <c r="AE2208" s="23"/>
      <c r="AF2208" s="23"/>
      <c r="AG2208" s="23"/>
      <c r="AH2208" s="23"/>
      <c r="AI2208" s="23"/>
      <c r="AJ2208" s="23"/>
      <c r="AK2208" s="23"/>
      <c r="AL2208" s="23"/>
      <c r="AM2208" s="23"/>
      <c r="AN2208" s="23"/>
      <c r="AO2208" s="23"/>
      <c r="AP2208" s="23"/>
      <c r="AQ2208" s="23"/>
      <c r="AR2208" s="23"/>
      <c r="AS2208" s="23"/>
      <c r="AT2208" s="23"/>
      <c r="AU2208" s="23"/>
      <c r="AV2208" s="23"/>
      <c r="AW2208" s="23"/>
      <c r="AX2208" s="23"/>
      <c r="AY2208" s="23"/>
      <c r="AZ2208" s="23"/>
      <c r="BA2208" s="23"/>
      <c r="BB2208" s="23"/>
    </row>
    <row r="2209" spans="5:54" x14ac:dyDescent="0.35"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  <c r="AA2209" s="23"/>
      <c r="AB2209" s="23"/>
      <c r="AC2209" s="23"/>
      <c r="AD2209" s="23"/>
      <c r="AE2209" s="23"/>
      <c r="AF2209" s="23"/>
      <c r="AG2209" s="23"/>
      <c r="AH2209" s="23"/>
      <c r="AI2209" s="23"/>
      <c r="AJ2209" s="23"/>
      <c r="AK2209" s="23"/>
      <c r="AL2209" s="23"/>
      <c r="AM2209" s="23"/>
      <c r="AN2209" s="23"/>
      <c r="AO2209" s="23"/>
      <c r="AP2209" s="23"/>
      <c r="AQ2209" s="23"/>
      <c r="AR2209" s="23"/>
      <c r="AS2209" s="23"/>
      <c r="AT2209" s="23"/>
      <c r="AU2209" s="23"/>
      <c r="AV2209" s="23"/>
      <c r="AW2209" s="23"/>
      <c r="AX2209" s="23"/>
      <c r="AY2209" s="23"/>
      <c r="AZ2209" s="23"/>
      <c r="BA2209" s="23"/>
      <c r="BB2209" s="23"/>
    </row>
    <row r="2210" spans="5:54" x14ac:dyDescent="0.35"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  <c r="AA2210" s="23"/>
      <c r="AB2210" s="23"/>
      <c r="AC2210" s="23"/>
      <c r="AD2210" s="23"/>
      <c r="AE2210" s="23"/>
      <c r="AF2210" s="23"/>
      <c r="AG2210" s="23"/>
      <c r="AH2210" s="23"/>
      <c r="AI2210" s="23"/>
      <c r="AJ2210" s="23"/>
      <c r="AK2210" s="23"/>
      <c r="AL2210" s="23"/>
      <c r="AM2210" s="23"/>
      <c r="AN2210" s="23"/>
      <c r="AO2210" s="23"/>
      <c r="AP2210" s="23"/>
      <c r="AQ2210" s="23"/>
      <c r="AR2210" s="23"/>
      <c r="AS2210" s="23"/>
      <c r="AT2210" s="23"/>
      <c r="AU2210" s="23"/>
      <c r="AV2210" s="23"/>
      <c r="AW2210" s="23"/>
      <c r="AX2210" s="23"/>
      <c r="AY2210" s="23"/>
      <c r="AZ2210" s="23"/>
      <c r="BA2210" s="23"/>
      <c r="BB2210" s="23"/>
    </row>
    <row r="2211" spans="5:54" x14ac:dyDescent="0.35"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  <c r="AA2211" s="23"/>
      <c r="AB2211" s="23"/>
      <c r="AC2211" s="23"/>
      <c r="AD2211" s="23"/>
      <c r="AE2211" s="23"/>
      <c r="AF2211" s="23"/>
      <c r="AG2211" s="23"/>
      <c r="AH2211" s="23"/>
      <c r="AI2211" s="23"/>
      <c r="AJ2211" s="23"/>
      <c r="AK2211" s="23"/>
      <c r="AL2211" s="23"/>
      <c r="AM2211" s="23"/>
      <c r="AN2211" s="23"/>
      <c r="AO2211" s="23"/>
      <c r="AP2211" s="23"/>
      <c r="AQ2211" s="23"/>
      <c r="AR2211" s="23"/>
      <c r="AS2211" s="23"/>
      <c r="AT2211" s="23"/>
      <c r="AU2211" s="23"/>
      <c r="AV2211" s="23"/>
      <c r="AW2211" s="23"/>
      <c r="AX2211" s="23"/>
      <c r="AY2211" s="23"/>
      <c r="AZ2211" s="23"/>
      <c r="BA2211" s="23"/>
      <c r="BB2211" s="23"/>
    </row>
    <row r="2212" spans="5:54" x14ac:dyDescent="0.35"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  <c r="AA2212" s="23"/>
      <c r="AB2212" s="23"/>
      <c r="AC2212" s="23"/>
      <c r="AD2212" s="23"/>
      <c r="AE2212" s="23"/>
      <c r="AF2212" s="23"/>
      <c r="AG2212" s="23"/>
      <c r="AH2212" s="23"/>
      <c r="AI2212" s="23"/>
      <c r="AJ2212" s="23"/>
      <c r="AK2212" s="23"/>
      <c r="AL2212" s="23"/>
      <c r="AM2212" s="23"/>
      <c r="AN2212" s="23"/>
      <c r="AO2212" s="23"/>
      <c r="AP2212" s="23"/>
      <c r="AQ2212" s="23"/>
      <c r="AR2212" s="23"/>
      <c r="AS2212" s="23"/>
      <c r="AT2212" s="23"/>
      <c r="AU2212" s="23"/>
      <c r="AV2212" s="23"/>
      <c r="AW2212" s="23"/>
      <c r="AX2212" s="23"/>
      <c r="AY2212" s="23"/>
      <c r="AZ2212" s="23"/>
      <c r="BA2212" s="23"/>
      <c r="BB2212" s="23"/>
    </row>
    <row r="2213" spans="5:54" x14ac:dyDescent="0.35"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  <c r="AA2213" s="23"/>
      <c r="AB2213" s="23"/>
      <c r="AC2213" s="23"/>
      <c r="AD2213" s="23"/>
      <c r="AE2213" s="23"/>
      <c r="AF2213" s="23"/>
      <c r="AG2213" s="23"/>
      <c r="AH2213" s="23"/>
      <c r="AI2213" s="23"/>
      <c r="AJ2213" s="23"/>
      <c r="AK2213" s="23"/>
      <c r="AL2213" s="23"/>
      <c r="AM2213" s="23"/>
      <c r="AN2213" s="23"/>
      <c r="AO2213" s="23"/>
      <c r="AP2213" s="23"/>
      <c r="AQ2213" s="23"/>
      <c r="AR2213" s="23"/>
      <c r="AS2213" s="23"/>
      <c r="AT2213" s="23"/>
      <c r="AU2213" s="23"/>
      <c r="AV2213" s="23"/>
      <c r="AW2213" s="23"/>
      <c r="AX2213" s="23"/>
      <c r="AY2213" s="23"/>
      <c r="AZ2213" s="23"/>
      <c r="BA2213" s="23"/>
      <c r="BB2213" s="23"/>
    </row>
    <row r="2214" spans="5:54" x14ac:dyDescent="0.35"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  <c r="AA2214" s="23"/>
      <c r="AB2214" s="23"/>
      <c r="AC2214" s="23"/>
      <c r="AD2214" s="23"/>
      <c r="AE2214" s="23"/>
      <c r="AF2214" s="23"/>
      <c r="AG2214" s="23"/>
      <c r="AH2214" s="23"/>
      <c r="AI2214" s="23"/>
      <c r="AJ2214" s="23"/>
      <c r="AK2214" s="23"/>
      <c r="AL2214" s="23"/>
      <c r="AM2214" s="23"/>
      <c r="AN2214" s="23"/>
      <c r="AO2214" s="23"/>
      <c r="AP2214" s="23"/>
      <c r="AQ2214" s="23"/>
      <c r="AR2214" s="23"/>
      <c r="AS2214" s="23"/>
      <c r="AT2214" s="23"/>
      <c r="AU2214" s="23"/>
      <c r="AV2214" s="23"/>
      <c r="AW2214" s="23"/>
      <c r="AX2214" s="23"/>
      <c r="AY2214" s="23"/>
      <c r="AZ2214" s="23"/>
      <c r="BA2214" s="23"/>
      <c r="BB2214" s="23"/>
    </row>
    <row r="2215" spans="5:54" x14ac:dyDescent="0.35"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  <c r="AA2215" s="23"/>
      <c r="AB2215" s="23"/>
      <c r="AC2215" s="23"/>
      <c r="AD2215" s="23"/>
      <c r="AE2215" s="23"/>
      <c r="AF2215" s="23"/>
      <c r="AG2215" s="23"/>
      <c r="AH2215" s="23"/>
      <c r="AI2215" s="23"/>
      <c r="AJ2215" s="23"/>
      <c r="AK2215" s="23"/>
      <c r="AL2215" s="23"/>
      <c r="AM2215" s="23"/>
      <c r="AN2215" s="23"/>
      <c r="AO2215" s="23"/>
      <c r="AP2215" s="23"/>
      <c r="AQ2215" s="23"/>
      <c r="AR2215" s="23"/>
      <c r="AS2215" s="23"/>
      <c r="AT2215" s="23"/>
      <c r="AU2215" s="23"/>
      <c r="AV2215" s="23"/>
      <c r="AW2215" s="23"/>
      <c r="AX2215" s="23"/>
      <c r="AY2215" s="23"/>
      <c r="AZ2215" s="23"/>
      <c r="BA2215" s="23"/>
      <c r="BB2215" s="23"/>
    </row>
    <row r="2216" spans="5:54" x14ac:dyDescent="0.35"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  <c r="AA2216" s="23"/>
      <c r="AB2216" s="23"/>
      <c r="AC2216" s="23"/>
      <c r="AD2216" s="23"/>
      <c r="AE2216" s="23"/>
      <c r="AF2216" s="23"/>
      <c r="AG2216" s="23"/>
      <c r="AH2216" s="23"/>
      <c r="AI2216" s="23"/>
      <c r="AJ2216" s="23"/>
      <c r="AK2216" s="23"/>
      <c r="AL2216" s="23"/>
      <c r="AM2216" s="23"/>
      <c r="AN2216" s="23"/>
      <c r="AO2216" s="23"/>
      <c r="AP2216" s="23"/>
      <c r="AQ2216" s="23"/>
      <c r="AR2216" s="23"/>
      <c r="AS2216" s="23"/>
      <c r="AT2216" s="23"/>
      <c r="AU2216" s="23"/>
      <c r="AV2216" s="23"/>
      <c r="AW2216" s="23"/>
      <c r="AX2216" s="23"/>
      <c r="AY2216" s="23"/>
      <c r="AZ2216" s="23"/>
      <c r="BA2216" s="23"/>
      <c r="BB2216" s="23"/>
    </row>
    <row r="2217" spans="5:54" x14ac:dyDescent="0.35"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  <c r="AA2217" s="23"/>
      <c r="AB2217" s="23"/>
      <c r="AC2217" s="23"/>
      <c r="AD2217" s="23"/>
      <c r="AE2217" s="23"/>
      <c r="AF2217" s="23"/>
      <c r="AG2217" s="23"/>
      <c r="AH2217" s="23"/>
      <c r="AI2217" s="23"/>
      <c r="AJ2217" s="23"/>
      <c r="AK2217" s="23"/>
      <c r="AL2217" s="23"/>
      <c r="AM2217" s="23"/>
      <c r="AN2217" s="23"/>
      <c r="AO2217" s="23"/>
      <c r="AP2217" s="23"/>
      <c r="AQ2217" s="23"/>
      <c r="AR2217" s="23"/>
      <c r="AS2217" s="23"/>
      <c r="AT2217" s="23"/>
      <c r="AU2217" s="23"/>
      <c r="AV2217" s="23"/>
      <c r="AW2217" s="23"/>
      <c r="AX2217" s="23"/>
      <c r="AY2217" s="23"/>
      <c r="AZ2217" s="23"/>
      <c r="BA2217" s="23"/>
      <c r="BB2217" s="23"/>
    </row>
    <row r="2218" spans="5:54" x14ac:dyDescent="0.35"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  <c r="AA2218" s="23"/>
      <c r="AB2218" s="23"/>
      <c r="AC2218" s="23"/>
      <c r="AD2218" s="23"/>
      <c r="AE2218" s="23"/>
      <c r="AF2218" s="23"/>
      <c r="AG2218" s="23"/>
      <c r="AH2218" s="23"/>
      <c r="AI2218" s="23"/>
      <c r="AJ2218" s="23"/>
      <c r="AK2218" s="23"/>
      <c r="AL2218" s="23"/>
      <c r="AM2218" s="23"/>
      <c r="AN2218" s="23"/>
      <c r="AO2218" s="23"/>
      <c r="AP2218" s="23"/>
      <c r="AQ2218" s="23"/>
      <c r="AR2218" s="23"/>
      <c r="AS2218" s="23"/>
      <c r="AT2218" s="23"/>
      <c r="AU2218" s="23"/>
      <c r="AV2218" s="23"/>
      <c r="AW2218" s="23"/>
      <c r="AX2218" s="23"/>
      <c r="AY2218" s="23"/>
      <c r="AZ2218" s="23"/>
      <c r="BA2218" s="23"/>
      <c r="BB2218" s="23"/>
    </row>
    <row r="2219" spans="5:54" x14ac:dyDescent="0.35"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  <c r="AA2219" s="23"/>
      <c r="AB2219" s="23"/>
      <c r="AC2219" s="23"/>
      <c r="AD2219" s="23"/>
      <c r="AE2219" s="23"/>
      <c r="AF2219" s="23"/>
      <c r="AG2219" s="23"/>
      <c r="AH2219" s="23"/>
      <c r="AI2219" s="23"/>
      <c r="AJ2219" s="23"/>
      <c r="AK2219" s="23"/>
      <c r="AL2219" s="23"/>
      <c r="AM2219" s="23"/>
      <c r="AN2219" s="23"/>
      <c r="AO2219" s="23"/>
      <c r="AP2219" s="23"/>
      <c r="AQ2219" s="23"/>
      <c r="AR2219" s="23"/>
      <c r="AS2219" s="23"/>
      <c r="AT2219" s="23"/>
      <c r="AU2219" s="23"/>
      <c r="AV2219" s="23"/>
      <c r="AW2219" s="23"/>
      <c r="AX2219" s="23"/>
      <c r="AY2219" s="23"/>
      <c r="AZ2219" s="23"/>
      <c r="BA2219" s="23"/>
      <c r="BB2219" s="23"/>
    </row>
    <row r="2220" spans="5:54" x14ac:dyDescent="0.35"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  <c r="AA2220" s="23"/>
      <c r="AB2220" s="23"/>
      <c r="AC2220" s="23"/>
      <c r="AD2220" s="23"/>
      <c r="AE2220" s="23"/>
      <c r="AF2220" s="23"/>
      <c r="AG2220" s="23"/>
      <c r="AH2220" s="23"/>
      <c r="AI2220" s="23"/>
      <c r="AJ2220" s="23"/>
      <c r="AK2220" s="23"/>
      <c r="AL2220" s="23"/>
      <c r="AM2220" s="23"/>
      <c r="AN2220" s="23"/>
      <c r="AO2220" s="23"/>
      <c r="AP2220" s="23"/>
      <c r="AQ2220" s="23"/>
      <c r="AR2220" s="23"/>
      <c r="AS2220" s="23"/>
      <c r="AT2220" s="23"/>
      <c r="AU2220" s="23"/>
      <c r="AV2220" s="23"/>
      <c r="AW2220" s="23"/>
      <c r="AX2220" s="23"/>
      <c r="AY2220" s="23"/>
      <c r="AZ2220" s="23"/>
      <c r="BA2220" s="23"/>
      <c r="BB2220" s="23"/>
    </row>
    <row r="2221" spans="5:54" x14ac:dyDescent="0.35"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  <c r="AA2221" s="23"/>
      <c r="AB2221" s="23"/>
      <c r="AC2221" s="23"/>
      <c r="AD2221" s="23"/>
      <c r="AE2221" s="23"/>
      <c r="AF2221" s="23"/>
      <c r="AG2221" s="23"/>
      <c r="AH2221" s="23"/>
      <c r="AI2221" s="23"/>
      <c r="AJ2221" s="23"/>
      <c r="AK2221" s="23"/>
      <c r="AL2221" s="23"/>
      <c r="AM2221" s="23"/>
      <c r="AN2221" s="23"/>
      <c r="AO2221" s="23"/>
      <c r="AP2221" s="23"/>
      <c r="AQ2221" s="23"/>
      <c r="AR2221" s="23"/>
      <c r="AS2221" s="23"/>
      <c r="AT2221" s="23"/>
      <c r="AU2221" s="23"/>
      <c r="AV2221" s="23"/>
      <c r="AW2221" s="23"/>
      <c r="AX2221" s="23"/>
      <c r="AY2221" s="23"/>
      <c r="AZ2221" s="23"/>
      <c r="BA2221" s="23"/>
      <c r="BB2221" s="23"/>
    </row>
    <row r="2222" spans="5:54" x14ac:dyDescent="0.35"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  <c r="AA2222" s="23"/>
      <c r="AB2222" s="23"/>
      <c r="AC2222" s="23"/>
      <c r="AD2222" s="23"/>
      <c r="AE2222" s="23"/>
      <c r="AF2222" s="23"/>
      <c r="AG2222" s="23"/>
      <c r="AH2222" s="23"/>
      <c r="AI2222" s="23"/>
      <c r="AJ2222" s="23"/>
      <c r="AK2222" s="23"/>
      <c r="AL2222" s="23"/>
      <c r="AM2222" s="23"/>
      <c r="AN2222" s="23"/>
      <c r="AO2222" s="23"/>
      <c r="AP2222" s="23"/>
      <c r="AQ2222" s="23"/>
      <c r="AR2222" s="23"/>
      <c r="AS2222" s="23"/>
      <c r="AT2222" s="23"/>
      <c r="AU2222" s="23"/>
      <c r="AV2222" s="23"/>
      <c r="AW2222" s="23"/>
      <c r="AX2222" s="23"/>
      <c r="AY2222" s="23"/>
      <c r="AZ2222" s="23"/>
      <c r="BA2222" s="23"/>
      <c r="BB2222" s="23"/>
    </row>
    <row r="2223" spans="5:54" x14ac:dyDescent="0.35"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  <c r="AA2223" s="23"/>
      <c r="AB2223" s="23"/>
      <c r="AC2223" s="23"/>
      <c r="AD2223" s="23"/>
      <c r="AE2223" s="23"/>
      <c r="AF2223" s="23"/>
      <c r="AG2223" s="23"/>
      <c r="AH2223" s="23"/>
      <c r="AI2223" s="23"/>
      <c r="AJ2223" s="23"/>
      <c r="AK2223" s="23"/>
      <c r="AL2223" s="23"/>
      <c r="AM2223" s="23"/>
      <c r="AN2223" s="23"/>
      <c r="AO2223" s="23"/>
      <c r="AP2223" s="23"/>
      <c r="AQ2223" s="23"/>
      <c r="AR2223" s="23"/>
      <c r="AS2223" s="23"/>
      <c r="AT2223" s="23"/>
      <c r="AU2223" s="23"/>
      <c r="AV2223" s="23"/>
      <c r="AW2223" s="23"/>
      <c r="AX2223" s="23"/>
      <c r="AY2223" s="23"/>
      <c r="AZ2223" s="23"/>
      <c r="BA2223" s="23"/>
      <c r="BB2223" s="23"/>
    </row>
    <row r="2224" spans="5:54" x14ac:dyDescent="0.35"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  <c r="AA2224" s="23"/>
      <c r="AB2224" s="23"/>
      <c r="AC2224" s="23"/>
      <c r="AD2224" s="23"/>
      <c r="AE2224" s="23"/>
      <c r="AF2224" s="23"/>
      <c r="AG2224" s="23"/>
      <c r="AH2224" s="23"/>
      <c r="AI2224" s="23"/>
      <c r="AJ2224" s="23"/>
      <c r="AK2224" s="23"/>
      <c r="AL2224" s="23"/>
      <c r="AM2224" s="23"/>
      <c r="AN2224" s="23"/>
      <c r="AO2224" s="23"/>
      <c r="AP2224" s="23"/>
      <c r="AQ2224" s="23"/>
      <c r="AR2224" s="23"/>
      <c r="AS2224" s="23"/>
      <c r="AT2224" s="23"/>
      <c r="AU2224" s="23"/>
      <c r="AV2224" s="23"/>
      <c r="AW2224" s="23"/>
      <c r="AX2224" s="23"/>
      <c r="AY2224" s="23"/>
      <c r="AZ2224" s="23"/>
      <c r="BA2224" s="23"/>
      <c r="BB2224" s="23"/>
    </row>
    <row r="2225" spans="5:54" x14ac:dyDescent="0.35"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  <c r="AA2225" s="23"/>
      <c r="AB2225" s="23"/>
      <c r="AC2225" s="23"/>
      <c r="AD2225" s="23"/>
      <c r="AE2225" s="23"/>
      <c r="AF2225" s="23"/>
      <c r="AG2225" s="23"/>
      <c r="AH2225" s="23"/>
      <c r="AI2225" s="23"/>
      <c r="AJ2225" s="23"/>
      <c r="AK2225" s="23"/>
      <c r="AL2225" s="23"/>
      <c r="AM2225" s="23"/>
      <c r="AN2225" s="23"/>
      <c r="AO2225" s="23"/>
      <c r="AP2225" s="23"/>
      <c r="AQ2225" s="23"/>
      <c r="AR2225" s="23"/>
      <c r="AS2225" s="23"/>
      <c r="AT2225" s="23"/>
      <c r="AU2225" s="23"/>
      <c r="AV2225" s="23"/>
      <c r="AW2225" s="23"/>
      <c r="AX2225" s="23"/>
      <c r="AY2225" s="23"/>
      <c r="AZ2225" s="23"/>
      <c r="BA2225" s="23"/>
      <c r="BB2225" s="23"/>
    </row>
    <row r="2226" spans="5:54" x14ac:dyDescent="0.35"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  <c r="AA2226" s="23"/>
      <c r="AB2226" s="23"/>
      <c r="AC2226" s="23"/>
      <c r="AD2226" s="23"/>
      <c r="AE2226" s="23"/>
      <c r="AF2226" s="23"/>
      <c r="AG2226" s="23"/>
      <c r="AH2226" s="23"/>
      <c r="AI2226" s="23"/>
      <c r="AJ2226" s="23"/>
      <c r="AK2226" s="23"/>
      <c r="AL2226" s="23"/>
      <c r="AM2226" s="23"/>
      <c r="AN2226" s="23"/>
      <c r="AO2226" s="23"/>
      <c r="AP2226" s="23"/>
      <c r="AQ2226" s="23"/>
      <c r="AR2226" s="23"/>
      <c r="AS2226" s="23"/>
      <c r="AT2226" s="23"/>
      <c r="AU2226" s="23"/>
      <c r="AV2226" s="23"/>
      <c r="AW2226" s="23"/>
      <c r="AX2226" s="23"/>
      <c r="AY2226" s="23"/>
      <c r="AZ2226" s="23"/>
      <c r="BA2226" s="23"/>
      <c r="BB2226" s="23"/>
    </row>
    <row r="2227" spans="5:54" x14ac:dyDescent="0.35"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  <c r="AA2227" s="23"/>
      <c r="AB2227" s="23"/>
      <c r="AC2227" s="23"/>
      <c r="AD2227" s="23"/>
      <c r="AE2227" s="23"/>
      <c r="AF2227" s="23"/>
      <c r="AG2227" s="23"/>
      <c r="AH2227" s="23"/>
      <c r="AI2227" s="23"/>
      <c r="AJ2227" s="23"/>
      <c r="AK2227" s="23"/>
      <c r="AL2227" s="23"/>
      <c r="AM2227" s="23"/>
      <c r="AN2227" s="23"/>
      <c r="AO2227" s="23"/>
      <c r="AP2227" s="23"/>
      <c r="AQ2227" s="23"/>
      <c r="AR2227" s="23"/>
      <c r="AS2227" s="23"/>
      <c r="AT2227" s="23"/>
      <c r="AU2227" s="23"/>
      <c r="AV2227" s="23"/>
      <c r="AW2227" s="23"/>
      <c r="AX2227" s="23"/>
      <c r="AY2227" s="23"/>
      <c r="AZ2227" s="23"/>
      <c r="BA2227" s="23"/>
      <c r="BB2227" s="23"/>
    </row>
    <row r="2228" spans="5:54" x14ac:dyDescent="0.35"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  <c r="AA2228" s="23"/>
      <c r="AB2228" s="23"/>
      <c r="AC2228" s="23"/>
      <c r="AD2228" s="23"/>
      <c r="AE2228" s="23"/>
      <c r="AF2228" s="23"/>
      <c r="AG2228" s="23"/>
      <c r="AH2228" s="23"/>
      <c r="AI2228" s="23"/>
      <c r="AJ2228" s="23"/>
      <c r="AK2228" s="23"/>
      <c r="AL2228" s="23"/>
      <c r="AM2228" s="23"/>
      <c r="AN2228" s="23"/>
      <c r="AO2228" s="23"/>
      <c r="AP2228" s="23"/>
      <c r="AQ2228" s="23"/>
      <c r="AR2228" s="23"/>
      <c r="AS2228" s="23"/>
      <c r="AT2228" s="23"/>
      <c r="AU2228" s="23"/>
      <c r="AV2228" s="23"/>
      <c r="AW2228" s="23"/>
      <c r="AX2228" s="23"/>
      <c r="AY2228" s="23"/>
      <c r="AZ2228" s="23"/>
      <c r="BA2228" s="23"/>
      <c r="BB2228" s="23"/>
    </row>
    <row r="2229" spans="5:54" x14ac:dyDescent="0.35"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  <c r="AA2229" s="23"/>
      <c r="AB2229" s="23"/>
      <c r="AC2229" s="23"/>
      <c r="AD2229" s="23"/>
      <c r="AE2229" s="23"/>
      <c r="AF2229" s="23"/>
      <c r="AG2229" s="23"/>
      <c r="AH2229" s="23"/>
      <c r="AI2229" s="23"/>
      <c r="AJ2229" s="23"/>
      <c r="AK2229" s="23"/>
      <c r="AL2229" s="23"/>
      <c r="AM2229" s="23"/>
      <c r="AN2229" s="23"/>
      <c r="AO2229" s="23"/>
      <c r="AP2229" s="23"/>
      <c r="AQ2229" s="23"/>
      <c r="AR2229" s="23"/>
      <c r="AS2229" s="23"/>
      <c r="AT2229" s="23"/>
      <c r="AU2229" s="23"/>
      <c r="AV2229" s="23"/>
      <c r="AW2229" s="23"/>
      <c r="AX2229" s="23"/>
      <c r="AY2229" s="23"/>
      <c r="AZ2229" s="23"/>
      <c r="BA2229" s="23"/>
      <c r="BB2229" s="23"/>
    </row>
    <row r="2230" spans="5:54" x14ac:dyDescent="0.35"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  <c r="AA2230" s="23"/>
      <c r="AB2230" s="23"/>
      <c r="AC2230" s="23"/>
      <c r="AD2230" s="23"/>
      <c r="AE2230" s="23"/>
      <c r="AF2230" s="23"/>
      <c r="AG2230" s="23"/>
      <c r="AH2230" s="23"/>
      <c r="AI2230" s="23"/>
      <c r="AJ2230" s="23"/>
      <c r="AK2230" s="23"/>
      <c r="AL2230" s="23"/>
      <c r="AM2230" s="23"/>
      <c r="AN2230" s="23"/>
      <c r="AO2230" s="23"/>
      <c r="AP2230" s="23"/>
      <c r="AQ2230" s="23"/>
      <c r="AR2230" s="23"/>
      <c r="AS2230" s="23"/>
      <c r="AT2230" s="23"/>
      <c r="AU2230" s="23"/>
      <c r="AV2230" s="23"/>
      <c r="AW2230" s="23"/>
      <c r="AX2230" s="23"/>
      <c r="AY2230" s="23"/>
      <c r="AZ2230" s="23"/>
      <c r="BA2230" s="23"/>
      <c r="BB2230" s="23"/>
    </row>
    <row r="2231" spans="5:54" x14ac:dyDescent="0.35"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  <c r="AA2231" s="23"/>
      <c r="AB2231" s="23"/>
      <c r="AC2231" s="23"/>
      <c r="AD2231" s="23"/>
      <c r="AE2231" s="23"/>
      <c r="AF2231" s="23"/>
      <c r="AG2231" s="23"/>
      <c r="AH2231" s="23"/>
      <c r="AI2231" s="23"/>
      <c r="AJ2231" s="23"/>
      <c r="AK2231" s="23"/>
      <c r="AL2231" s="23"/>
      <c r="AM2231" s="23"/>
      <c r="AN2231" s="23"/>
      <c r="AO2231" s="23"/>
      <c r="AP2231" s="23"/>
      <c r="AQ2231" s="23"/>
      <c r="AR2231" s="23"/>
      <c r="AS2231" s="23"/>
      <c r="AT2231" s="23"/>
      <c r="AU2231" s="23"/>
      <c r="AV2231" s="23"/>
      <c r="AW2231" s="23"/>
      <c r="AX2231" s="23"/>
      <c r="AY2231" s="23"/>
      <c r="AZ2231" s="23"/>
      <c r="BA2231" s="23"/>
      <c r="BB2231" s="23"/>
    </row>
    <row r="2232" spans="5:54" x14ac:dyDescent="0.35"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  <c r="AA2232" s="23"/>
      <c r="AB2232" s="23"/>
      <c r="AC2232" s="23"/>
      <c r="AD2232" s="23"/>
      <c r="AE2232" s="23"/>
      <c r="AF2232" s="23"/>
      <c r="AG2232" s="23"/>
      <c r="AH2232" s="23"/>
      <c r="AI2232" s="23"/>
      <c r="AJ2232" s="23"/>
      <c r="AK2232" s="23"/>
      <c r="AL2232" s="23"/>
      <c r="AM2232" s="23"/>
      <c r="AN2232" s="23"/>
      <c r="AO2232" s="23"/>
      <c r="AP2232" s="23"/>
      <c r="AQ2232" s="23"/>
      <c r="AR2232" s="23"/>
      <c r="AS2232" s="23"/>
      <c r="AT2232" s="23"/>
      <c r="AU2232" s="23"/>
      <c r="AV2232" s="23"/>
      <c r="AW2232" s="23"/>
      <c r="AX2232" s="23"/>
      <c r="AY2232" s="23"/>
      <c r="AZ2232" s="23"/>
      <c r="BA2232" s="23"/>
      <c r="BB2232" s="23"/>
    </row>
    <row r="2233" spans="5:54" x14ac:dyDescent="0.35"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  <c r="AA2233" s="23"/>
      <c r="AB2233" s="23"/>
      <c r="AC2233" s="23"/>
      <c r="AD2233" s="23"/>
      <c r="AE2233" s="23"/>
      <c r="AF2233" s="23"/>
      <c r="AG2233" s="23"/>
      <c r="AH2233" s="23"/>
      <c r="AI2233" s="23"/>
      <c r="AJ2233" s="23"/>
      <c r="AK2233" s="23"/>
      <c r="AL2233" s="23"/>
      <c r="AM2233" s="23"/>
      <c r="AN2233" s="23"/>
      <c r="AO2233" s="23"/>
      <c r="AP2233" s="23"/>
      <c r="AQ2233" s="23"/>
      <c r="AR2233" s="23"/>
      <c r="AS2233" s="23"/>
      <c r="AT2233" s="23"/>
      <c r="AU2233" s="23"/>
      <c r="AV2233" s="23"/>
      <c r="AW2233" s="23"/>
      <c r="AX2233" s="23"/>
      <c r="AY2233" s="23"/>
      <c r="AZ2233" s="23"/>
      <c r="BA2233" s="23"/>
      <c r="BB2233" s="23"/>
    </row>
    <row r="2234" spans="5:54" x14ac:dyDescent="0.35"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  <c r="AA2234" s="23"/>
      <c r="AB2234" s="23"/>
      <c r="AC2234" s="23"/>
      <c r="AD2234" s="23"/>
      <c r="AE2234" s="23"/>
      <c r="AF2234" s="23"/>
      <c r="AG2234" s="23"/>
      <c r="AH2234" s="23"/>
      <c r="AI2234" s="23"/>
      <c r="AJ2234" s="23"/>
      <c r="AK2234" s="23"/>
      <c r="AL2234" s="23"/>
      <c r="AM2234" s="23"/>
      <c r="AN2234" s="23"/>
      <c r="AO2234" s="23"/>
      <c r="AP2234" s="23"/>
      <c r="AQ2234" s="23"/>
      <c r="AR2234" s="23"/>
      <c r="AS2234" s="23"/>
      <c r="AT2234" s="23"/>
      <c r="AU2234" s="23"/>
      <c r="AV2234" s="23"/>
      <c r="AW2234" s="23"/>
      <c r="AX2234" s="23"/>
      <c r="AY2234" s="23"/>
      <c r="AZ2234" s="23"/>
      <c r="BA2234" s="23"/>
      <c r="BB2234" s="23"/>
    </row>
    <row r="2235" spans="5:54" x14ac:dyDescent="0.35"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  <c r="AA2235" s="23"/>
      <c r="AB2235" s="23"/>
      <c r="AC2235" s="23"/>
      <c r="AD2235" s="23"/>
      <c r="AE2235" s="23"/>
      <c r="AF2235" s="23"/>
      <c r="AG2235" s="23"/>
      <c r="AH2235" s="23"/>
      <c r="AI2235" s="23"/>
      <c r="AJ2235" s="23"/>
      <c r="AK2235" s="23"/>
      <c r="AL2235" s="23"/>
      <c r="AM2235" s="23"/>
      <c r="AN2235" s="23"/>
      <c r="AO2235" s="23"/>
      <c r="AP2235" s="23"/>
      <c r="AQ2235" s="23"/>
      <c r="AR2235" s="23"/>
      <c r="AS2235" s="23"/>
      <c r="AT2235" s="23"/>
      <c r="AU2235" s="23"/>
      <c r="AV2235" s="23"/>
      <c r="AW2235" s="23"/>
      <c r="AX2235" s="23"/>
      <c r="AY2235" s="23"/>
      <c r="AZ2235" s="23"/>
      <c r="BA2235" s="23"/>
      <c r="BB2235" s="23"/>
    </row>
    <row r="2236" spans="5:54" x14ac:dyDescent="0.35"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  <c r="AA2236" s="23"/>
      <c r="AB2236" s="23"/>
      <c r="AC2236" s="23"/>
      <c r="AD2236" s="23"/>
      <c r="AE2236" s="23"/>
      <c r="AF2236" s="23"/>
      <c r="AG2236" s="23"/>
      <c r="AH2236" s="23"/>
      <c r="AI2236" s="23"/>
      <c r="AJ2236" s="23"/>
      <c r="AK2236" s="23"/>
      <c r="AL2236" s="23"/>
      <c r="AM2236" s="23"/>
      <c r="AN2236" s="23"/>
      <c r="AO2236" s="23"/>
      <c r="AP2236" s="23"/>
      <c r="AQ2236" s="23"/>
      <c r="AR2236" s="23"/>
      <c r="AS2236" s="23"/>
      <c r="AT2236" s="23"/>
      <c r="AU2236" s="23"/>
      <c r="AV2236" s="23"/>
      <c r="AW2236" s="23"/>
      <c r="AX2236" s="23"/>
      <c r="AY2236" s="23"/>
      <c r="AZ2236" s="23"/>
      <c r="BA2236" s="23"/>
      <c r="BB2236" s="23"/>
    </row>
    <row r="2237" spans="5:54" x14ac:dyDescent="0.35"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  <c r="AA2237" s="23"/>
      <c r="AB2237" s="23"/>
      <c r="AC2237" s="23"/>
      <c r="AD2237" s="23"/>
      <c r="AE2237" s="23"/>
      <c r="AF2237" s="23"/>
      <c r="AG2237" s="23"/>
      <c r="AH2237" s="23"/>
      <c r="AI2237" s="23"/>
      <c r="AJ2237" s="23"/>
      <c r="AK2237" s="23"/>
      <c r="AL2237" s="23"/>
      <c r="AM2237" s="23"/>
      <c r="AN2237" s="23"/>
      <c r="AO2237" s="23"/>
      <c r="AP2237" s="23"/>
      <c r="AQ2237" s="23"/>
      <c r="AR2237" s="23"/>
      <c r="AS2237" s="23"/>
      <c r="AT2237" s="23"/>
      <c r="AU2237" s="23"/>
      <c r="AV2237" s="23"/>
      <c r="AW2237" s="23"/>
      <c r="AX2237" s="23"/>
      <c r="AY2237" s="23"/>
      <c r="AZ2237" s="23"/>
      <c r="BA2237" s="23"/>
      <c r="BB2237" s="23"/>
    </row>
    <row r="2238" spans="5:54" x14ac:dyDescent="0.35"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  <c r="AA2238" s="23"/>
      <c r="AB2238" s="23"/>
      <c r="AC2238" s="23"/>
      <c r="AD2238" s="23"/>
      <c r="AE2238" s="23"/>
      <c r="AF2238" s="23"/>
      <c r="AG2238" s="23"/>
      <c r="AH2238" s="23"/>
      <c r="AI2238" s="23"/>
      <c r="AJ2238" s="23"/>
      <c r="AK2238" s="23"/>
      <c r="AL2238" s="23"/>
      <c r="AM2238" s="23"/>
      <c r="AN2238" s="23"/>
      <c r="AO2238" s="23"/>
      <c r="AP2238" s="23"/>
      <c r="AQ2238" s="23"/>
      <c r="AR2238" s="23"/>
      <c r="AS2238" s="23"/>
      <c r="AT2238" s="23"/>
      <c r="AU2238" s="23"/>
      <c r="AV2238" s="23"/>
      <c r="AW2238" s="23"/>
      <c r="AX2238" s="23"/>
      <c r="AY2238" s="23"/>
      <c r="AZ2238" s="23"/>
      <c r="BA2238" s="23"/>
      <c r="BB2238" s="23"/>
    </row>
    <row r="2239" spans="5:54" x14ac:dyDescent="0.35"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  <c r="AA2239" s="23"/>
      <c r="AB2239" s="23"/>
      <c r="AC2239" s="23"/>
      <c r="AD2239" s="23"/>
      <c r="AE2239" s="23"/>
      <c r="AF2239" s="23"/>
      <c r="AG2239" s="23"/>
      <c r="AH2239" s="23"/>
      <c r="AI2239" s="23"/>
      <c r="AJ2239" s="23"/>
      <c r="AK2239" s="23"/>
      <c r="AL2239" s="23"/>
      <c r="AM2239" s="23"/>
      <c r="AN2239" s="23"/>
      <c r="AO2239" s="23"/>
      <c r="AP2239" s="23"/>
      <c r="AQ2239" s="23"/>
      <c r="AR2239" s="23"/>
      <c r="AS2239" s="23"/>
      <c r="AT2239" s="23"/>
      <c r="AU2239" s="23"/>
      <c r="AV2239" s="23"/>
      <c r="AW2239" s="23"/>
      <c r="AX2239" s="23"/>
      <c r="AY2239" s="23"/>
      <c r="AZ2239" s="23"/>
      <c r="BA2239" s="23"/>
      <c r="BB2239" s="23"/>
    </row>
    <row r="2240" spans="5:54" x14ac:dyDescent="0.35"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  <c r="AA2240" s="23"/>
      <c r="AB2240" s="23"/>
      <c r="AC2240" s="23"/>
      <c r="AD2240" s="23"/>
      <c r="AE2240" s="23"/>
      <c r="AF2240" s="23"/>
      <c r="AG2240" s="23"/>
      <c r="AH2240" s="23"/>
      <c r="AI2240" s="23"/>
      <c r="AJ2240" s="23"/>
      <c r="AK2240" s="23"/>
      <c r="AL2240" s="23"/>
      <c r="AM2240" s="23"/>
      <c r="AN2240" s="23"/>
      <c r="AO2240" s="23"/>
      <c r="AP2240" s="23"/>
      <c r="AQ2240" s="23"/>
      <c r="AR2240" s="23"/>
      <c r="AS2240" s="23"/>
      <c r="AT2240" s="23"/>
      <c r="AU2240" s="23"/>
      <c r="AV2240" s="23"/>
      <c r="AW2240" s="23"/>
      <c r="AX2240" s="23"/>
      <c r="AY2240" s="23"/>
      <c r="AZ2240" s="23"/>
      <c r="BA2240" s="23"/>
      <c r="BB2240" s="23"/>
    </row>
    <row r="2241" spans="5:54" x14ac:dyDescent="0.35"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  <c r="AA2241" s="23"/>
      <c r="AB2241" s="23"/>
      <c r="AC2241" s="23"/>
      <c r="AD2241" s="23"/>
      <c r="AE2241" s="23"/>
      <c r="AF2241" s="23"/>
      <c r="AG2241" s="23"/>
      <c r="AH2241" s="23"/>
      <c r="AI2241" s="23"/>
      <c r="AJ2241" s="23"/>
      <c r="AK2241" s="23"/>
      <c r="AL2241" s="23"/>
      <c r="AM2241" s="23"/>
      <c r="AN2241" s="23"/>
      <c r="AO2241" s="23"/>
      <c r="AP2241" s="23"/>
      <c r="AQ2241" s="23"/>
      <c r="AR2241" s="23"/>
      <c r="AS2241" s="23"/>
      <c r="AT2241" s="23"/>
      <c r="AU2241" s="23"/>
      <c r="AV2241" s="23"/>
      <c r="AW2241" s="23"/>
      <c r="AX2241" s="23"/>
      <c r="AY2241" s="23"/>
      <c r="AZ2241" s="23"/>
      <c r="BA2241" s="23"/>
      <c r="BB2241" s="23"/>
    </row>
    <row r="2242" spans="5:54" x14ac:dyDescent="0.35"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  <c r="AA2242" s="23"/>
      <c r="AB2242" s="23"/>
      <c r="AC2242" s="23"/>
      <c r="AD2242" s="23"/>
      <c r="AE2242" s="23"/>
      <c r="AF2242" s="23"/>
      <c r="AG2242" s="23"/>
      <c r="AH2242" s="23"/>
      <c r="AI2242" s="23"/>
      <c r="AJ2242" s="23"/>
      <c r="AK2242" s="23"/>
      <c r="AL2242" s="23"/>
      <c r="AM2242" s="23"/>
      <c r="AN2242" s="23"/>
      <c r="AO2242" s="23"/>
      <c r="AP2242" s="23"/>
      <c r="AQ2242" s="23"/>
      <c r="AR2242" s="23"/>
      <c r="AS2242" s="23"/>
      <c r="AT2242" s="23"/>
      <c r="AU2242" s="23"/>
      <c r="AV2242" s="23"/>
      <c r="AW2242" s="23"/>
      <c r="AX2242" s="23"/>
      <c r="AY2242" s="23"/>
      <c r="AZ2242" s="23"/>
      <c r="BA2242" s="23"/>
      <c r="BB2242" s="23"/>
    </row>
    <row r="2243" spans="5:54" x14ac:dyDescent="0.35"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  <c r="AA2243" s="23"/>
      <c r="AB2243" s="23"/>
      <c r="AC2243" s="23"/>
      <c r="AD2243" s="23"/>
      <c r="AE2243" s="23"/>
      <c r="AF2243" s="23"/>
      <c r="AG2243" s="23"/>
      <c r="AH2243" s="23"/>
      <c r="AI2243" s="23"/>
      <c r="AJ2243" s="23"/>
      <c r="AK2243" s="23"/>
      <c r="AL2243" s="23"/>
      <c r="AM2243" s="23"/>
      <c r="AN2243" s="23"/>
      <c r="AO2243" s="23"/>
      <c r="AP2243" s="23"/>
      <c r="AQ2243" s="23"/>
      <c r="AR2243" s="23"/>
      <c r="AS2243" s="23"/>
      <c r="AT2243" s="23"/>
      <c r="AU2243" s="23"/>
      <c r="AV2243" s="23"/>
      <c r="AW2243" s="23"/>
      <c r="AX2243" s="23"/>
      <c r="AY2243" s="23"/>
      <c r="AZ2243" s="23"/>
      <c r="BA2243" s="23"/>
      <c r="BB2243" s="23"/>
    </row>
    <row r="2244" spans="5:54" x14ac:dyDescent="0.35"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  <c r="AA2244" s="23"/>
      <c r="AB2244" s="23"/>
      <c r="AC2244" s="23"/>
      <c r="AD2244" s="23"/>
      <c r="AE2244" s="23"/>
      <c r="AF2244" s="23"/>
      <c r="AG2244" s="23"/>
      <c r="AH2244" s="23"/>
      <c r="AI2244" s="23"/>
      <c r="AJ2244" s="23"/>
      <c r="AK2244" s="23"/>
      <c r="AL2244" s="23"/>
      <c r="AM2244" s="23"/>
      <c r="AN2244" s="23"/>
      <c r="AO2244" s="23"/>
      <c r="AP2244" s="23"/>
      <c r="AQ2244" s="23"/>
      <c r="AR2244" s="23"/>
      <c r="AS2244" s="23"/>
      <c r="AT2244" s="23"/>
      <c r="AU2244" s="23"/>
      <c r="AV2244" s="23"/>
      <c r="AW2244" s="23"/>
      <c r="AX2244" s="23"/>
      <c r="AY2244" s="23"/>
      <c r="AZ2244" s="23"/>
      <c r="BA2244" s="23"/>
      <c r="BB2244" s="23"/>
    </row>
    <row r="2245" spans="5:54" x14ac:dyDescent="0.35"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  <c r="AA2245" s="23"/>
      <c r="AB2245" s="23"/>
      <c r="AC2245" s="23"/>
      <c r="AD2245" s="23"/>
      <c r="AE2245" s="23"/>
      <c r="AF2245" s="23"/>
      <c r="AG2245" s="23"/>
      <c r="AH2245" s="23"/>
      <c r="AI2245" s="23"/>
      <c r="AJ2245" s="23"/>
      <c r="AK2245" s="23"/>
      <c r="AL2245" s="23"/>
      <c r="AM2245" s="23"/>
      <c r="AN2245" s="23"/>
      <c r="AO2245" s="23"/>
      <c r="AP2245" s="23"/>
      <c r="AQ2245" s="23"/>
      <c r="AR2245" s="23"/>
      <c r="AS2245" s="23"/>
      <c r="AT2245" s="23"/>
      <c r="AU2245" s="23"/>
      <c r="AV2245" s="23"/>
      <c r="AW2245" s="23"/>
      <c r="AX2245" s="23"/>
      <c r="AY2245" s="23"/>
      <c r="AZ2245" s="23"/>
      <c r="BA2245" s="23"/>
      <c r="BB2245" s="23"/>
    </row>
    <row r="2246" spans="5:54" x14ac:dyDescent="0.35"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  <c r="AA2246" s="23"/>
      <c r="AB2246" s="23"/>
      <c r="AC2246" s="23"/>
      <c r="AD2246" s="23"/>
      <c r="AE2246" s="23"/>
      <c r="AF2246" s="23"/>
      <c r="AG2246" s="23"/>
      <c r="AH2246" s="23"/>
      <c r="AI2246" s="23"/>
      <c r="AJ2246" s="23"/>
      <c r="AK2246" s="23"/>
      <c r="AL2246" s="23"/>
      <c r="AM2246" s="23"/>
      <c r="AN2246" s="23"/>
      <c r="AO2246" s="23"/>
      <c r="AP2246" s="23"/>
      <c r="AQ2246" s="23"/>
      <c r="AR2246" s="23"/>
      <c r="AS2246" s="23"/>
      <c r="AT2246" s="23"/>
      <c r="AU2246" s="23"/>
      <c r="AV2246" s="23"/>
      <c r="AW2246" s="23"/>
      <c r="AX2246" s="23"/>
      <c r="AY2246" s="23"/>
      <c r="AZ2246" s="23"/>
      <c r="BA2246" s="23"/>
      <c r="BB2246" s="23"/>
    </row>
    <row r="2247" spans="5:54" x14ac:dyDescent="0.35"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  <c r="AA2247" s="23"/>
      <c r="AB2247" s="23"/>
      <c r="AC2247" s="23"/>
      <c r="AD2247" s="23"/>
      <c r="AE2247" s="23"/>
      <c r="AF2247" s="23"/>
      <c r="AG2247" s="23"/>
      <c r="AH2247" s="23"/>
      <c r="AI2247" s="23"/>
      <c r="AJ2247" s="23"/>
      <c r="AK2247" s="23"/>
      <c r="AL2247" s="23"/>
      <c r="AM2247" s="23"/>
      <c r="AN2247" s="23"/>
      <c r="AO2247" s="23"/>
      <c r="AP2247" s="23"/>
      <c r="AQ2247" s="23"/>
      <c r="AR2247" s="23"/>
      <c r="AS2247" s="23"/>
      <c r="AT2247" s="23"/>
      <c r="AU2247" s="23"/>
      <c r="AV2247" s="23"/>
      <c r="AW2247" s="23"/>
      <c r="AX2247" s="23"/>
      <c r="AY2247" s="23"/>
      <c r="AZ2247" s="23"/>
      <c r="BA2247" s="23"/>
      <c r="BB2247" s="23"/>
    </row>
    <row r="2248" spans="5:54" x14ac:dyDescent="0.35"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  <c r="AA2248" s="23"/>
      <c r="AB2248" s="23"/>
      <c r="AC2248" s="23"/>
      <c r="AD2248" s="23"/>
      <c r="AE2248" s="23"/>
      <c r="AF2248" s="23"/>
      <c r="AG2248" s="23"/>
      <c r="AH2248" s="23"/>
      <c r="AI2248" s="23"/>
      <c r="AJ2248" s="23"/>
      <c r="AK2248" s="23"/>
      <c r="AL2248" s="23"/>
      <c r="AM2248" s="23"/>
      <c r="AN2248" s="23"/>
      <c r="AO2248" s="23"/>
      <c r="AP2248" s="23"/>
      <c r="AQ2248" s="23"/>
      <c r="AR2248" s="23"/>
      <c r="AS2248" s="23"/>
      <c r="AT2248" s="23"/>
      <c r="AU2248" s="23"/>
      <c r="AV2248" s="23"/>
      <c r="AW2248" s="23"/>
      <c r="AX2248" s="23"/>
      <c r="AY2248" s="23"/>
      <c r="AZ2248" s="23"/>
      <c r="BA2248" s="23"/>
      <c r="BB2248" s="23"/>
    </row>
    <row r="2249" spans="5:54" x14ac:dyDescent="0.35"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  <c r="AA2249" s="23"/>
      <c r="AB2249" s="23"/>
      <c r="AC2249" s="23"/>
      <c r="AD2249" s="23"/>
      <c r="AE2249" s="23"/>
      <c r="AF2249" s="23"/>
      <c r="AG2249" s="23"/>
      <c r="AH2249" s="23"/>
      <c r="AI2249" s="23"/>
      <c r="AJ2249" s="23"/>
      <c r="AK2249" s="23"/>
      <c r="AL2249" s="23"/>
      <c r="AM2249" s="23"/>
      <c r="AN2249" s="23"/>
      <c r="AO2249" s="23"/>
      <c r="AP2249" s="23"/>
      <c r="AQ2249" s="23"/>
      <c r="AR2249" s="23"/>
      <c r="AS2249" s="23"/>
      <c r="AT2249" s="23"/>
      <c r="AU2249" s="23"/>
      <c r="AV2249" s="23"/>
      <c r="AW2249" s="23"/>
      <c r="AX2249" s="23"/>
      <c r="AY2249" s="23"/>
      <c r="AZ2249" s="23"/>
      <c r="BA2249" s="23"/>
      <c r="BB2249" s="23"/>
    </row>
    <row r="2250" spans="5:54" x14ac:dyDescent="0.35"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  <c r="AA2250" s="23"/>
      <c r="AB2250" s="23"/>
      <c r="AC2250" s="23"/>
      <c r="AD2250" s="23"/>
      <c r="AE2250" s="23"/>
      <c r="AF2250" s="23"/>
      <c r="AG2250" s="23"/>
      <c r="AH2250" s="23"/>
      <c r="AI2250" s="23"/>
      <c r="AJ2250" s="23"/>
      <c r="AK2250" s="23"/>
      <c r="AL2250" s="23"/>
      <c r="AM2250" s="23"/>
      <c r="AN2250" s="23"/>
      <c r="AO2250" s="23"/>
      <c r="AP2250" s="23"/>
      <c r="AQ2250" s="23"/>
      <c r="AR2250" s="23"/>
      <c r="AS2250" s="23"/>
      <c r="AT2250" s="23"/>
      <c r="AU2250" s="23"/>
      <c r="AV2250" s="23"/>
      <c r="AW2250" s="23"/>
      <c r="AX2250" s="23"/>
      <c r="AY2250" s="23"/>
      <c r="AZ2250" s="23"/>
      <c r="BA2250" s="23"/>
      <c r="BB2250" s="23"/>
    </row>
    <row r="2251" spans="5:54" x14ac:dyDescent="0.35"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  <c r="AA2251" s="23"/>
      <c r="AB2251" s="23"/>
      <c r="AC2251" s="23"/>
      <c r="AD2251" s="23"/>
      <c r="AE2251" s="23"/>
      <c r="AF2251" s="23"/>
      <c r="AG2251" s="23"/>
      <c r="AH2251" s="23"/>
      <c r="AI2251" s="23"/>
      <c r="AJ2251" s="23"/>
      <c r="AK2251" s="23"/>
      <c r="AL2251" s="23"/>
      <c r="AM2251" s="23"/>
      <c r="AN2251" s="23"/>
      <c r="AO2251" s="23"/>
      <c r="AP2251" s="23"/>
      <c r="AQ2251" s="23"/>
      <c r="AR2251" s="23"/>
      <c r="AS2251" s="23"/>
      <c r="AT2251" s="23"/>
      <c r="AU2251" s="23"/>
      <c r="AV2251" s="23"/>
      <c r="AW2251" s="23"/>
      <c r="AX2251" s="23"/>
      <c r="AY2251" s="23"/>
      <c r="AZ2251" s="23"/>
      <c r="BA2251" s="23"/>
      <c r="BB2251" s="23"/>
    </row>
    <row r="2252" spans="5:54" x14ac:dyDescent="0.35"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  <c r="AA2252" s="23"/>
      <c r="AB2252" s="23"/>
      <c r="AC2252" s="23"/>
      <c r="AD2252" s="23"/>
      <c r="AE2252" s="23"/>
      <c r="AF2252" s="23"/>
      <c r="AG2252" s="23"/>
      <c r="AH2252" s="23"/>
      <c r="AI2252" s="23"/>
      <c r="AJ2252" s="23"/>
      <c r="AK2252" s="23"/>
      <c r="AL2252" s="23"/>
      <c r="AM2252" s="23"/>
      <c r="AN2252" s="23"/>
      <c r="AO2252" s="23"/>
      <c r="AP2252" s="23"/>
      <c r="AQ2252" s="23"/>
      <c r="AR2252" s="23"/>
      <c r="AS2252" s="23"/>
      <c r="AT2252" s="23"/>
      <c r="AU2252" s="23"/>
      <c r="AV2252" s="23"/>
      <c r="AW2252" s="23"/>
      <c r="AX2252" s="23"/>
      <c r="AY2252" s="23"/>
      <c r="AZ2252" s="23"/>
      <c r="BA2252" s="23"/>
      <c r="BB2252" s="23"/>
    </row>
    <row r="2253" spans="5:54" x14ac:dyDescent="0.35"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  <c r="AA2253" s="23"/>
      <c r="AB2253" s="23"/>
      <c r="AC2253" s="23"/>
      <c r="AD2253" s="23"/>
      <c r="AE2253" s="23"/>
      <c r="AF2253" s="23"/>
      <c r="AG2253" s="23"/>
      <c r="AH2253" s="23"/>
      <c r="AI2253" s="23"/>
      <c r="AJ2253" s="23"/>
      <c r="AK2253" s="23"/>
      <c r="AL2253" s="23"/>
      <c r="AM2253" s="23"/>
      <c r="AN2253" s="23"/>
      <c r="AO2253" s="23"/>
      <c r="AP2253" s="23"/>
      <c r="AQ2253" s="23"/>
      <c r="AR2253" s="23"/>
      <c r="AS2253" s="23"/>
      <c r="AT2253" s="23"/>
      <c r="AU2253" s="23"/>
      <c r="AV2253" s="23"/>
      <c r="AW2253" s="23"/>
      <c r="AX2253" s="23"/>
      <c r="AY2253" s="23"/>
      <c r="AZ2253" s="23"/>
      <c r="BA2253" s="23"/>
      <c r="BB2253" s="23"/>
    </row>
    <row r="2254" spans="5:54" x14ac:dyDescent="0.35"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  <c r="AA2254" s="23"/>
      <c r="AB2254" s="23"/>
      <c r="AC2254" s="23"/>
      <c r="AD2254" s="23"/>
      <c r="AE2254" s="23"/>
      <c r="AF2254" s="23"/>
      <c r="AG2254" s="23"/>
      <c r="AH2254" s="23"/>
      <c r="AI2254" s="23"/>
      <c r="AJ2254" s="23"/>
      <c r="AK2254" s="23"/>
      <c r="AL2254" s="23"/>
      <c r="AM2254" s="23"/>
      <c r="AN2254" s="23"/>
      <c r="AO2254" s="23"/>
      <c r="AP2254" s="23"/>
      <c r="AQ2254" s="23"/>
      <c r="AR2254" s="23"/>
      <c r="AS2254" s="23"/>
      <c r="AT2254" s="23"/>
      <c r="AU2254" s="23"/>
      <c r="AV2254" s="23"/>
      <c r="AW2254" s="23"/>
      <c r="AX2254" s="23"/>
      <c r="AY2254" s="23"/>
      <c r="AZ2254" s="23"/>
      <c r="BA2254" s="23"/>
      <c r="BB2254" s="23"/>
    </row>
    <row r="2255" spans="5:54" x14ac:dyDescent="0.35"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  <c r="AA2255" s="23"/>
      <c r="AB2255" s="23"/>
      <c r="AC2255" s="23"/>
      <c r="AD2255" s="23"/>
      <c r="AE2255" s="23"/>
      <c r="AF2255" s="23"/>
      <c r="AG2255" s="23"/>
      <c r="AH2255" s="23"/>
      <c r="AI2255" s="23"/>
      <c r="AJ2255" s="23"/>
      <c r="AK2255" s="23"/>
      <c r="AL2255" s="23"/>
      <c r="AM2255" s="23"/>
      <c r="AN2255" s="23"/>
      <c r="AO2255" s="23"/>
      <c r="AP2255" s="23"/>
      <c r="AQ2255" s="23"/>
      <c r="AR2255" s="23"/>
      <c r="AS2255" s="23"/>
      <c r="AT2255" s="23"/>
      <c r="AU2255" s="23"/>
      <c r="AV2255" s="23"/>
      <c r="AW2255" s="23"/>
      <c r="AX2255" s="23"/>
      <c r="AY2255" s="23"/>
      <c r="AZ2255" s="23"/>
      <c r="BA2255" s="23"/>
      <c r="BB2255" s="23"/>
    </row>
    <row r="2256" spans="5:54" x14ac:dyDescent="0.35"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  <c r="AA2256" s="23"/>
      <c r="AB2256" s="23"/>
      <c r="AC2256" s="23"/>
      <c r="AD2256" s="23"/>
      <c r="AE2256" s="23"/>
      <c r="AF2256" s="23"/>
      <c r="AG2256" s="23"/>
      <c r="AH2256" s="23"/>
      <c r="AI2256" s="23"/>
      <c r="AJ2256" s="23"/>
      <c r="AK2256" s="23"/>
      <c r="AL2256" s="23"/>
      <c r="AM2256" s="23"/>
      <c r="AN2256" s="23"/>
      <c r="AO2256" s="23"/>
      <c r="AP2256" s="23"/>
      <c r="AQ2256" s="23"/>
      <c r="AR2256" s="23"/>
      <c r="AS2256" s="23"/>
      <c r="AT2256" s="23"/>
      <c r="AU2256" s="23"/>
      <c r="AV2256" s="23"/>
      <c r="AW2256" s="23"/>
      <c r="AX2256" s="23"/>
      <c r="AY2256" s="23"/>
      <c r="AZ2256" s="23"/>
      <c r="BA2256" s="23"/>
      <c r="BB2256" s="23"/>
    </row>
    <row r="2257" spans="5:54" x14ac:dyDescent="0.35"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  <c r="AA2257" s="23"/>
      <c r="AB2257" s="23"/>
      <c r="AC2257" s="23"/>
      <c r="AD2257" s="23"/>
      <c r="AE2257" s="23"/>
      <c r="AF2257" s="23"/>
      <c r="AG2257" s="23"/>
      <c r="AH2257" s="23"/>
      <c r="AI2257" s="23"/>
      <c r="AJ2257" s="23"/>
      <c r="AK2257" s="23"/>
      <c r="AL2257" s="23"/>
      <c r="AM2257" s="23"/>
      <c r="AN2257" s="23"/>
      <c r="AO2257" s="23"/>
      <c r="AP2257" s="23"/>
      <c r="AQ2257" s="23"/>
      <c r="AR2257" s="23"/>
      <c r="AS2257" s="23"/>
      <c r="AT2257" s="23"/>
      <c r="AU2257" s="23"/>
      <c r="AV2257" s="23"/>
      <c r="AW2257" s="23"/>
      <c r="AX2257" s="23"/>
      <c r="AY2257" s="23"/>
      <c r="AZ2257" s="23"/>
      <c r="BA2257" s="23"/>
      <c r="BB2257" s="23"/>
    </row>
    <row r="2258" spans="5:54" x14ac:dyDescent="0.35"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  <c r="AA2258" s="23"/>
      <c r="AB2258" s="23"/>
      <c r="AC2258" s="23"/>
      <c r="AD2258" s="23"/>
      <c r="AE2258" s="23"/>
      <c r="AF2258" s="23"/>
      <c r="AG2258" s="23"/>
      <c r="AH2258" s="23"/>
      <c r="AI2258" s="23"/>
      <c r="AJ2258" s="23"/>
      <c r="AK2258" s="23"/>
      <c r="AL2258" s="23"/>
      <c r="AM2258" s="23"/>
      <c r="AN2258" s="23"/>
      <c r="AO2258" s="23"/>
      <c r="AP2258" s="23"/>
      <c r="AQ2258" s="23"/>
      <c r="AR2258" s="23"/>
      <c r="AS2258" s="23"/>
      <c r="AT2258" s="23"/>
      <c r="AU2258" s="23"/>
      <c r="AV2258" s="23"/>
      <c r="AW2258" s="23"/>
      <c r="AX2258" s="23"/>
      <c r="AY2258" s="23"/>
      <c r="AZ2258" s="23"/>
      <c r="BA2258" s="23"/>
      <c r="BB2258" s="23"/>
    </row>
    <row r="2259" spans="5:54" x14ac:dyDescent="0.35"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  <c r="AA2259" s="23"/>
      <c r="AB2259" s="23"/>
      <c r="AC2259" s="23"/>
      <c r="AD2259" s="23"/>
      <c r="AE2259" s="23"/>
      <c r="AF2259" s="23"/>
      <c r="AG2259" s="23"/>
      <c r="AH2259" s="23"/>
      <c r="AI2259" s="23"/>
      <c r="AJ2259" s="23"/>
      <c r="AK2259" s="23"/>
      <c r="AL2259" s="23"/>
      <c r="AM2259" s="23"/>
      <c r="AN2259" s="23"/>
      <c r="AO2259" s="23"/>
      <c r="AP2259" s="23"/>
      <c r="AQ2259" s="23"/>
      <c r="AR2259" s="23"/>
      <c r="AS2259" s="23"/>
      <c r="AT2259" s="23"/>
      <c r="AU2259" s="23"/>
      <c r="AV2259" s="23"/>
      <c r="AW2259" s="23"/>
      <c r="AX2259" s="23"/>
      <c r="AY2259" s="23"/>
      <c r="AZ2259" s="23"/>
      <c r="BA2259" s="23"/>
      <c r="BB2259" s="23"/>
    </row>
    <row r="2260" spans="5:54" x14ac:dyDescent="0.35"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  <c r="AA2260" s="23"/>
      <c r="AB2260" s="23"/>
      <c r="AC2260" s="23"/>
      <c r="AD2260" s="23"/>
      <c r="AE2260" s="23"/>
      <c r="AF2260" s="23"/>
      <c r="AG2260" s="23"/>
      <c r="AH2260" s="23"/>
      <c r="AI2260" s="23"/>
      <c r="AJ2260" s="23"/>
      <c r="AK2260" s="23"/>
      <c r="AL2260" s="23"/>
      <c r="AM2260" s="23"/>
      <c r="AN2260" s="23"/>
      <c r="AO2260" s="23"/>
      <c r="AP2260" s="23"/>
      <c r="AQ2260" s="23"/>
      <c r="AR2260" s="23"/>
      <c r="AS2260" s="23"/>
      <c r="AT2260" s="23"/>
      <c r="AU2260" s="23"/>
      <c r="AV2260" s="23"/>
      <c r="AW2260" s="23"/>
      <c r="AX2260" s="23"/>
      <c r="AY2260" s="23"/>
      <c r="AZ2260" s="23"/>
      <c r="BA2260" s="23"/>
      <c r="BB2260" s="23"/>
    </row>
    <row r="2261" spans="5:54" x14ac:dyDescent="0.35"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  <c r="AA2261" s="23"/>
      <c r="AB2261" s="23"/>
      <c r="AC2261" s="23"/>
      <c r="AD2261" s="23"/>
      <c r="AE2261" s="23"/>
      <c r="AF2261" s="23"/>
      <c r="AG2261" s="23"/>
      <c r="AH2261" s="23"/>
      <c r="AI2261" s="23"/>
      <c r="AJ2261" s="23"/>
      <c r="AK2261" s="23"/>
      <c r="AL2261" s="23"/>
      <c r="AM2261" s="23"/>
      <c r="AN2261" s="23"/>
      <c r="AO2261" s="23"/>
      <c r="AP2261" s="23"/>
      <c r="AQ2261" s="23"/>
      <c r="AR2261" s="23"/>
      <c r="AS2261" s="23"/>
      <c r="AT2261" s="23"/>
      <c r="AU2261" s="23"/>
      <c r="AV2261" s="23"/>
      <c r="AW2261" s="23"/>
      <c r="AX2261" s="23"/>
      <c r="AY2261" s="23"/>
      <c r="AZ2261" s="23"/>
      <c r="BA2261" s="23"/>
      <c r="BB2261" s="23"/>
    </row>
    <row r="2262" spans="5:54" x14ac:dyDescent="0.35"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  <c r="AA2262" s="23"/>
      <c r="AB2262" s="23"/>
      <c r="AC2262" s="23"/>
      <c r="AD2262" s="23"/>
      <c r="AE2262" s="23"/>
      <c r="AF2262" s="23"/>
      <c r="AG2262" s="23"/>
      <c r="AH2262" s="23"/>
      <c r="AI2262" s="23"/>
      <c r="AJ2262" s="23"/>
      <c r="AK2262" s="23"/>
      <c r="AL2262" s="23"/>
      <c r="AM2262" s="23"/>
      <c r="AN2262" s="23"/>
      <c r="AO2262" s="23"/>
      <c r="AP2262" s="23"/>
      <c r="AQ2262" s="23"/>
      <c r="AR2262" s="23"/>
      <c r="AS2262" s="23"/>
      <c r="AT2262" s="23"/>
      <c r="AU2262" s="23"/>
      <c r="AV2262" s="23"/>
      <c r="AW2262" s="23"/>
      <c r="AX2262" s="23"/>
      <c r="AY2262" s="23"/>
      <c r="AZ2262" s="23"/>
      <c r="BA2262" s="23"/>
      <c r="BB2262" s="23"/>
    </row>
    <row r="2263" spans="5:54" x14ac:dyDescent="0.35"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  <c r="AA2263" s="23"/>
      <c r="AB2263" s="23"/>
      <c r="AC2263" s="23"/>
      <c r="AD2263" s="23"/>
      <c r="AE2263" s="23"/>
      <c r="AF2263" s="23"/>
      <c r="AG2263" s="23"/>
      <c r="AH2263" s="23"/>
      <c r="AI2263" s="23"/>
      <c r="AJ2263" s="23"/>
      <c r="AK2263" s="23"/>
      <c r="AL2263" s="23"/>
      <c r="AM2263" s="23"/>
      <c r="AN2263" s="23"/>
      <c r="AO2263" s="23"/>
      <c r="AP2263" s="23"/>
      <c r="AQ2263" s="23"/>
      <c r="AR2263" s="23"/>
      <c r="AS2263" s="23"/>
      <c r="AT2263" s="23"/>
      <c r="AU2263" s="23"/>
      <c r="AV2263" s="23"/>
      <c r="AW2263" s="23"/>
      <c r="AX2263" s="23"/>
      <c r="AY2263" s="23"/>
      <c r="AZ2263" s="23"/>
      <c r="BA2263" s="23"/>
      <c r="BB2263" s="23"/>
    </row>
    <row r="2264" spans="5:54" x14ac:dyDescent="0.35"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  <c r="AA2264" s="23"/>
      <c r="AB2264" s="23"/>
      <c r="AC2264" s="23"/>
      <c r="AD2264" s="23"/>
      <c r="AE2264" s="23"/>
      <c r="AF2264" s="23"/>
      <c r="AG2264" s="23"/>
      <c r="AH2264" s="23"/>
      <c r="AI2264" s="23"/>
      <c r="AJ2264" s="23"/>
      <c r="AK2264" s="23"/>
      <c r="AL2264" s="23"/>
      <c r="AM2264" s="23"/>
      <c r="AN2264" s="23"/>
      <c r="AO2264" s="23"/>
      <c r="AP2264" s="23"/>
      <c r="AQ2264" s="23"/>
      <c r="AR2264" s="23"/>
      <c r="AS2264" s="23"/>
      <c r="AT2264" s="23"/>
      <c r="AU2264" s="23"/>
      <c r="AV2264" s="23"/>
      <c r="AW2264" s="23"/>
      <c r="AX2264" s="23"/>
      <c r="AY2264" s="23"/>
      <c r="AZ2264" s="23"/>
      <c r="BA2264" s="23"/>
      <c r="BB2264" s="23"/>
    </row>
    <row r="2265" spans="5:54" x14ac:dyDescent="0.35"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  <c r="AA2265" s="23"/>
      <c r="AB2265" s="23"/>
      <c r="AC2265" s="23"/>
      <c r="AD2265" s="23"/>
      <c r="AE2265" s="23"/>
      <c r="AF2265" s="23"/>
      <c r="AG2265" s="23"/>
      <c r="AH2265" s="23"/>
      <c r="AI2265" s="23"/>
      <c r="AJ2265" s="23"/>
      <c r="AK2265" s="23"/>
      <c r="AL2265" s="23"/>
      <c r="AM2265" s="23"/>
      <c r="AN2265" s="23"/>
      <c r="AO2265" s="23"/>
      <c r="AP2265" s="23"/>
      <c r="AQ2265" s="23"/>
      <c r="AR2265" s="23"/>
      <c r="AS2265" s="23"/>
      <c r="AT2265" s="23"/>
      <c r="AU2265" s="23"/>
      <c r="AV2265" s="23"/>
      <c r="AW2265" s="23"/>
      <c r="AX2265" s="23"/>
      <c r="AY2265" s="23"/>
      <c r="AZ2265" s="23"/>
      <c r="BA2265" s="23"/>
      <c r="BB2265" s="23"/>
    </row>
    <row r="2266" spans="5:54" x14ac:dyDescent="0.35"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  <c r="AA2266" s="23"/>
      <c r="AB2266" s="23"/>
      <c r="AC2266" s="23"/>
      <c r="AD2266" s="23"/>
      <c r="AE2266" s="23"/>
      <c r="AF2266" s="23"/>
      <c r="AG2266" s="23"/>
      <c r="AH2266" s="23"/>
      <c r="AI2266" s="23"/>
      <c r="AJ2266" s="23"/>
      <c r="AK2266" s="23"/>
      <c r="AL2266" s="23"/>
      <c r="AM2266" s="23"/>
      <c r="AN2266" s="23"/>
      <c r="AO2266" s="23"/>
      <c r="AP2266" s="23"/>
      <c r="AQ2266" s="23"/>
      <c r="AR2266" s="23"/>
      <c r="AS2266" s="23"/>
      <c r="AT2266" s="23"/>
      <c r="AU2266" s="23"/>
      <c r="AV2266" s="23"/>
      <c r="AW2266" s="23"/>
      <c r="AX2266" s="23"/>
      <c r="AY2266" s="23"/>
      <c r="AZ2266" s="23"/>
      <c r="BA2266" s="23"/>
      <c r="BB2266" s="23"/>
    </row>
    <row r="2267" spans="5:54" x14ac:dyDescent="0.35"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  <c r="AA2267" s="23"/>
      <c r="AB2267" s="23"/>
      <c r="AC2267" s="23"/>
      <c r="AD2267" s="23"/>
      <c r="AE2267" s="23"/>
      <c r="AF2267" s="23"/>
      <c r="AG2267" s="23"/>
      <c r="AH2267" s="23"/>
      <c r="AI2267" s="23"/>
      <c r="AJ2267" s="23"/>
      <c r="AK2267" s="23"/>
      <c r="AL2267" s="23"/>
      <c r="AM2267" s="23"/>
      <c r="AN2267" s="23"/>
      <c r="AO2267" s="23"/>
      <c r="AP2267" s="23"/>
      <c r="AQ2267" s="23"/>
      <c r="AR2267" s="23"/>
      <c r="AS2267" s="23"/>
      <c r="AT2267" s="23"/>
      <c r="AU2267" s="23"/>
      <c r="AV2267" s="23"/>
      <c r="AW2267" s="23"/>
      <c r="AX2267" s="23"/>
      <c r="AY2267" s="23"/>
      <c r="AZ2267" s="23"/>
      <c r="BA2267" s="23"/>
      <c r="BB2267" s="23"/>
    </row>
    <row r="2268" spans="5:54" x14ac:dyDescent="0.35"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3"/>
      <c r="AB2268" s="23"/>
      <c r="AC2268" s="23"/>
      <c r="AD2268" s="23"/>
      <c r="AE2268" s="23"/>
      <c r="AF2268" s="23"/>
      <c r="AG2268" s="23"/>
      <c r="AH2268" s="23"/>
      <c r="AI2268" s="23"/>
      <c r="AJ2268" s="23"/>
      <c r="AK2268" s="23"/>
      <c r="AL2268" s="23"/>
      <c r="AM2268" s="23"/>
      <c r="AN2268" s="23"/>
      <c r="AO2268" s="23"/>
      <c r="AP2268" s="23"/>
      <c r="AQ2268" s="23"/>
      <c r="AR2268" s="23"/>
      <c r="AS2268" s="23"/>
      <c r="AT2268" s="23"/>
      <c r="AU2268" s="23"/>
      <c r="AV2268" s="23"/>
      <c r="AW2268" s="23"/>
      <c r="AX2268" s="23"/>
      <c r="AY2268" s="23"/>
      <c r="AZ2268" s="23"/>
      <c r="BA2268" s="23"/>
      <c r="BB2268" s="23"/>
    </row>
    <row r="2269" spans="5:54" x14ac:dyDescent="0.35"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  <c r="AA2269" s="23"/>
      <c r="AB2269" s="23"/>
      <c r="AC2269" s="23"/>
      <c r="AD2269" s="23"/>
      <c r="AE2269" s="23"/>
      <c r="AF2269" s="23"/>
      <c r="AG2269" s="23"/>
      <c r="AH2269" s="23"/>
      <c r="AI2269" s="23"/>
      <c r="AJ2269" s="23"/>
      <c r="AK2269" s="23"/>
      <c r="AL2269" s="23"/>
      <c r="AM2269" s="23"/>
      <c r="AN2269" s="23"/>
      <c r="AO2269" s="23"/>
      <c r="AP2269" s="23"/>
      <c r="AQ2269" s="23"/>
      <c r="AR2269" s="23"/>
      <c r="AS2269" s="23"/>
      <c r="AT2269" s="23"/>
      <c r="AU2269" s="23"/>
      <c r="AV2269" s="23"/>
      <c r="AW2269" s="23"/>
      <c r="AX2269" s="23"/>
      <c r="AY2269" s="23"/>
      <c r="AZ2269" s="23"/>
      <c r="BA2269" s="23"/>
      <c r="BB2269" s="23"/>
    </row>
    <row r="2270" spans="5:54" x14ac:dyDescent="0.35"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  <c r="AA2270" s="23"/>
      <c r="AB2270" s="23"/>
      <c r="AC2270" s="23"/>
      <c r="AD2270" s="23"/>
      <c r="AE2270" s="23"/>
      <c r="AF2270" s="23"/>
      <c r="AG2270" s="23"/>
      <c r="AH2270" s="23"/>
      <c r="AI2270" s="23"/>
      <c r="AJ2270" s="23"/>
      <c r="AK2270" s="23"/>
      <c r="AL2270" s="23"/>
      <c r="AM2270" s="23"/>
      <c r="AN2270" s="23"/>
      <c r="AO2270" s="23"/>
      <c r="AP2270" s="23"/>
      <c r="AQ2270" s="23"/>
      <c r="AR2270" s="23"/>
      <c r="AS2270" s="23"/>
      <c r="AT2270" s="23"/>
      <c r="AU2270" s="23"/>
      <c r="AV2270" s="23"/>
      <c r="AW2270" s="23"/>
      <c r="AX2270" s="23"/>
      <c r="AY2270" s="23"/>
      <c r="AZ2270" s="23"/>
      <c r="BA2270" s="23"/>
      <c r="BB2270" s="23"/>
    </row>
    <row r="2271" spans="5:54" x14ac:dyDescent="0.35"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  <c r="AA2271" s="23"/>
      <c r="AB2271" s="23"/>
      <c r="AC2271" s="23"/>
      <c r="AD2271" s="23"/>
      <c r="AE2271" s="23"/>
      <c r="AF2271" s="23"/>
      <c r="AG2271" s="23"/>
      <c r="AH2271" s="23"/>
      <c r="AI2271" s="23"/>
      <c r="AJ2271" s="23"/>
      <c r="AK2271" s="23"/>
      <c r="AL2271" s="23"/>
      <c r="AM2271" s="23"/>
      <c r="AN2271" s="23"/>
      <c r="AO2271" s="23"/>
      <c r="AP2271" s="23"/>
      <c r="AQ2271" s="23"/>
      <c r="AR2271" s="23"/>
      <c r="AS2271" s="23"/>
      <c r="AT2271" s="23"/>
      <c r="AU2271" s="23"/>
      <c r="AV2271" s="23"/>
      <c r="AW2271" s="23"/>
      <c r="AX2271" s="23"/>
      <c r="AY2271" s="23"/>
      <c r="AZ2271" s="23"/>
      <c r="BA2271" s="23"/>
      <c r="BB2271" s="23"/>
    </row>
    <row r="2272" spans="5:54" x14ac:dyDescent="0.35"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  <c r="AA2272" s="23"/>
      <c r="AB2272" s="23"/>
      <c r="AC2272" s="23"/>
      <c r="AD2272" s="23"/>
      <c r="AE2272" s="23"/>
      <c r="AF2272" s="23"/>
      <c r="AG2272" s="23"/>
      <c r="AH2272" s="23"/>
      <c r="AI2272" s="23"/>
      <c r="AJ2272" s="23"/>
      <c r="AK2272" s="23"/>
      <c r="AL2272" s="23"/>
      <c r="AM2272" s="23"/>
      <c r="AN2272" s="23"/>
      <c r="AO2272" s="23"/>
      <c r="AP2272" s="23"/>
      <c r="AQ2272" s="23"/>
      <c r="AR2272" s="23"/>
      <c r="AS2272" s="23"/>
      <c r="AT2272" s="23"/>
      <c r="AU2272" s="23"/>
      <c r="AV2272" s="23"/>
      <c r="AW2272" s="23"/>
      <c r="AX2272" s="23"/>
      <c r="AY2272" s="23"/>
      <c r="AZ2272" s="23"/>
      <c r="BA2272" s="23"/>
      <c r="BB2272" s="23"/>
    </row>
    <row r="2273" spans="5:54" x14ac:dyDescent="0.35"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  <c r="AA2273" s="23"/>
      <c r="AB2273" s="23"/>
      <c r="AC2273" s="23"/>
      <c r="AD2273" s="23"/>
      <c r="AE2273" s="23"/>
      <c r="AF2273" s="23"/>
      <c r="AG2273" s="23"/>
      <c r="AH2273" s="23"/>
      <c r="AI2273" s="23"/>
      <c r="AJ2273" s="23"/>
      <c r="AK2273" s="23"/>
      <c r="AL2273" s="23"/>
      <c r="AM2273" s="23"/>
      <c r="AN2273" s="23"/>
      <c r="AO2273" s="23"/>
      <c r="AP2273" s="23"/>
      <c r="AQ2273" s="23"/>
      <c r="AR2273" s="23"/>
      <c r="AS2273" s="23"/>
      <c r="AT2273" s="23"/>
      <c r="AU2273" s="23"/>
      <c r="AV2273" s="23"/>
      <c r="AW2273" s="23"/>
      <c r="AX2273" s="23"/>
      <c r="AY2273" s="23"/>
      <c r="AZ2273" s="23"/>
      <c r="BA2273" s="23"/>
      <c r="BB2273" s="23"/>
    </row>
    <row r="2274" spans="5:54" x14ac:dyDescent="0.35"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  <c r="AA2274" s="23"/>
      <c r="AB2274" s="23"/>
      <c r="AC2274" s="23"/>
      <c r="AD2274" s="23"/>
      <c r="AE2274" s="23"/>
      <c r="AF2274" s="23"/>
      <c r="AG2274" s="23"/>
      <c r="AH2274" s="23"/>
      <c r="AI2274" s="23"/>
      <c r="AJ2274" s="23"/>
      <c r="AK2274" s="23"/>
      <c r="AL2274" s="23"/>
      <c r="AM2274" s="23"/>
      <c r="AN2274" s="23"/>
      <c r="AO2274" s="23"/>
      <c r="AP2274" s="23"/>
      <c r="AQ2274" s="23"/>
      <c r="AR2274" s="23"/>
      <c r="AS2274" s="23"/>
      <c r="AT2274" s="23"/>
      <c r="AU2274" s="23"/>
      <c r="AV2274" s="23"/>
      <c r="AW2274" s="23"/>
      <c r="AX2274" s="23"/>
      <c r="AY2274" s="23"/>
      <c r="AZ2274" s="23"/>
      <c r="BA2274" s="23"/>
      <c r="BB2274" s="23"/>
    </row>
    <row r="2275" spans="5:54" x14ac:dyDescent="0.35"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  <c r="AA2275" s="23"/>
      <c r="AB2275" s="23"/>
      <c r="AC2275" s="23"/>
      <c r="AD2275" s="23"/>
      <c r="AE2275" s="23"/>
      <c r="AF2275" s="23"/>
      <c r="AG2275" s="23"/>
      <c r="AH2275" s="23"/>
      <c r="AI2275" s="23"/>
      <c r="AJ2275" s="23"/>
      <c r="AK2275" s="23"/>
      <c r="AL2275" s="23"/>
      <c r="AM2275" s="23"/>
      <c r="AN2275" s="23"/>
      <c r="AO2275" s="23"/>
      <c r="AP2275" s="23"/>
      <c r="AQ2275" s="23"/>
      <c r="AR2275" s="23"/>
      <c r="AS2275" s="23"/>
      <c r="AT2275" s="23"/>
      <c r="AU2275" s="23"/>
      <c r="AV2275" s="23"/>
      <c r="AW2275" s="23"/>
      <c r="AX2275" s="23"/>
      <c r="AY2275" s="23"/>
      <c r="AZ2275" s="23"/>
      <c r="BA2275" s="23"/>
      <c r="BB2275" s="23"/>
    </row>
    <row r="2276" spans="5:54" x14ac:dyDescent="0.35"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  <c r="AA2276" s="23"/>
      <c r="AB2276" s="23"/>
      <c r="AC2276" s="23"/>
      <c r="AD2276" s="23"/>
      <c r="AE2276" s="23"/>
      <c r="AF2276" s="23"/>
      <c r="AG2276" s="23"/>
      <c r="AH2276" s="23"/>
      <c r="AI2276" s="23"/>
      <c r="AJ2276" s="23"/>
      <c r="AK2276" s="23"/>
      <c r="AL2276" s="23"/>
      <c r="AM2276" s="23"/>
      <c r="AN2276" s="23"/>
      <c r="AO2276" s="23"/>
      <c r="AP2276" s="23"/>
      <c r="AQ2276" s="23"/>
      <c r="AR2276" s="23"/>
      <c r="AS2276" s="23"/>
      <c r="AT2276" s="23"/>
      <c r="AU2276" s="23"/>
      <c r="AV2276" s="23"/>
      <c r="AW2276" s="23"/>
      <c r="AX2276" s="23"/>
      <c r="AY2276" s="23"/>
      <c r="AZ2276" s="23"/>
      <c r="BA2276" s="23"/>
      <c r="BB2276" s="23"/>
    </row>
    <row r="2277" spans="5:54" x14ac:dyDescent="0.35"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  <c r="AA2277" s="23"/>
      <c r="AB2277" s="23"/>
      <c r="AC2277" s="23"/>
      <c r="AD2277" s="23"/>
      <c r="AE2277" s="23"/>
      <c r="AF2277" s="23"/>
      <c r="AG2277" s="23"/>
      <c r="AH2277" s="23"/>
      <c r="AI2277" s="23"/>
      <c r="AJ2277" s="23"/>
      <c r="AK2277" s="23"/>
      <c r="AL2277" s="23"/>
      <c r="AM2277" s="23"/>
      <c r="AN2277" s="23"/>
      <c r="AO2277" s="23"/>
      <c r="AP2277" s="23"/>
      <c r="AQ2277" s="23"/>
      <c r="AR2277" s="23"/>
      <c r="AS2277" s="23"/>
      <c r="AT2277" s="23"/>
      <c r="AU2277" s="23"/>
      <c r="AV2277" s="23"/>
      <c r="AW2277" s="23"/>
      <c r="AX2277" s="23"/>
      <c r="AY2277" s="23"/>
      <c r="AZ2277" s="23"/>
      <c r="BA2277" s="23"/>
      <c r="BB2277" s="23"/>
    </row>
    <row r="2278" spans="5:54" x14ac:dyDescent="0.35"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  <c r="AA2278" s="23"/>
      <c r="AB2278" s="23"/>
      <c r="AC2278" s="23"/>
      <c r="AD2278" s="23"/>
      <c r="AE2278" s="23"/>
      <c r="AF2278" s="23"/>
      <c r="AG2278" s="23"/>
      <c r="AH2278" s="23"/>
      <c r="AI2278" s="23"/>
      <c r="AJ2278" s="23"/>
      <c r="AK2278" s="23"/>
      <c r="AL2278" s="23"/>
      <c r="AM2278" s="23"/>
      <c r="AN2278" s="23"/>
      <c r="AO2278" s="23"/>
      <c r="AP2278" s="23"/>
      <c r="AQ2278" s="23"/>
      <c r="AR2278" s="23"/>
      <c r="AS2278" s="23"/>
      <c r="AT2278" s="23"/>
      <c r="AU2278" s="23"/>
      <c r="AV2278" s="23"/>
      <c r="AW2278" s="23"/>
      <c r="AX2278" s="23"/>
      <c r="AY2278" s="23"/>
      <c r="AZ2278" s="23"/>
      <c r="BA2278" s="23"/>
      <c r="BB2278" s="23"/>
    </row>
    <row r="2279" spans="5:54" x14ac:dyDescent="0.35"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  <c r="AA2279" s="23"/>
      <c r="AB2279" s="23"/>
      <c r="AC2279" s="23"/>
      <c r="AD2279" s="23"/>
      <c r="AE2279" s="23"/>
      <c r="AF2279" s="23"/>
      <c r="AG2279" s="23"/>
      <c r="AH2279" s="23"/>
      <c r="AI2279" s="23"/>
      <c r="AJ2279" s="23"/>
      <c r="AK2279" s="23"/>
      <c r="AL2279" s="23"/>
      <c r="AM2279" s="23"/>
      <c r="AN2279" s="23"/>
      <c r="AO2279" s="23"/>
      <c r="AP2279" s="23"/>
      <c r="AQ2279" s="23"/>
      <c r="AR2279" s="23"/>
      <c r="AS2279" s="23"/>
      <c r="AT2279" s="23"/>
      <c r="AU2279" s="23"/>
      <c r="AV2279" s="23"/>
      <c r="AW2279" s="23"/>
      <c r="AX2279" s="23"/>
      <c r="AY2279" s="23"/>
      <c r="AZ2279" s="23"/>
      <c r="BA2279" s="23"/>
      <c r="BB2279" s="23"/>
    </row>
    <row r="2280" spans="5:54" x14ac:dyDescent="0.35"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  <c r="AA2280" s="23"/>
      <c r="AB2280" s="23"/>
      <c r="AC2280" s="23"/>
      <c r="AD2280" s="23"/>
      <c r="AE2280" s="23"/>
      <c r="AF2280" s="23"/>
      <c r="AG2280" s="23"/>
      <c r="AH2280" s="23"/>
      <c r="AI2280" s="23"/>
      <c r="AJ2280" s="23"/>
      <c r="AK2280" s="23"/>
      <c r="AL2280" s="23"/>
      <c r="AM2280" s="23"/>
      <c r="AN2280" s="23"/>
      <c r="AO2280" s="23"/>
      <c r="AP2280" s="23"/>
      <c r="AQ2280" s="23"/>
      <c r="AR2280" s="23"/>
      <c r="AS2280" s="23"/>
      <c r="AT2280" s="23"/>
      <c r="AU2280" s="23"/>
      <c r="AV2280" s="23"/>
      <c r="AW2280" s="23"/>
      <c r="AX2280" s="23"/>
      <c r="AY2280" s="23"/>
      <c r="AZ2280" s="23"/>
      <c r="BA2280" s="23"/>
      <c r="BB2280" s="23"/>
    </row>
    <row r="2281" spans="5:54" x14ac:dyDescent="0.35"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  <c r="AA2281" s="23"/>
      <c r="AB2281" s="23"/>
      <c r="AC2281" s="23"/>
      <c r="AD2281" s="23"/>
      <c r="AE2281" s="23"/>
      <c r="AF2281" s="23"/>
      <c r="AG2281" s="23"/>
      <c r="AH2281" s="23"/>
      <c r="AI2281" s="23"/>
      <c r="AJ2281" s="23"/>
      <c r="AK2281" s="23"/>
      <c r="AL2281" s="23"/>
      <c r="AM2281" s="23"/>
      <c r="AN2281" s="23"/>
      <c r="AO2281" s="23"/>
      <c r="AP2281" s="23"/>
      <c r="AQ2281" s="23"/>
      <c r="AR2281" s="23"/>
      <c r="AS2281" s="23"/>
      <c r="AT2281" s="23"/>
      <c r="AU2281" s="23"/>
      <c r="AV2281" s="23"/>
      <c r="AW2281" s="23"/>
      <c r="AX2281" s="23"/>
      <c r="AY2281" s="23"/>
      <c r="AZ2281" s="23"/>
      <c r="BA2281" s="23"/>
      <c r="BB2281" s="23"/>
    </row>
    <row r="2282" spans="5:54" x14ac:dyDescent="0.35"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  <c r="AA2282" s="23"/>
      <c r="AB2282" s="23"/>
      <c r="AC2282" s="23"/>
      <c r="AD2282" s="23"/>
      <c r="AE2282" s="23"/>
      <c r="AF2282" s="23"/>
      <c r="AG2282" s="23"/>
      <c r="AH2282" s="23"/>
      <c r="AI2282" s="23"/>
      <c r="AJ2282" s="23"/>
      <c r="AK2282" s="23"/>
      <c r="AL2282" s="23"/>
      <c r="AM2282" s="23"/>
      <c r="AN2282" s="23"/>
      <c r="AO2282" s="23"/>
      <c r="AP2282" s="23"/>
      <c r="AQ2282" s="23"/>
      <c r="AR2282" s="23"/>
      <c r="AS2282" s="23"/>
      <c r="AT2282" s="23"/>
      <c r="AU2282" s="23"/>
      <c r="AV2282" s="23"/>
      <c r="AW2282" s="23"/>
      <c r="AX2282" s="23"/>
      <c r="AY2282" s="23"/>
      <c r="AZ2282" s="23"/>
      <c r="BA2282" s="23"/>
      <c r="BB2282" s="23"/>
    </row>
    <row r="2283" spans="5:54" x14ac:dyDescent="0.35"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  <c r="AA2283" s="23"/>
      <c r="AB2283" s="23"/>
      <c r="AC2283" s="23"/>
      <c r="AD2283" s="23"/>
      <c r="AE2283" s="23"/>
      <c r="AF2283" s="23"/>
      <c r="AG2283" s="23"/>
      <c r="AH2283" s="23"/>
      <c r="AI2283" s="23"/>
      <c r="AJ2283" s="23"/>
      <c r="AK2283" s="23"/>
      <c r="AL2283" s="23"/>
      <c r="AM2283" s="23"/>
      <c r="AN2283" s="23"/>
      <c r="AO2283" s="23"/>
      <c r="AP2283" s="23"/>
      <c r="AQ2283" s="23"/>
      <c r="AR2283" s="23"/>
      <c r="AS2283" s="23"/>
      <c r="AT2283" s="23"/>
      <c r="AU2283" s="23"/>
      <c r="AV2283" s="23"/>
      <c r="AW2283" s="23"/>
      <c r="AX2283" s="23"/>
      <c r="AY2283" s="23"/>
      <c r="AZ2283" s="23"/>
      <c r="BA2283" s="23"/>
      <c r="BB2283" s="23"/>
    </row>
    <row r="2284" spans="5:54" x14ac:dyDescent="0.35"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  <c r="AA2284" s="23"/>
      <c r="AB2284" s="23"/>
      <c r="AC2284" s="23"/>
      <c r="AD2284" s="23"/>
      <c r="AE2284" s="23"/>
      <c r="AF2284" s="23"/>
      <c r="AG2284" s="23"/>
      <c r="AH2284" s="23"/>
      <c r="AI2284" s="23"/>
      <c r="AJ2284" s="23"/>
      <c r="AK2284" s="23"/>
      <c r="AL2284" s="23"/>
      <c r="AM2284" s="23"/>
      <c r="AN2284" s="23"/>
      <c r="AO2284" s="23"/>
      <c r="AP2284" s="23"/>
      <c r="AQ2284" s="23"/>
      <c r="AR2284" s="23"/>
      <c r="AS2284" s="23"/>
      <c r="AT2284" s="23"/>
      <c r="AU2284" s="23"/>
      <c r="AV2284" s="23"/>
      <c r="AW2284" s="23"/>
      <c r="AX2284" s="23"/>
      <c r="AY2284" s="23"/>
      <c r="AZ2284" s="23"/>
      <c r="BA2284" s="23"/>
      <c r="BB2284" s="23"/>
    </row>
    <row r="2285" spans="5:54" x14ac:dyDescent="0.35"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  <c r="AA2285" s="23"/>
      <c r="AB2285" s="23"/>
      <c r="AC2285" s="23"/>
      <c r="AD2285" s="23"/>
      <c r="AE2285" s="23"/>
      <c r="AF2285" s="23"/>
      <c r="AG2285" s="23"/>
      <c r="AH2285" s="23"/>
      <c r="AI2285" s="23"/>
      <c r="AJ2285" s="23"/>
      <c r="AK2285" s="23"/>
      <c r="AL2285" s="23"/>
      <c r="AM2285" s="23"/>
      <c r="AN2285" s="23"/>
      <c r="AO2285" s="23"/>
      <c r="AP2285" s="23"/>
      <c r="AQ2285" s="23"/>
      <c r="AR2285" s="23"/>
      <c r="AS2285" s="23"/>
      <c r="AT2285" s="23"/>
      <c r="AU2285" s="23"/>
      <c r="AV2285" s="23"/>
      <c r="AW2285" s="23"/>
      <c r="AX2285" s="23"/>
      <c r="AY2285" s="23"/>
      <c r="AZ2285" s="23"/>
      <c r="BA2285" s="23"/>
      <c r="BB2285" s="23"/>
    </row>
    <row r="2286" spans="5:54" x14ac:dyDescent="0.35"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  <c r="AA2286" s="23"/>
      <c r="AB2286" s="23"/>
      <c r="AC2286" s="23"/>
      <c r="AD2286" s="23"/>
      <c r="AE2286" s="23"/>
      <c r="AF2286" s="23"/>
      <c r="AG2286" s="23"/>
      <c r="AH2286" s="23"/>
      <c r="AI2286" s="23"/>
      <c r="AJ2286" s="23"/>
      <c r="AK2286" s="23"/>
      <c r="AL2286" s="23"/>
      <c r="AM2286" s="23"/>
      <c r="AN2286" s="23"/>
      <c r="AO2286" s="23"/>
      <c r="AP2286" s="23"/>
      <c r="AQ2286" s="23"/>
      <c r="AR2286" s="23"/>
      <c r="AS2286" s="23"/>
      <c r="AT2286" s="23"/>
      <c r="AU2286" s="23"/>
      <c r="AV2286" s="23"/>
      <c r="AW2286" s="23"/>
      <c r="AX2286" s="23"/>
      <c r="AY2286" s="23"/>
      <c r="AZ2286" s="23"/>
      <c r="BA2286" s="23"/>
      <c r="BB2286" s="23"/>
    </row>
    <row r="2287" spans="5:54" x14ac:dyDescent="0.35"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  <c r="AA2287" s="23"/>
      <c r="AB2287" s="23"/>
      <c r="AC2287" s="23"/>
      <c r="AD2287" s="23"/>
      <c r="AE2287" s="23"/>
      <c r="AF2287" s="23"/>
      <c r="AG2287" s="23"/>
      <c r="AH2287" s="23"/>
      <c r="AI2287" s="23"/>
      <c r="AJ2287" s="23"/>
      <c r="AK2287" s="23"/>
      <c r="AL2287" s="23"/>
      <c r="AM2287" s="23"/>
      <c r="AN2287" s="23"/>
      <c r="AO2287" s="23"/>
      <c r="AP2287" s="23"/>
      <c r="AQ2287" s="23"/>
      <c r="AR2287" s="23"/>
      <c r="AS2287" s="23"/>
      <c r="AT2287" s="23"/>
      <c r="AU2287" s="23"/>
      <c r="AV2287" s="23"/>
      <c r="AW2287" s="23"/>
      <c r="AX2287" s="23"/>
      <c r="AY2287" s="23"/>
      <c r="AZ2287" s="23"/>
      <c r="BA2287" s="23"/>
      <c r="BB2287" s="23"/>
    </row>
    <row r="2288" spans="5:54" x14ac:dyDescent="0.35"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  <c r="AA2288" s="23"/>
      <c r="AB2288" s="23"/>
      <c r="AC2288" s="23"/>
      <c r="AD2288" s="23"/>
      <c r="AE2288" s="23"/>
      <c r="AF2288" s="23"/>
      <c r="AG2288" s="23"/>
      <c r="AH2288" s="23"/>
      <c r="AI2288" s="23"/>
      <c r="AJ2288" s="23"/>
      <c r="AK2288" s="23"/>
      <c r="AL2288" s="23"/>
      <c r="AM2288" s="23"/>
      <c r="AN2288" s="23"/>
      <c r="AO2288" s="23"/>
      <c r="AP2288" s="23"/>
      <c r="AQ2288" s="23"/>
      <c r="AR2288" s="23"/>
      <c r="AS2288" s="23"/>
      <c r="AT2288" s="23"/>
      <c r="AU2288" s="23"/>
      <c r="AV2288" s="23"/>
      <c r="AW2288" s="23"/>
      <c r="AX2288" s="23"/>
      <c r="AY2288" s="23"/>
      <c r="AZ2288" s="23"/>
      <c r="BA2288" s="23"/>
      <c r="BB2288" s="23"/>
    </row>
    <row r="2289" spans="5:54" x14ac:dyDescent="0.35"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  <c r="AA2289" s="23"/>
      <c r="AB2289" s="23"/>
      <c r="AC2289" s="23"/>
      <c r="AD2289" s="23"/>
      <c r="AE2289" s="23"/>
      <c r="AF2289" s="23"/>
      <c r="AG2289" s="23"/>
      <c r="AH2289" s="23"/>
      <c r="AI2289" s="23"/>
      <c r="AJ2289" s="23"/>
      <c r="AK2289" s="23"/>
      <c r="AL2289" s="23"/>
      <c r="AM2289" s="23"/>
      <c r="AN2289" s="23"/>
      <c r="AO2289" s="23"/>
      <c r="AP2289" s="23"/>
      <c r="AQ2289" s="23"/>
      <c r="AR2289" s="23"/>
      <c r="AS2289" s="23"/>
      <c r="AT2289" s="23"/>
      <c r="AU2289" s="23"/>
      <c r="AV2289" s="23"/>
      <c r="AW2289" s="23"/>
      <c r="AX2289" s="23"/>
      <c r="AY2289" s="23"/>
      <c r="AZ2289" s="23"/>
      <c r="BA2289" s="23"/>
      <c r="BB2289" s="23"/>
    </row>
    <row r="2290" spans="5:54" x14ac:dyDescent="0.35"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  <c r="AA2290" s="23"/>
      <c r="AB2290" s="23"/>
      <c r="AC2290" s="23"/>
      <c r="AD2290" s="23"/>
      <c r="AE2290" s="23"/>
      <c r="AF2290" s="23"/>
      <c r="AG2290" s="23"/>
      <c r="AH2290" s="23"/>
      <c r="AI2290" s="23"/>
      <c r="AJ2290" s="23"/>
      <c r="AK2290" s="23"/>
      <c r="AL2290" s="23"/>
      <c r="AM2290" s="23"/>
      <c r="AN2290" s="23"/>
      <c r="AO2290" s="23"/>
      <c r="AP2290" s="23"/>
      <c r="AQ2290" s="23"/>
      <c r="AR2290" s="23"/>
      <c r="AS2290" s="23"/>
      <c r="AT2290" s="23"/>
      <c r="AU2290" s="23"/>
      <c r="AV2290" s="23"/>
      <c r="AW2290" s="23"/>
      <c r="AX2290" s="23"/>
      <c r="AY2290" s="23"/>
      <c r="AZ2290" s="23"/>
      <c r="BA2290" s="23"/>
      <c r="BB2290" s="23"/>
    </row>
    <row r="2291" spans="5:54" x14ac:dyDescent="0.35"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  <c r="AA2291" s="23"/>
      <c r="AB2291" s="23"/>
      <c r="AC2291" s="23"/>
      <c r="AD2291" s="23"/>
      <c r="AE2291" s="23"/>
      <c r="AF2291" s="23"/>
      <c r="AG2291" s="23"/>
      <c r="AH2291" s="23"/>
      <c r="AI2291" s="23"/>
      <c r="AJ2291" s="23"/>
      <c r="AK2291" s="23"/>
      <c r="AL2291" s="23"/>
      <c r="AM2291" s="23"/>
      <c r="AN2291" s="23"/>
      <c r="AO2291" s="23"/>
      <c r="AP2291" s="23"/>
      <c r="AQ2291" s="23"/>
      <c r="AR2291" s="23"/>
      <c r="AS2291" s="23"/>
      <c r="AT2291" s="23"/>
      <c r="AU2291" s="23"/>
      <c r="AV2291" s="23"/>
      <c r="AW2291" s="23"/>
      <c r="AX2291" s="23"/>
      <c r="AY2291" s="23"/>
      <c r="AZ2291" s="23"/>
      <c r="BA2291" s="23"/>
      <c r="BB2291" s="23"/>
    </row>
    <row r="2292" spans="5:54" x14ac:dyDescent="0.35"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  <c r="AA2292" s="23"/>
      <c r="AB2292" s="23"/>
      <c r="AC2292" s="23"/>
      <c r="AD2292" s="23"/>
      <c r="AE2292" s="23"/>
      <c r="AF2292" s="23"/>
      <c r="AG2292" s="23"/>
      <c r="AH2292" s="23"/>
      <c r="AI2292" s="23"/>
      <c r="AJ2292" s="23"/>
      <c r="AK2292" s="23"/>
      <c r="AL2292" s="23"/>
      <c r="AM2292" s="23"/>
      <c r="AN2292" s="23"/>
      <c r="AO2292" s="23"/>
      <c r="AP2292" s="23"/>
      <c r="AQ2292" s="23"/>
      <c r="AR2292" s="23"/>
      <c r="AS2292" s="23"/>
      <c r="AT2292" s="23"/>
      <c r="AU2292" s="23"/>
      <c r="AV2292" s="23"/>
      <c r="AW2292" s="23"/>
      <c r="AX2292" s="23"/>
      <c r="AY2292" s="23"/>
      <c r="AZ2292" s="23"/>
      <c r="BA2292" s="23"/>
      <c r="BB2292" s="23"/>
    </row>
    <row r="2293" spans="5:54" x14ac:dyDescent="0.35"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  <c r="AA2293" s="23"/>
      <c r="AB2293" s="23"/>
      <c r="AC2293" s="23"/>
      <c r="AD2293" s="23"/>
      <c r="AE2293" s="23"/>
      <c r="AF2293" s="23"/>
      <c r="AG2293" s="23"/>
      <c r="AH2293" s="23"/>
      <c r="AI2293" s="23"/>
      <c r="AJ2293" s="23"/>
      <c r="AK2293" s="23"/>
      <c r="AL2293" s="23"/>
      <c r="AM2293" s="23"/>
      <c r="AN2293" s="23"/>
      <c r="AO2293" s="23"/>
      <c r="AP2293" s="23"/>
      <c r="AQ2293" s="23"/>
      <c r="AR2293" s="23"/>
      <c r="AS2293" s="23"/>
      <c r="AT2293" s="23"/>
      <c r="AU2293" s="23"/>
      <c r="AV2293" s="23"/>
      <c r="AW2293" s="23"/>
      <c r="AX2293" s="23"/>
      <c r="AY2293" s="23"/>
      <c r="AZ2293" s="23"/>
      <c r="BA2293" s="23"/>
      <c r="BB2293" s="23"/>
    </row>
    <row r="2294" spans="5:54" x14ac:dyDescent="0.35"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  <c r="AA2294" s="23"/>
      <c r="AB2294" s="23"/>
      <c r="AC2294" s="23"/>
      <c r="AD2294" s="23"/>
      <c r="AE2294" s="23"/>
      <c r="AF2294" s="23"/>
      <c r="AG2294" s="23"/>
      <c r="AH2294" s="23"/>
      <c r="AI2294" s="23"/>
      <c r="AJ2294" s="23"/>
      <c r="AK2294" s="23"/>
      <c r="AL2294" s="23"/>
      <c r="AM2294" s="23"/>
      <c r="AN2294" s="23"/>
      <c r="AO2294" s="23"/>
      <c r="AP2294" s="23"/>
      <c r="AQ2294" s="23"/>
      <c r="AR2294" s="23"/>
      <c r="AS2294" s="23"/>
      <c r="AT2294" s="23"/>
      <c r="AU2294" s="23"/>
      <c r="AV2294" s="23"/>
      <c r="AW2294" s="23"/>
      <c r="AX2294" s="23"/>
      <c r="AY2294" s="23"/>
      <c r="AZ2294" s="23"/>
      <c r="BA2294" s="23"/>
      <c r="BB2294" s="23"/>
    </row>
    <row r="2295" spans="5:54" x14ac:dyDescent="0.35"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  <c r="AA2295" s="23"/>
      <c r="AB2295" s="23"/>
      <c r="AC2295" s="23"/>
      <c r="AD2295" s="23"/>
      <c r="AE2295" s="23"/>
      <c r="AF2295" s="23"/>
      <c r="AG2295" s="23"/>
      <c r="AH2295" s="23"/>
      <c r="AI2295" s="23"/>
      <c r="AJ2295" s="23"/>
      <c r="AK2295" s="23"/>
      <c r="AL2295" s="23"/>
      <c r="AM2295" s="23"/>
      <c r="AN2295" s="23"/>
      <c r="AO2295" s="23"/>
      <c r="AP2295" s="23"/>
      <c r="AQ2295" s="23"/>
      <c r="AR2295" s="23"/>
      <c r="AS2295" s="23"/>
      <c r="AT2295" s="23"/>
      <c r="AU2295" s="23"/>
      <c r="AV2295" s="23"/>
      <c r="AW2295" s="23"/>
      <c r="AX2295" s="23"/>
      <c r="AY2295" s="23"/>
      <c r="AZ2295" s="23"/>
      <c r="BA2295" s="23"/>
      <c r="BB2295" s="23"/>
    </row>
    <row r="2296" spans="5:54" x14ac:dyDescent="0.35"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  <c r="AA2296" s="23"/>
      <c r="AB2296" s="23"/>
      <c r="AC2296" s="23"/>
      <c r="AD2296" s="23"/>
      <c r="AE2296" s="23"/>
      <c r="AF2296" s="23"/>
      <c r="AG2296" s="23"/>
      <c r="AH2296" s="23"/>
      <c r="AI2296" s="23"/>
      <c r="AJ2296" s="23"/>
      <c r="AK2296" s="23"/>
      <c r="AL2296" s="23"/>
      <c r="AM2296" s="23"/>
      <c r="AN2296" s="23"/>
      <c r="AO2296" s="23"/>
      <c r="AP2296" s="23"/>
      <c r="AQ2296" s="23"/>
      <c r="AR2296" s="23"/>
      <c r="AS2296" s="23"/>
      <c r="AT2296" s="23"/>
      <c r="AU2296" s="23"/>
      <c r="AV2296" s="23"/>
      <c r="AW2296" s="23"/>
      <c r="AX2296" s="23"/>
      <c r="AY2296" s="23"/>
      <c r="AZ2296" s="23"/>
      <c r="BA2296" s="23"/>
      <c r="BB2296" s="23"/>
    </row>
    <row r="2297" spans="5:54" x14ac:dyDescent="0.35"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  <c r="AA2297" s="23"/>
      <c r="AB2297" s="23"/>
      <c r="AC2297" s="23"/>
      <c r="AD2297" s="23"/>
      <c r="AE2297" s="23"/>
      <c r="AF2297" s="23"/>
      <c r="AG2297" s="23"/>
      <c r="AH2297" s="23"/>
      <c r="AI2297" s="23"/>
      <c r="AJ2297" s="23"/>
      <c r="AK2297" s="23"/>
      <c r="AL2297" s="23"/>
      <c r="AM2297" s="23"/>
      <c r="AN2297" s="23"/>
      <c r="AO2297" s="23"/>
      <c r="AP2297" s="23"/>
      <c r="AQ2297" s="23"/>
      <c r="AR2297" s="23"/>
      <c r="AS2297" s="23"/>
      <c r="AT2297" s="23"/>
      <c r="AU2297" s="23"/>
      <c r="AV2297" s="23"/>
      <c r="AW2297" s="23"/>
      <c r="AX2297" s="23"/>
      <c r="AY2297" s="23"/>
      <c r="AZ2297" s="23"/>
      <c r="BA2297" s="23"/>
      <c r="BB2297" s="23"/>
    </row>
    <row r="2298" spans="5:54" x14ac:dyDescent="0.35"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  <c r="AA2298" s="23"/>
      <c r="AB2298" s="23"/>
      <c r="AC2298" s="23"/>
      <c r="AD2298" s="23"/>
      <c r="AE2298" s="23"/>
      <c r="AF2298" s="23"/>
      <c r="AG2298" s="23"/>
      <c r="AH2298" s="23"/>
      <c r="AI2298" s="23"/>
      <c r="AJ2298" s="23"/>
      <c r="AK2298" s="23"/>
      <c r="AL2298" s="23"/>
      <c r="AM2298" s="23"/>
      <c r="AN2298" s="23"/>
      <c r="AO2298" s="23"/>
      <c r="AP2298" s="23"/>
      <c r="AQ2298" s="23"/>
      <c r="AR2298" s="23"/>
      <c r="AS2298" s="23"/>
      <c r="AT2298" s="23"/>
      <c r="AU2298" s="23"/>
      <c r="AV2298" s="23"/>
      <c r="AW2298" s="23"/>
      <c r="AX2298" s="23"/>
      <c r="AY2298" s="23"/>
      <c r="AZ2298" s="23"/>
      <c r="BA2298" s="23"/>
      <c r="BB2298" s="23"/>
    </row>
    <row r="2299" spans="5:54" x14ac:dyDescent="0.35"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  <c r="AA2299" s="23"/>
      <c r="AB2299" s="23"/>
      <c r="AC2299" s="23"/>
      <c r="AD2299" s="23"/>
      <c r="AE2299" s="23"/>
      <c r="AF2299" s="23"/>
      <c r="AG2299" s="23"/>
      <c r="AH2299" s="23"/>
      <c r="AI2299" s="23"/>
      <c r="AJ2299" s="23"/>
      <c r="AK2299" s="23"/>
      <c r="AL2299" s="23"/>
      <c r="AM2299" s="23"/>
      <c r="AN2299" s="23"/>
      <c r="AO2299" s="23"/>
      <c r="AP2299" s="23"/>
      <c r="AQ2299" s="23"/>
      <c r="AR2299" s="23"/>
      <c r="AS2299" s="23"/>
      <c r="AT2299" s="23"/>
      <c r="AU2299" s="23"/>
      <c r="AV2299" s="23"/>
      <c r="AW2299" s="23"/>
      <c r="AX2299" s="23"/>
      <c r="AY2299" s="23"/>
      <c r="AZ2299" s="23"/>
      <c r="BA2299" s="23"/>
      <c r="BB2299" s="23"/>
    </row>
    <row r="2300" spans="5:54" x14ac:dyDescent="0.35"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  <c r="AA2300" s="23"/>
      <c r="AB2300" s="23"/>
      <c r="AC2300" s="23"/>
      <c r="AD2300" s="23"/>
      <c r="AE2300" s="23"/>
      <c r="AF2300" s="23"/>
      <c r="AG2300" s="23"/>
      <c r="AH2300" s="23"/>
      <c r="AI2300" s="23"/>
      <c r="AJ2300" s="23"/>
      <c r="AK2300" s="23"/>
      <c r="AL2300" s="23"/>
      <c r="AM2300" s="23"/>
      <c r="AN2300" s="23"/>
      <c r="AO2300" s="23"/>
      <c r="AP2300" s="23"/>
      <c r="AQ2300" s="23"/>
      <c r="AR2300" s="23"/>
      <c r="AS2300" s="23"/>
      <c r="AT2300" s="23"/>
      <c r="AU2300" s="23"/>
      <c r="AV2300" s="23"/>
      <c r="AW2300" s="23"/>
      <c r="AX2300" s="23"/>
      <c r="AY2300" s="23"/>
      <c r="AZ2300" s="23"/>
      <c r="BA2300" s="23"/>
      <c r="BB2300" s="23"/>
    </row>
    <row r="2301" spans="5:54" x14ac:dyDescent="0.35"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  <c r="AA2301" s="23"/>
      <c r="AB2301" s="23"/>
      <c r="AC2301" s="23"/>
      <c r="AD2301" s="23"/>
      <c r="AE2301" s="23"/>
      <c r="AF2301" s="23"/>
      <c r="AG2301" s="23"/>
      <c r="AH2301" s="23"/>
      <c r="AI2301" s="23"/>
      <c r="AJ2301" s="23"/>
      <c r="AK2301" s="23"/>
      <c r="AL2301" s="23"/>
      <c r="AM2301" s="23"/>
      <c r="AN2301" s="23"/>
      <c r="AO2301" s="23"/>
      <c r="AP2301" s="23"/>
      <c r="AQ2301" s="23"/>
      <c r="AR2301" s="23"/>
      <c r="AS2301" s="23"/>
      <c r="AT2301" s="23"/>
      <c r="AU2301" s="23"/>
      <c r="AV2301" s="23"/>
      <c r="AW2301" s="23"/>
      <c r="AX2301" s="23"/>
      <c r="AY2301" s="23"/>
      <c r="AZ2301" s="23"/>
      <c r="BA2301" s="23"/>
      <c r="BB2301" s="23"/>
    </row>
    <row r="2302" spans="5:54" x14ac:dyDescent="0.35"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  <c r="AA2302" s="23"/>
      <c r="AB2302" s="23"/>
      <c r="AC2302" s="23"/>
      <c r="AD2302" s="23"/>
      <c r="AE2302" s="23"/>
      <c r="AF2302" s="23"/>
      <c r="AG2302" s="23"/>
      <c r="AH2302" s="23"/>
      <c r="AI2302" s="23"/>
      <c r="AJ2302" s="23"/>
      <c r="AK2302" s="23"/>
      <c r="AL2302" s="23"/>
      <c r="AM2302" s="23"/>
      <c r="AN2302" s="23"/>
      <c r="AO2302" s="23"/>
      <c r="AP2302" s="23"/>
      <c r="AQ2302" s="23"/>
      <c r="AR2302" s="23"/>
      <c r="AS2302" s="23"/>
      <c r="AT2302" s="23"/>
      <c r="AU2302" s="23"/>
      <c r="AV2302" s="23"/>
      <c r="AW2302" s="23"/>
      <c r="AX2302" s="23"/>
      <c r="AY2302" s="23"/>
      <c r="AZ2302" s="23"/>
      <c r="BA2302" s="23"/>
      <c r="BB2302" s="23"/>
    </row>
    <row r="2303" spans="5:54" x14ac:dyDescent="0.35"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  <c r="AA2303" s="23"/>
      <c r="AB2303" s="23"/>
      <c r="AC2303" s="23"/>
      <c r="AD2303" s="23"/>
      <c r="AE2303" s="23"/>
      <c r="AF2303" s="23"/>
      <c r="AG2303" s="23"/>
      <c r="AH2303" s="23"/>
      <c r="AI2303" s="23"/>
      <c r="AJ2303" s="23"/>
      <c r="AK2303" s="23"/>
      <c r="AL2303" s="23"/>
      <c r="AM2303" s="23"/>
      <c r="AN2303" s="23"/>
      <c r="AO2303" s="23"/>
      <c r="AP2303" s="23"/>
      <c r="AQ2303" s="23"/>
      <c r="AR2303" s="23"/>
      <c r="AS2303" s="23"/>
      <c r="AT2303" s="23"/>
      <c r="AU2303" s="23"/>
      <c r="AV2303" s="23"/>
      <c r="AW2303" s="23"/>
      <c r="AX2303" s="23"/>
      <c r="AY2303" s="23"/>
      <c r="AZ2303" s="23"/>
      <c r="BA2303" s="23"/>
      <c r="BB2303" s="23"/>
    </row>
    <row r="2304" spans="5:54" x14ac:dyDescent="0.35"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  <c r="AD2304" s="23"/>
      <c r="AE2304" s="23"/>
      <c r="AF2304" s="23"/>
      <c r="AG2304" s="23"/>
      <c r="AH2304" s="23"/>
      <c r="AI2304" s="23"/>
      <c r="AJ2304" s="23"/>
      <c r="AK2304" s="23"/>
      <c r="AL2304" s="23"/>
      <c r="AM2304" s="23"/>
      <c r="AN2304" s="23"/>
      <c r="AO2304" s="23"/>
      <c r="AP2304" s="23"/>
      <c r="AQ2304" s="23"/>
      <c r="AR2304" s="23"/>
      <c r="AS2304" s="23"/>
      <c r="AT2304" s="23"/>
      <c r="AU2304" s="23"/>
      <c r="AV2304" s="23"/>
      <c r="AW2304" s="23"/>
      <c r="AX2304" s="23"/>
      <c r="AY2304" s="23"/>
      <c r="AZ2304" s="23"/>
      <c r="BA2304" s="23"/>
      <c r="BB2304" s="23"/>
    </row>
    <row r="2305" spans="5:54" x14ac:dyDescent="0.35"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  <c r="AA2305" s="23"/>
      <c r="AB2305" s="23"/>
      <c r="AC2305" s="23"/>
      <c r="AD2305" s="23"/>
      <c r="AE2305" s="23"/>
      <c r="AF2305" s="23"/>
      <c r="AG2305" s="23"/>
      <c r="AH2305" s="23"/>
      <c r="AI2305" s="23"/>
      <c r="AJ2305" s="23"/>
      <c r="AK2305" s="23"/>
      <c r="AL2305" s="23"/>
      <c r="AM2305" s="23"/>
      <c r="AN2305" s="23"/>
      <c r="AO2305" s="23"/>
      <c r="AP2305" s="23"/>
      <c r="AQ2305" s="23"/>
      <c r="AR2305" s="23"/>
      <c r="AS2305" s="23"/>
      <c r="AT2305" s="23"/>
      <c r="AU2305" s="23"/>
      <c r="AV2305" s="23"/>
      <c r="AW2305" s="23"/>
      <c r="AX2305" s="23"/>
      <c r="AY2305" s="23"/>
      <c r="AZ2305" s="23"/>
      <c r="BA2305" s="23"/>
      <c r="BB2305" s="23"/>
    </row>
    <row r="2306" spans="5:54" x14ac:dyDescent="0.35"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  <c r="AA2306" s="23"/>
      <c r="AB2306" s="23"/>
      <c r="AC2306" s="23"/>
      <c r="AD2306" s="23"/>
      <c r="AE2306" s="23"/>
      <c r="AF2306" s="23"/>
      <c r="AG2306" s="23"/>
      <c r="AH2306" s="23"/>
      <c r="AI2306" s="23"/>
      <c r="AJ2306" s="23"/>
      <c r="AK2306" s="23"/>
      <c r="AL2306" s="23"/>
      <c r="AM2306" s="23"/>
      <c r="AN2306" s="23"/>
      <c r="AO2306" s="23"/>
      <c r="AP2306" s="23"/>
      <c r="AQ2306" s="23"/>
      <c r="AR2306" s="23"/>
      <c r="AS2306" s="23"/>
      <c r="AT2306" s="23"/>
      <c r="AU2306" s="23"/>
      <c r="AV2306" s="23"/>
      <c r="AW2306" s="23"/>
      <c r="AX2306" s="23"/>
      <c r="AY2306" s="23"/>
      <c r="AZ2306" s="23"/>
      <c r="BA2306" s="23"/>
      <c r="BB2306" s="23"/>
    </row>
    <row r="2307" spans="5:54" x14ac:dyDescent="0.35"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  <c r="AA2307" s="23"/>
      <c r="AB2307" s="23"/>
      <c r="AC2307" s="23"/>
      <c r="AD2307" s="23"/>
      <c r="AE2307" s="23"/>
      <c r="AF2307" s="23"/>
      <c r="AG2307" s="23"/>
      <c r="AH2307" s="23"/>
      <c r="AI2307" s="23"/>
      <c r="AJ2307" s="23"/>
      <c r="AK2307" s="23"/>
      <c r="AL2307" s="23"/>
      <c r="AM2307" s="23"/>
      <c r="AN2307" s="23"/>
      <c r="AO2307" s="23"/>
      <c r="AP2307" s="23"/>
      <c r="AQ2307" s="23"/>
      <c r="AR2307" s="23"/>
      <c r="AS2307" s="23"/>
      <c r="AT2307" s="23"/>
      <c r="AU2307" s="23"/>
      <c r="AV2307" s="23"/>
      <c r="AW2307" s="23"/>
      <c r="AX2307" s="23"/>
      <c r="AY2307" s="23"/>
      <c r="AZ2307" s="23"/>
      <c r="BA2307" s="23"/>
      <c r="BB2307" s="23"/>
    </row>
    <row r="2308" spans="5:54" x14ac:dyDescent="0.35"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  <c r="AA2308" s="23"/>
      <c r="AB2308" s="23"/>
      <c r="AC2308" s="23"/>
      <c r="AD2308" s="23"/>
      <c r="AE2308" s="23"/>
      <c r="AF2308" s="23"/>
      <c r="AG2308" s="23"/>
      <c r="AH2308" s="23"/>
      <c r="AI2308" s="23"/>
      <c r="AJ2308" s="23"/>
      <c r="AK2308" s="23"/>
      <c r="AL2308" s="23"/>
      <c r="AM2308" s="23"/>
      <c r="AN2308" s="23"/>
      <c r="AO2308" s="23"/>
      <c r="AP2308" s="23"/>
      <c r="AQ2308" s="23"/>
      <c r="AR2308" s="23"/>
      <c r="AS2308" s="23"/>
      <c r="AT2308" s="23"/>
      <c r="AU2308" s="23"/>
      <c r="AV2308" s="23"/>
      <c r="AW2308" s="23"/>
      <c r="AX2308" s="23"/>
      <c r="AY2308" s="23"/>
      <c r="AZ2308" s="23"/>
      <c r="BA2308" s="23"/>
      <c r="BB2308" s="23"/>
    </row>
    <row r="2309" spans="5:54" x14ac:dyDescent="0.35"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  <c r="AA2309" s="23"/>
      <c r="AB2309" s="23"/>
      <c r="AC2309" s="23"/>
      <c r="AD2309" s="23"/>
      <c r="AE2309" s="23"/>
      <c r="AF2309" s="23"/>
      <c r="AG2309" s="23"/>
      <c r="AH2309" s="23"/>
      <c r="AI2309" s="23"/>
      <c r="AJ2309" s="23"/>
      <c r="AK2309" s="23"/>
      <c r="AL2309" s="23"/>
      <c r="AM2309" s="23"/>
      <c r="AN2309" s="23"/>
      <c r="AO2309" s="23"/>
      <c r="AP2309" s="23"/>
      <c r="AQ2309" s="23"/>
      <c r="AR2309" s="23"/>
      <c r="AS2309" s="23"/>
      <c r="AT2309" s="23"/>
      <c r="AU2309" s="23"/>
      <c r="AV2309" s="23"/>
      <c r="AW2309" s="23"/>
      <c r="AX2309" s="23"/>
      <c r="AY2309" s="23"/>
      <c r="AZ2309" s="23"/>
      <c r="BA2309" s="23"/>
      <c r="BB2309" s="23"/>
    </row>
    <row r="2310" spans="5:54" x14ac:dyDescent="0.35"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  <c r="AA2310" s="23"/>
      <c r="AB2310" s="23"/>
      <c r="AC2310" s="23"/>
      <c r="AD2310" s="23"/>
      <c r="AE2310" s="23"/>
      <c r="AF2310" s="23"/>
      <c r="AG2310" s="23"/>
      <c r="AH2310" s="23"/>
      <c r="AI2310" s="23"/>
      <c r="AJ2310" s="23"/>
      <c r="AK2310" s="23"/>
      <c r="AL2310" s="23"/>
      <c r="AM2310" s="23"/>
      <c r="AN2310" s="23"/>
      <c r="AO2310" s="23"/>
      <c r="AP2310" s="23"/>
      <c r="AQ2310" s="23"/>
      <c r="AR2310" s="23"/>
      <c r="AS2310" s="23"/>
      <c r="AT2310" s="23"/>
      <c r="AU2310" s="23"/>
      <c r="AV2310" s="23"/>
      <c r="AW2310" s="23"/>
      <c r="AX2310" s="23"/>
      <c r="AY2310" s="23"/>
      <c r="AZ2310" s="23"/>
      <c r="BA2310" s="23"/>
      <c r="BB2310" s="23"/>
    </row>
    <row r="2311" spans="5:54" x14ac:dyDescent="0.35"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  <c r="AA2311" s="23"/>
      <c r="AB2311" s="23"/>
      <c r="AC2311" s="23"/>
      <c r="AD2311" s="23"/>
      <c r="AE2311" s="23"/>
      <c r="AF2311" s="23"/>
      <c r="AG2311" s="23"/>
      <c r="AH2311" s="23"/>
      <c r="AI2311" s="23"/>
      <c r="AJ2311" s="23"/>
      <c r="AK2311" s="23"/>
      <c r="AL2311" s="23"/>
      <c r="AM2311" s="23"/>
      <c r="AN2311" s="23"/>
      <c r="AO2311" s="23"/>
      <c r="AP2311" s="23"/>
      <c r="AQ2311" s="23"/>
      <c r="AR2311" s="23"/>
      <c r="AS2311" s="23"/>
      <c r="AT2311" s="23"/>
      <c r="AU2311" s="23"/>
      <c r="AV2311" s="23"/>
      <c r="AW2311" s="23"/>
      <c r="AX2311" s="23"/>
      <c r="AY2311" s="23"/>
      <c r="AZ2311" s="23"/>
      <c r="BA2311" s="23"/>
      <c r="BB2311" s="23"/>
    </row>
    <row r="2312" spans="5:54" x14ac:dyDescent="0.35"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  <c r="AA2312" s="23"/>
      <c r="AB2312" s="23"/>
      <c r="AC2312" s="23"/>
      <c r="AD2312" s="23"/>
      <c r="AE2312" s="23"/>
      <c r="AF2312" s="23"/>
      <c r="AG2312" s="23"/>
      <c r="AH2312" s="23"/>
      <c r="AI2312" s="23"/>
      <c r="AJ2312" s="23"/>
      <c r="AK2312" s="23"/>
      <c r="AL2312" s="23"/>
      <c r="AM2312" s="23"/>
      <c r="AN2312" s="23"/>
      <c r="AO2312" s="23"/>
      <c r="AP2312" s="23"/>
      <c r="AQ2312" s="23"/>
      <c r="AR2312" s="23"/>
      <c r="AS2312" s="23"/>
      <c r="AT2312" s="23"/>
      <c r="AU2312" s="23"/>
      <c r="AV2312" s="23"/>
      <c r="AW2312" s="23"/>
      <c r="AX2312" s="23"/>
      <c r="AY2312" s="23"/>
      <c r="AZ2312" s="23"/>
      <c r="BA2312" s="23"/>
      <c r="BB2312" s="23"/>
    </row>
    <row r="2313" spans="5:54" x14ac:dyDescent="0.35"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  <c r="AA2313" s="23"/>
      <c r="AB2313" s="23"/>
      <c r="AC2313" s="23"/>
      <c r="AD2313" s="23"/>
      <c r="AE2313" s="23"/>
      <c r="AF2313" s="23"/>
      <c r="AG2313" s="23"/>
      <c r="AH2313" s="23"/>
      <c r="AI2313" s="23"/>
      <c r="AJ2313" s="23"/>
      <c r="AK2313" s="23"/>
      <c r="AL2313" s="23"/>
      <c r="AM2313" s="23"/>
      <c r="AN2313" s="23"/>
      <c r="AO2313" s="23"/>
      <c r="AP2313" s="23"/>
      <c r="AQ2313" s="23"/>
      <c r="AR2313" s="23"/>
      <c r="AS2313" s="23"/>
      <c r="AT2313" s="23"/>
      <c r="AU2313" s="23"/>
      <c r="AV2313" s="23"/>
      <c r="AW2313" s="23"/>
      <c r="AX2313" s="23"/>
      <c r="AY2313" s="23"/>
      <c r="AZ2313" s="23"/>
      <c r="BA2313" s="23"/>
      <c r="BB2313" s="23"/>
    </row>
    <row r="2314" spans="5:54" x14ac:dyDescent="0.35"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  <c r="AA2314" s="23"/>
      <c r="AB2314" s="23"/>
      <c r="AC2314" s="23"/>
      <c r="AD2314" s="23"/>
      <c r="AE2314" s="23"/>
      <c r="AF2314" s="23"/>
      <c r="AG2314" s="23"/>
      <c r="AH2314" s="23"/>
      <c r="AI2314" s="23"/>
      <c r="AJ2314" s="23"/>
      <c r="AK2314" s="23"/>
      <c r="AL2314" s="23"/>
      <c r="AM2314" s="23"/>
      <c r="AN2314" s="23"/>
      <c r="AO2314" s="23"/>
      <c r="AP2314" s="23"/>
      <c r="AQ2314" s="23"/>
      <c r="AR2314" s="23"/>
      <c r="AS2314" s="23"/>
      <c r="AT2314" s="23"/>
      <c r="AU2314" s="23"/>
      <c r="AV2314" s="23"/>
      <c r="AW2314" s="23"/>
      <c r="AX2314" s="23"/>
      <c r="AY2314" s="23"/>
      <c r="AZ2314" s="23"/>
      <c r="BA2314" s="23"/>
      <c r="BB2314" s="23"/>
    </row>
    <row r="2315" spans="5:54" x14ac:dyDescent="0.35"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  <c r="AA2315" s="23"/>
      <c r="AB2315" s="23"/>
      <c r="AC2315" s="23"/>
      <c r="AD2315" s="23"/>
      <c r="AE2315" s="23"/>
      <c r="AF2315" s="23"/>
      <c r="AG2315" s="23"/>
      <c r="AH2315" s="23"/>
      <c r="AI2315" s="23"/>
      <c r="AJ2315" s="23"/>
      <c r="AK2315" s="23"/>
      <c r="AL2315" s="23"/>
      <c r="AM2315" s="23"/>
      <c r="AN2315" s="23"/>
      <c r="AO2315" s="23"/>
      <c r="AP2315" s="23"/>
      <c r="AQ2315" s="23"/>
      <c r="AR2315" s="23"/>
      <c r="AS2315" s="23"/>
      <c r="AT2315" s="23"/>
      <c r="AU2315" s="23"/>
      <c r="AV2315" s="23"/>
      <c r="AW2315" s="23"/>
      <c r="AX2315" s="23"/>
      <c r="AY2315" s="23"/>
      <c r="AZ2315" s="23"/>
      <c r="BA2315" s="23"/>
      <c r="BB2315" s="23"/>
    </row>
    <row r="2316" spans="5:54" x14ac:dyDescent="0.35"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  <c r="AA2316" s="23"/>
      <c r="AB2316" s="23"/>
      <c r="AC2316" s="23"/>
      <c r="AD2316" s="23"/>
      <c r="AE2316" s="23"/>
      <c r="AF2316" s="23"/>
      <c r="AG2316" s="23"/>
      <c r="AH2316" s="23"/>
      <c r="AI2316" s="23"/>
      <c r="AJ2316" s="23"/>
      <c r="AK2316" s="23"/>
      <c r="AL2316" s="23"/>
      <c r="AM2316" s="23"/>
      <c r="AN2316" s="23"/>
      <c r="AO2316" s="23"/>
      <c r="AP2316" s="23"/>
      <c r="AQ2316" s="23"/>
      <c r="AR2316" s="23"/>
      <c r="AS2316" s="23"/>
      <c r="AT2316" s="23"/>
      <c r="AU2316" s="23"/>
      <c r="AV2316" s="23"/>
      <c r="AW2316" s="23"/>
      <c r="AX2316" s="23"/>
      <c r="AY2316" s="23"/>
      <c r="AZ2316" s="23"/>
      <c r="BA2316" s="23"/>
      <c r="BB2316" s="23"/>
    </row>
    <row r="2317" spans="5:54" x14ac:dyDescent="0.35"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  <c r="AA2317" s="23"/>
      <c r="AB2317" s="23"/>
      <c r="AC2317" s="23"/>
      <c r="AD2317" s="23"/>
      <c r="AE2317" s="23"/>
      <c r="AF2317" s="23"/>
      <c r="AG2317" s="23"/>
      <c r="AH2317" s="23"/>
      <c r="AI2317" s="23"/>
      <c r="AJ2317" s="23"/>
      <c r="AK2317" s="23"/>
      <c r="AL2317" s="23"/>
      <c r="AM2317" s="23"/>
      <c r="AN2317" s="23"/>
      <c r="AO2317" s="23"/>
      <c r="AP2317" s="23"/>
      <c r="AQ2317" s="23"/>
      <c r="AR2317" s="23"/>
      <c r="AS2317" s="23"/>
      <c r="AT2317" s="23"/>
      <c r="AU2317" s="23"/>
      <c r="AV2317" s="23"/>
      <c r="AW2317" s="23"/>
      <c r="AX2317" s="23"/>
      <c r="AY2317" s="23"/>
      <c r="AZ2317" s="23"/>
      <c r="BA2317" s="23"/>
      <c r="BB2317" s="23"/>
    </row>
    <row r="2318" spans="5:54" x14ac:dyDescent="0.35"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  <c r="AA2318" s="23"/>
      <c r="AB2318" s="23"/>
      <c r="AC2318" s="23"/>
      <c r="AD2318" s="23"/>
      <c r="AE2318" s="23"/>
      <c r="AF2318" s="23"/>
      <c r="AG2318" s="23"/>
      <c r="AH2318" s="23"/>
      <c r="AI2318" s="23"/>
      <c r="AJ2318" s="23"/>
      <c r="AK2318" s="23"/>
      <c r="AL2318" s="23"/>
      <c r="AM2318" s="23"/>
      <c r="AN2318" s="23"/>
      <c r="AO2318" s="23"/>
      <c r="AP2318" s="23"/>
      <c r="AQ2318" s="23"/>
      <c r="AR2318" s="23"/>
      <c r="AS2318" s="23"/>
      <c r="AT2318" s="23"/>
      <c r="AU2318" s="23"/>
      <c r="AV2318" s="23"/>
      <c r="AW2318" s="23"/>
      <c r="AX2318" s="23"/>
      <c r="AY2318" s="23"/>
      <c r="AZ2318" s="23"/>
      <c r="BA2318" s="23"/>
      <c r="BB2318" s="23"/>
    </row>
    <row r="2319" spans="5:54" x14ac:dyDescent="0.35"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  <c r="AA2319" s="23"/>
      <c r="AB2319" s="23"/>
      <c r="AC2319" s="23"/>
      <c r="AD2319" s="23"/>
      <c r="AE2319" s="23"/>
      <c r="AF2319" s="23"/>
      <c r="AG2319" s="23"/>
      <c r="AH2319" s="23"/>
      <c r="AI2319" s="23"/>
      <c r="AJ2319" s="23"/>
      <c r="AK2319" s="23"/>
      <c r="AL2319" s="23"/>
      <c r="AM2319" s="23"/>
      <c r="AN2319" s="23"/>
      <c r="AO2319" s="23"/>
      <c r="AP2319" s="23"/>
      <c r="AQ2319" s="23"/>
      <c r="AR2319" s="23"/>
      <c r="AS2319" s="23"/>
      <c r="AT2319" s="23"/>
      <c r="AU2319" s="23"/>
      <c r="AV2319" s="23"/>
      <c r="AW2319" s="23"/>
      <c r="AX2319" s="23"/>
      <c r="AY2319" s="23"/>
      <c r="AZ2319" s="23"/>
      <c r="BA2319" s="23"/>
      <c r="BB2319" s="23"/>
    </row>
    <row r="2320" spans="5:54" x14ac:dyDescent="0.35"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  <c r="AA2320" s="23"/>
      <c r="AB2320" s="23"/>
      <c r="AC2320" s="23"/>
      <c r="AD2320" s="23"/>
      <c r="AE2320" s="23"/>
      <c r="AF2320" s="23"/>
      <c r="AG2320" s="23"/>
      <c r="AH2320" s="23"/>
      <c r="AI2320" s="23"/>
      <c r="AJ2320" s="23"/>
      <c r="AK2320" s="23"/>
      <c r="AL2320" s="23"/>
      <c r="AM2320" s="23"/>
      <c r="AN2320" s="23"/>
      <c r="AO2320" s="23"/>
      <c r="AP2320" s="23"/>
      <c r="AQ2320" s="23"/>
      <c r="AR2320" s="23"/>
      <c r="AS2320" s="23"/>
      <c r="AT2320" s="23"/>
      <c r="AU2320" s="23"/>
      <c r="AV2320" s="23"/>
      <c r="AW2320" s="23"/>
      <c r="AX2320" s="23"/>
      <c r="AY2320" s="23"/>
      <c r="AZ2320" s="23"/>
      <c r="BA2320" s="23"/>
      <c r="BB2320" s="23"/>
    </row>
    <row r="2321" spans="5:54" x14ac:dyDescent="0.35"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  <c r="AA2321" s="23"/>
      <c r="AB2321" s="23"/>
      <c r="AC2321" s="23"/>
      <c r="AD2321" s="23"/>
      <c r="AE2321" s="23"/>
      <c r="AF2321" s="23"/>
      <c r="AG2321" s="23"/>
      <c r="AH2321" s="23"/>
      <c r="AI2321" s="23"/>
      <c r="AJ2321" s="23"/>
      <c r="AK2321" s="23"/>
      <c r="AL2321" s="23"/>
      <c r="AM2321" s="23"/>
      <c r="AN2321" s="23"/>
      <c r="AO2321" s="23"/>
      <c r="AP2321" s="23"/>
      <c r="AQ2321" s="23"/>
      <c r="AR2321" s="23"/>
      <c r="AS2321" s="23"/>
      <c r="AT2321" s="23"/>
      <c r="AU2321" s="23"/>
      <c r="AV2321" s="23"/>
      <c r="AW2321" s="23"/>
      <c r="AX2321" s="23"/>
      <c r="AY2321" s="23"/>
      <c r="AZ2321" s="23"/>
      <c r="BA2321" s="23"/>
      <c r="BB2321" s="23"/>
    </row>
    <row r="2322" spans="5:54" x14ac:dyDescent="0.35"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  <c r="AA2322" s="23"/>
      <c r="AB2322" s="23"/>
      <c r="AC2322" s="23"/>
      <c r="AD2322" s="23"/>
      <c r="AE2322" s="23"/>
      <c r="AF2322" s="23"/>
      <c r="AG2322" s="23"/>
      <c r="AH2322" s="23"/>
      <c r="AI2322" s="23"/>
      <c r="AJ2322" s="23"/>
      <c r="AK2322" s="23"/>
      <c r="AL2322" s="23"/>
      <c r="AM2322" s="23"/>
      <c r="AN2322" s="23"/>
      <c r="AO2322" s="23"/>
      <c r="AP2322" s="23"/>
      <c r="AQ2322" s="23"/>
      <c r="AR2322" s="23"/>
      <c r="AS2322" s="23"/>
      <c r="AT2322" s="23"/>
      <c r="AU2322" s="23"/>
      <c r="AV2322" s="23"/>
      <c r="AW2322" s="23"/>
      <c r="AX2322" s="23"/>
      <c r="AY2322" s="23"/>
      <c r="AZ2322" s="23"/>
      <c r="BA2322" s="23"/>
      <c r="BB2322" s="23"/>
    </row>
    <row r="2323" spans="5:54" x14ac:dyDescent="0.35"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  <c r="AA2323" s="23"/>
      <c r="AB2323" s="23"/>
      <c r="AC2323" s="23"/>
      <c r="AD2323" s="23"/>
      <c r="AE2323" s="23"/>
      <c r="AF2323" s="23"/>
      <c r="AG2323" s="23"/>
      <c r="AH2323" s="23"/>
      <c r="AI2323" s="23"/>
      <c r="AJ2323" s="23"/>
      <c r="AK2323" s="23"/>
      <c r="AL2323" s="23"/>
      <c r="AM2323" s="23"/>
      <c r="AN2323" s="23"/>
      <c r="AO2323" s="23"/>
      <c r="AP2323" s="23"/>
      <c r="AQ2323" s="23"/>
      <c r="AR2323" s="23"/>
      <c r="AS2323" s="23"/>
      <c r="AT2323" s="23"/>
      <c r="AU2323" s="23"/>
      <c r="AV2323" s="23"/>
      <c r="AW2323" s="23"/>
      <c r="AX2323" s="23"/>
      <c r="AY2323" s="23"/>
      <c r="AZ2323" s="23"/>
      <c r="BA2323" s="23"/>
      <c r="BB2323" s="23"/>
    </row>
    <row r="2324" spans="5:54" x14ac:dyDescent="0.35"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  <c r="AA2324" s="23"/>
      <c r="AB2324" s="23"/>
      <c r="AC2324" s="23"/>
      <c r="AD2324" s="23"/>
      <c r="AE2324" s="23"/>
      <c r="AF2324" s="23"/>
      <c r="AG2324" s="23"/>
      <c r="AH2324" s="23"/>
      <c r="AI2324" s="23"/>
      <c r="AJ2324" s="23"/>
      <c r="AK2324" s="23"/>
      <c r="AL2324" s="23"/>
      <c r="AM2324" s="23"/>
      <c r="AN2324" s="23"/>
      <c r="AO2324" s="23"/>
      <c r="AP2324" s="23"/>
      <c r="AQ2324" s="23"/>
      <c r="AR2324" s="23"/>
      <c r="AS2324" s="23"/>
      <c r="AT2324" s="23"/>
      <c r="AU2324" s="23"/>
      <c r="AV2324" s="23"/>
      <c r="AW2324" s="23"/>
      <c r="AX2324" s="23"/>
      <c r="AY2324" s="23"/>
      <c r="AZ2324" s="23"/>
      <c r="BA2324" s="23"/>
      <c r="BB2324" s="23"/>
    </row>
    <row r="2325" spans="5:54" x14ac:dyDescent="0.35"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  <c r="AA2325" s="23"/>
      <c r="AB2325" s="23"/>
      <c r="AC2325" s="23"/>
      <c r="AD2325" s="23"/>
      <c r="AE2325" s="23"/>
      <c r="AF2325" s="23"/>
      <c r="AG2325" s="23"/>
      <c r="AH2325" s="23"/>
      <c r="AI2325" s="23"/>
      <c r="AJ2325" s="23"/>
      <c r="AK2325" s="23"/>
      <c r="AL2325" s="23"/>
      <c r="AM2325" s="23"/>
      <c r="AN2325" s="23"/>
      <c r="AO2325" s="23"/>
      <c r="AP2325" s="23"/>
      <c r="AQ2325" s="23"/>
      <c r="AR2325" s="23"/>
      <c r="AS2325" s="23"/>
      <c r="AT2325" s="23"/>
      <c r="AU2325" s="23"/>
      <c r="AV2325" s="23"/>
      <c r="AW2325" s="23"/>
      <c r="AX2325" s="23"/>
      <c r="AY2325" s="23"/>
      <c r="AZ2325" s="23"/>
      <c r="BA2325" s="23"/>
      <c r="BB2325" s="23"/>
    </row>
    <row r="2326" spans="5:54" x14ac:dyDescent="0.35"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  <c r="AA2326" s="23"/>
      <c r="AB2326" s="23"/>
      <c r="AC2326" s="23"/>
      <c r="AD2326" s="23"/>
      <c r="AE2326" s="23"/>
      <c r="AF2326" s="23"/>
      <c r="AG2326" s="23"/>
      <c r="AH2326" s="23"/>
      <c r="AI2326" s="23"/>
      <c r="AJ2326" s="23"/>
      <c r="AK2326" s="23"/>
      <c r="AL2326" s="23"/>
      <c r="AM2326" s="23"/>
      <c r="AN2326" s="23"/>
      <c r="AO2326" s="23"/>
      <c r="AP2326" s="23"/>
      <c r="AQ2326" s="23"/>
      <c r="AR2326" s="23"/>
      <c r="AS2326" s="23"/>
      <c r="AT2326" s="23"/>
      <c r="AU2326" s="23"/>
      <c r="AV2326" s="23"/>
      <c r="AW2326" s="23"/>
      <c r="AX2326" s="23"/>
      <c r="AY2326" s="23"/>
      <c r="AZ2326" s="23"/>
      <c r="BA2326" s="23"/>
      <c r="BB2326" s="23"/>
    </row>
    <row r="2327" spans="5:54" x14ac:dyDescent="0.35"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  <c r="AA2327" s="23"/>
      <c r="AB2327" s="23"/>
      <c r="AC2327" s="23"/>
      <c r="AD2327" s="23"/>
      <c r="AE2327" s="23"/>
      <c r="AF2327" s="23"/>
      <c r="AG2327" s="23"/>
      <c r="AH2327" s="23"/>
      <c r="AI2327" s="23"/>
      <c r="AJ2327" s="23"/>
      <c r="AK2327" s="23"/>
      <c r="AL2327" s="23"/>
      <c r="AM2327" s="23"/>
      <c r="AN2327" s="23"/>
      <c r="AO2327" s="23"/>
      <c r="AP2327" s="23"/>
      <c r="AQ2327" s="23"/>
      <c r="AR2327" s="23"/>
      <c r="AS2327" s="23"/>
      <c r="AT2327" s="23"/>
      <c r="AU2327" s="23"/>
      <c r="AV2327" s="23"/>
      <c r="AW2327" s="23"/>
      <c r="AX2327" s="23"/>
      <c r="AY2327" s="23"/>
      <c r="AZ2327" s="23"/>
      <c r="BA2327" s="23"/>
      <c r="BB2327" s="23"/>
    </row>
    <row r="2328" spans="5:54" x14ac:dyDescent="0.35"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  <c r="AA2328" s="23"/>
      <c r="AB2328" s="23"/>
      <c r="AC2328" s="23"/>
      <c r="AD2328" s="23"/>
      <c r="AE2328" s="23"/>
      <c r="AF2328" s="23"/>
      <c r="AG2328" s="23"/>
      <c r="AH2328" s="23"/>
      <c r="AI2328" s="23"/>
      <c r="AJ2328" s="23"/>
      <c r="AK2328" s="23"/>
      <c r="AL2328" s="23"/>
      <c r="AM2328" s="23"/>
      <c r="AN2328" s="23"/>
      <c r="AO2328" s="23"/>
      <c r="AP2328" s="23"/>
      <c r="AQ2328" s="23"/>
      <c r="AR2328" s="23"/>
      <c r="AS2328" s="23"/>
      <c r="AT2328" s="23"/>
      <c r="AU2328" s="23"/>
      <c r="AV2328" s="23"/>
      <c r="AW2328" s="23"/>
      <c r="AX2328" s="23"/>
      <c r="AY2328" s="23"/>
      <c r="AZ2328" s="23"/>
      <c r="BA2328" s="23"/>
      <c r="BB2328" s="23"/>
    </row>
    <row r="2329" spans="5:54" x14ac:dyDescent="0.35"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  <c r="AA2329" s="23"/>
      <c r="AB2329" s="23"/>
      <c r="AC2329" s="23"/>
      <c r="AD2329" s="23"/>
      <c r="AE2329" s="23"/>
      <c r="AF2329" s="23"/>
      <c r="AG2329" s="23"/>
      <c r="AH2329" s="23"/>
      <c r="AI2329" s="23"/>
      <c r="AJ2329" s="23"/>
      <c r="AK2329" s="23"/>
      <c r="AL2329" s="23"/>
      <c r="AM2329" s="23"/>
      <c r="AN2329" s="23"/>
      <c r="AO2329" s="23"/>
      <c r="AP2329" s="23"/>
      <c r="AQ2329" s="23"/>
      <c r="AR2329" s="23"/>
      <c r="AS2329" s="23"/>
      <c r="AT2329" s="23"/>
      <c r="AU2329" s="23"/>
      <c r="AV2329" s="23"/>
      <c r="AW2329" s="23"/>
      <c r="AX2329" s="23"/>
      <c r="AY2329" s="23"/>
      <c r="AZ2329" s="23"/>
      <c r="BA2329" s="23"/>
      <c r="BB2329" s="23"/>
    </row>
    <row r="2330" spans="5:54" x14ac:dyDescent="0.35"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  <c r="AA2330" s="23"/>
      <c r="AB2330" s="23"/>
      <c r="AC2330" s="23"/>
      <c r="AD2330" s="23"/>
      <c r="AE2330" s="23"/>
      <c r="AF2330" s="23"/>
      <c r="AG2330" s="23"/>
      <c r="AH2330" s="23"/>
      <c r="AI2330" s="23"/>
      <c r="AJ2330" s="23"/>
      <c r="AK2330" s="23"/>
      <c r="AL2330" s="23"/>
      <c r="AM2330" s="23"/>
      <c r="AN2330" s="23"/>
      <c r="AO2330" s="23"/>
      <c r="AP2330" s="23"/>
      <c r="AQ2330" s="23"/>
      <c r="AR2330" s="23"/>
      <c r="AS2330" s="23"/>
      <c r="AT2330" s="23"/>
      <c r="AU2330" s="23"/>
      <c r="AV2330" s="23"/>
      <c r="AW2330" s="23"/>
      <c r="AX2330" s="23"/>
      <c r="AY2330" s="23"/>
      <c r="AZ2330" s="23"/>
      <c r="BA2330" s="23"/>
      <c r="BB2330" s="23"/>
    </row>
    <row r="2331" spans="5:54" x14ac:dyDescent="0.35"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  <c r="AA2331" s="23"/>
      <c r="AB2331" s="23"/>
      <c r="AC2331" s="23"/>
      <c r="AD2331" s="23"/>
      <c r="AE2331" s="23"/>
      <c r="AF2331" s="23"/>
      <c r="AG2331" s="23"/>
      <c r="AH2331" s="23"/>
      <c r="AI2331" s="23"/>
      <c r="AJ2331" s="23"/>
      <c r="AK2331" s="23"/>
      <c r="AL2331" s="23"/>
      <c r="AM2331" s="23"/>
      <c r="AN2331" s="23"/>
      <c r="AO2331" s="23"/>
      <c r="AP2331" s="23"/>
      <c r="AQ2331" s="23"/>
      <c r="AR2331" s="23"/>
      <c r="AS2331" s="23"/>
      <c r="AT2331" s="23"/>
      <c r="AU2331" s="23"/>
      <c r="AV2331" s="23"/>
      <c r="AW2331" s="23"/>
      <c r="AX2331" s="23"/>
      <c r="AY2331" s="23"/>
      <c r="AZ2331" s="23"/>
      <c r="BA2331" s="23"/>
      <c r="BB2331" s="23"/>
    </row>
    <row r="2332" spans="5:54" x14ac:dyDescent="0.35"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  <c r="AA2332" s="23"/>
      <c r="AB2332" s="23"/>
      <c r="AC2332" s="23"/>
      <c r="AD2332" s="23"/>
      <c r="AE2332" s="23"/>
      <c r="AF2332" s="23"/>
      <c r="AG2332" s="23"/>
      <c r="AH2332" s="23"/>
      <c r="AI2332" s="23"/>
      <c r="AJ2332" s="23"/>
      <c r="AK2332" s="23"/>
      <c r="AL2332" s="23"/>
      <c r="AM2332" s="23"/>
      <c r="AN2332" s="23"/>
      <c r="AO2332" s="23"/>
      <c r="AP2332" s="23"/>
      <c r="AQ2332" s="23"/>
      <c r="AR2332" s="23"/>
      <c r="AS2332" s="23"/>
      <c r="AT2332" s="23"/>
      <c r="AU2332" s="23"/>
      <c r="AV2332" s="23"/>
      <c r="AW2332" s="23"/>
      <c r="AX2332" s="23"/>
      <c r="AY2332" s="23"/>
      <c r="AZ2332" s="23"/>
      <c r="BA2332" s="23"/>
      <c r="BB2332" s="23"/>
    </row>
    <row r="2333" spans="5:54" x14ac:dyDescent="0.35"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  <c r="AA2333" s="23"/>
      <c r="AB2333" s="23"/>
      <c r="AC2333" s="23"/>
      <c r="AD2333" s="23"/>
      <c r="AE2333" s="23"/>
      <c r="AF2333" s="23"/>
      <c r="AG2333" s="23"/>
      <c r="AH2333" s="23"/>
      <c r="AI2333" s="23"/>
      <c r="AJ2333" s="23"/>
      <c r="AK2333" s="23"/>
      <c r="AL2333" s="23"/>
      <c r="AM2333" s="23"/>
      <c r="AN2333" s="23"/>
      <c r="AO2333" s="23"/>
      <c r="AP2333" s="23"/>
      <c r="AQ2333" s="23"/>
      <c r="AR2333" s="23"/>
      <c r="AS2333" s="23"/>
      <c r="AT2333" s="23"/>
      <c r="AU2333" s="23"/>
      <c r="AV2333" s="23"/>
      <c r="AW2333" s="23"/>
      <c r="AX2333" s="23"/>
      <c r="AY2333" s="23"/>
      <c r="AZ2333" s="23"/>
      <c r="BA2333" s="23"/>
      <c r="BB2333" s="23"/>
    </row>
    <row r="2334" spans="5:54" x14ac:dyDescent="0.35"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  <c r="AA2334" s="23"/>
      <c r="AB2334" s="23"/>
      <c r="AC2334" s="23"/>
      <c r="AD2334" s="23"/>
      <c r="AE2334" s="23"/>
      <c r="AF2334" s="23"/>
      <c r="AG2334" s="23"/>
      <c r="AH2334" s="23"/>
      <c r="AI2334" s="23"/>
      <c r="AJ2334" s="23"/>
      <c r="AK2334" s="23"/>
      <c r="AL2334" s="23"/>
      <c r="AM2334" s="23"/>
      <c r="AN2334" s="23"/>
      <c r="AO2334" s="23"/>
      <c r="AP2334" s="23"/>
      <c r="AQ2334" s="23"/>
      <c r="AR2334" s="23"/>
      <c r="AS2334" s="23"/>
      <c r="AT2334" s="23"/>
      <c r="AU2334" s="23"/>
      <c r="AV2334" s="23"/>
      <c r="AW2334" s="23"/>
      <c r="AX2334" s="23"/>
      <c r="AY2334" s="23"/>
      <c r="AZ2334" s="23"/>
      <c r="BA2334" s="23"/>
      <c r="BB2334" s="23"/>
    </row>
    <row r="2335" spans="5:54" x14ac:dyDescent="0.35"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  <c r="AA2335" s="23"/>
      <c r="AB2335" s="23"/>
      <c r="AC2335" s="23"/>
      <c r="AD2335" s="23"/>
      <c r="AE2335" s="23"/>
      <c r="AF2335" s="23"/>
      <c r="AG2335" s="23"/>
      <c r="AH2335" s="23"/>
      <c r="AI2335" s="23"/>
      <c r="AJ2335" s="23"/>
      <c r="AK2335" s="23"/>
      <c r="AL2335" s="23"/>
      <c r="AM2335" s="23"/>
      <c r="AN2335" s="23"/>
      <c r="AO2335" s="23"/>
      <c r="AP2335" s="23"/>
      <c r="AQ2335" s="23"/>
      <c r="AR2335" s="23"/>
      <c r="AS2335" s="23"/>
      <c r="AT2335" s="23"/>
      <c r="AU2335" s="23"/>
      <c r="AV2335" s="23"/>
      <c r="AW2335" s="23"/>
      <c r="AX2335" s="23"/>
      <c r="AY2335" s="23"/>
      <c r="AZ2335" s="23"/>
      <c r="BA2335" s="23"/>
      <c r="BB2335" s="23"/>
    </row>
    <row r="2336" spans="5:54" x14ac:dyDescent="0.35"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  <c r="AA2336" s="23"/>
      <c r="AB2336" s="23"/>
      <c r="AC2336" s="23"/>
      <c r="AD2336" s="23"/>
      <c r="AE2336" s="23"/>
      <c r="AF2336" s="23"/>
      <c r="AG2336" s="23"/>
      <c r="AH2336" s="23"/>
      <c r="AI2336" s="23"/>
      <c r="AJ2336" s="23"/>
      <c r="AK2336" s="23"/>
      <c r="AL2336" s="23"/>
      <c r="AM2336" s="23"/>
      <c r="AN2336" s="23"/>
      <c r="AO2336" s="23"/>
      <c r="AP2336" s="23"/>
      <c r="AQ2336" s="23"/>
      <c r="AR2336" s="23"/>
      <c r="AS2336" s="23"/>
      <c r="AT2336" s="23"/>
      <c r="AU2336" s="23"/>
      <c r="AV2336" s="23"/>
      <c r="AW2336" s="23"/>
      <c r="AX2336" s="23"/>
      <c r="AY2336" s="23"/>
      <c r="AZ2336" s="23"/>
      <c r="BA2336" s="23"/>
      <c r="BB2336" s="23"/>
    </row>
    <row r="2337" spans="5:54" x14ac:dyDescent="0.35"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  <c r="AA2337" s="23"/>
      <c r="AB2337" s="23"/>
      <c r="AC2337" s="23"/>
      <c r="AD2337" s="23"/>
      <c r="AE2337" s="23"/>
      <c r="AF2337" s="23"/>
      <c r="AG2337" s="23"/>
      <c r="AH2337" s="23"/>
      <c r="AI2337" s="23"/>
      <c r="AJ2337" s="23"/>
      <c r="AK2337" s="23"/>
      <c r="AL2337" s="23"/>
      <c r="AM2337" s="23"/>
      <c r="AN2337" s="23"/>
      <c r="AO2337" s="23"/>
      <c r="AP2337" s="23"/>
      <c r="AQ2337" s="23"/>
      <c r="AR2337" s="23"/>
      <c r="AS2337" s="23"/>
      <c r="AT2337" s="23"/>
      <c r="AU2337" s="23"/>
      <c r="AV2337" s="23"/>
      <c r="AW2337" s="23"/>
      <c r="AX2337" s="23"/>
      <c r="AY2337" s="23"/>
      <c r="AZ2337" s="23"/>
      <c r="BA2337" s="23"/>
      <c r="BB2337" s="23"/>
    </row>
    <row r="2338" spans="5:54" x14ac:dyDescent="0.35"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  <c r="AA2338" s="23"/>
      <c r="AB2338" s="23"/>
      <c r="AC2338" s="23"/>
      <c r="AD2338" s="23"/>
      <c r="AE2338" s="23"/>
      <c r="AF2338" s="23"/>
      <c r="AG2338" s="23"/>
      <c r="AH2338" s="23"/>
      <c r="AI2338" s="23"/>
      <c r="AJ2338" s="23"/>
      <c r="AK2338" s="23"/>
      <c r="AL2338" s="23"/>
      <c r="AM2338" s="23"/>
      <c r="AN2338" s="23"/>
      <c r="AO2338" s="23"/>
      <c r="AP2338" s="23"/>
      <c r="AQ2338" s="23"/>
      <c r="AR2338" s="23"/>
      <c r="AS2338" s="23"/>
      <c r="AT2338" s="23"/>
      <c r="AU2338" s="23"/>
      <c r="AV2338" s="23"/>
      <c r="AW2338" s="23"/>
      <c r="AX2338" s="23"/>
      <c r="AY2338" s="23"/>
      <c r="AZ2338" s="23"/>
      <c r="BA2338" s="23"/>
      <c r="BB2338" s="23"/>
    </row>
    <row r="2339" spans="5:54" x14ac:dyDescent="0.35"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  <c r="AA2339" s="23"/>
      <c r="AB2339" s="23"/>
      <c r="AC2339" s="23"/>
      <c r="AD2339" s="23"/>
      <c r="AE2339" s="23"/>
      <c r="AF2339" s="23"/>
      <c r="AG2339" s="23"/>
      <c r="AH2339" s="23"/>
      <c r="AI2339" s="23"/>
      <c r="AJ2339" s="23"/>
      <c r="AK2339" s="23"/>
      <c r="AL2339" s="23"/>
      <c r="AM2339" s="23"/>
      <c r="AN2339" s="23"/>
      <c r="AO2339" s="23"/>
      <c r="AP2339" s="23"/>
      <c r="AQ2339" s="23"/>
      <c r="AR2339" s="23"/>
      <c r="AS2339" s="23"/>
      <c r="AT2339" s="23"/>
      <c r="AU2339" s="23"/>
      <c r="AV2339" s="23"/>
      <c r="AW2339" s="23"/>
      <c r="AX2339" s="23"/>
      <c r="AY2339" s="23"/>
      <c r="AZ2339" s="23"/>
      <c r="BA2339" s="23"/>
      <c r="BB2339" s="23"/>
    </row>
    <row r="2340" spans="5:54" x14ac:dyDescent="0.35"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  <c r="AA2340" s="23"/>
      <c r="AB2340" s="23"/>
      <c r="AC2340" s="23"/>
      <c r="AD2340" s="23"/>
      <c r="AE2340" s="23"/>
      <c r="AF2340" s="23"/>
      <c r="AG2340" s="23"/>
      <c r="AH2340" s="23"/>
      <c r="AI2340" s="23"/>
      <c r="AJ2340" s="23"/>
      <c r="AK2340" s="23"/>
      <c r="AL2340" s="23"/>
      <c r="AM2340" s="23"/>
      <c r="AN2340" s="23"/>
      <c r="AO2340" s="23"/>
      <c r="AP2340" s="23"/>
      <c r="AQ2340" s="23"/>
      <c r="AR2340" s="23"/>
      <c r="AS2340" s="23"/>
      <c r="AT2340" s="23"/>
      <c r="AU2340" s="23"/>
      <c r="AV2340" s="23"/>
      <c r="AW2340" s="23"/>
      <c r="AX2340" s="23"/>
      <c r="AY2340" s="23"/>
      <c r="AZ2340" s="23"/>
      <c r="BA2340" s="23"/>
      <c r="BB2340" s="23"/>
    </row>
    <row r="2341" spans="5:54" x14ac:dyDescent="0.35"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  <c r="AA2341" s="23"/>
      <c r="AB2341" s="23"/>
      <c r="AC2341" s="23"/>
      <c r="AD2341" s="23"/>
      <c r="AE2341" s="23"/>
      <c r="AF2341" s="23"/>
      <c r="AG2341" s="23"/>
      <c r="AH2341" s="23"/>
      <c r="AI2341" s="23"/>
      <c r="AJ2341" s="23"/>
      <c r="AK2341" s="23"/>
      <c r="AL2341" s="23"/>
      <c r="AM2341" s="23"/>
      <c r="AN2341" s="23"/>
      <c r="AO2341" s="23"/>
      <c r="AP2341" s="23"/>
      <c r="AQ2341" s="23"/>
      <c r="AR2341" s="23"/>
      <c r="AS2341" s="23"/>
      <c r="AT2341" s="23"/>
      <c r="AU2341" s="23"/>
      <c r="AV2341" s="23"/>
      <c r="AW2341" s="23"/>
      <c r="AX2341" s="23"/>
      <c r="AY2341" s="23"/>
      <c r="AZ2341" s="23"/>
      <c r="BA2341" s="23"/>
      <c r="BB2341" s="23"/>
    </row>
    <row r="2342" spans="5:54" x14ac:dyDescent="0.35"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  <c r="AA2342" s="23"/>
      <c r="AB2342" s="23"/>
      <c r="AC2342" s="23"/>
      <c r="AD2342" s="23"/>
      <c r="AE2342" s="23"/>
      <c r="AF2342" s="23"/>
      <c r="AG2342" s="23"/>
      <c r="AH2342" s="23"/>
      <c r="AI2342" s="23"/>
      <c r="AJ2342" s="23"/>
      <c r="AK2342" s="23"/>
      <c r="AL2342" s="23"/>
      <c r="AM2342" s="23"/>
      <c r="AN2342" s="23"/>
      <c r="AO2342" s="23"/>
      <c r="AP2342" s="23"/>
      <c r="AQ2342" s="23"/>
      <c r="AR2342" s="23"/>
      <c r="AS2342" s="23"/>
      <c r="AT2342" s="23"/>
      <c r="AU2342" s="23"/>
      <c r="AV2342" s="23"/>
      <c r="AW2342" s="23"/>
      <c r="AX2342" s="23"/>
      <c r="AY2342" s="23"/>
      <c r="AZ2342" s="23"/>
      <c r="BA2342" s="23"/>
      <c r="BB2342" s="23"/>
    </row>
    <row r="2343" spans="5:54" x14ac:dyDescent="0.35"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  <c r="AA2343" s="23"/>
      <c r="AB2343" s="23"/>
      <c r="AC2343" s="23"/>
      <c r="AD2343" s="23"/>
      <c r="AE2343" s="23"/>
      <c r="AF2343" s="23"/>
      <c r="AG2343" s="23"/>
      <c r="AH2343" s="23"/>
      <c r="AI2343" s="23"/>
      <c r="AJ2343" s="23"/>
      <c r="AK2343" s="23"/>
      <c r="AL2343" s="23"/>
      <c r="AM2343" s="23"/>
      <c r="AN2343" s="23"/>
      <c r="AO2343" s="23"/>
      <c r="AP2343" s="23"/>
      <c r="AQ2343" s="23"/>
      <c r="AR2343" s="23"/>
      <c r="AS2343" s="23"/>
      <c r="AT2343" s="23"/>
      <c r="AU2343" s="23"/>
      <c r="AV2343" s="23"/>
      <c r="AW2343" s="23"/>
      <c r="AX2343" s="23"/>
      <c r="AY2343" s="23"/>
      <c r="AZ2343" s="23"/>
      <c r="BA2343" s="23"/>
      <c r="BB2343" s="23"/>
    </row>
    <row r="2344" spans="5:54" x14ac:dyDescent="0.35"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  <c r="AA2344" s="23"/>
      <c r="AB2344" s="23"/>
      <c r="AC2344" s="23"/>
      <c r="AD2344" s="23"/>
      <c r="AE2344" s="23"/>
      <c r="AF2344" s="23"/>
      <c r="AG2344" s="23"/>
      <c r="AH2344" s="23"/>
      <c r="AI2344" s="23"/>
      <c r="AJ2344" s="23"/>
      <c r="AK2344" s="23"/>
      <c r="AL2344" s="23"/>
      <c r="AM2344" s="23"/>
      <c r="AN2344" s="23"/>
      <c r="AO2344" s="23"/>
      <c r="AP2344" s="23"/>
      <c r="AQ2344" s="23"/>
      <c r="AR2344" s="23"/>
      <c r="AS2344" s="23"/>
      <c r="AT2344" s="23"/>
      <c r="AU2344" s="23"/>
      <c r="AV2344" s="23"/>
      <c r="AW2344" s="23"/>
      <c r="AX2344" s="23"/>
      <c r="AY2344" s="23"/>
      <c r="AZ2344" s="23"/>
      <c r="BA2344" s="23"/>
      <c r="BB2344" s="23"/>
    </row>
    <row r="2345" spans="5:54" x14ac:dyDescent="0.35"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  <c r="AA2345" s="23"/>
      <c r="AB2345" s="23"/>
      <c r="AC2345" s="23"/>
      <c r="AD2345" s="23"/>
      <c r="AE2345" s="23"/>
      <c r="AF2345" s="23"/>
      <c r="AG2345" s="23"/>
      <c r="AH2345" s="23"/>
      <c r="AI2345" s="23"/>
      <c r="AJ2345" s="23"/>
      <c r="AK2345" s="23"/>
      <c r="AL2345" s="23"/>
      <c r="AM2345" s="23"/>
      <c r="AN2345" s="23"/>
      <c r="AO2345" s="23"/>
      <c r="AP2345" s="23"/>
      <c r="AQ2345" s="23"/>
      <c r="AR2345" s="23"/>
      <c r="AS2345" s="23"/>
      <c r="AT2345" s="23"/>
      <c r="AU2345" s="23"/>
      <c r="AV2345" s="23"/>
      <c r="AW2345" s="23"/>
      <c r="AX2345" s="23"/>
      <c r="AY2345" s="23"/>
      <c r="AZ2345" s="23"/>
      <c r="BA2345" s="23"/>
      <c r="BB2345" s="23"/>
    </row>
    <row r="2346" spans="5:54" x14ac:dyDescent="0.35"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  <c r="AA2346" s="23"/>
      <c r="AB2346" s="23"/>
      <c r="AC2346" s="23"/>
      <c r="AD2346" s="23"/>
      <c r="AE2346" s="23"/>
      <c r="AF2346" s="23"/>
      <c r="AG2346" s="23"/>
      <c r="AH2346" s="23"/>
      <c r="AI2346" s="23"/>
      <c r="AJ2346" s="23"/>
      <c r="AK2346" s="23"/>
      <c r="AL2346" s="23"/>
      <c r="AM2346" s="23"/>
      <c r="AN2346" s="23"/>
      <c r="AO2346" s="23"/>
      <c r="AP2346" s="23"/>
      <c r="AQ2346" s="23"/>
      <c r="AR2346" s="23"/>
      <c r="AS2346" s="23"/>
      <c r="AT2346" s="23"/>
      <c r="AU2346" s="23"/>
      <c r="AV2346" s="23"/>
      <c r="AW2346" s="23"/>
      <c r="AX2346" s="23"/>
      <c r="AY2346" s="23"/>
      <c r="AZ2346" s="23"/>
      <c r="BA2346" s="23"/>
      <c r="BB2346" s="23"/>
    </row>
    <row r="2347" spans="5:54" x14ac:dyDescent="0.35"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  <c r="AA2347" s="23"/>
      <c r="AB2347" s="23"/>
      <c r="AC2347" s="23"/>
      <c r="AD2347" s="23"/>
      <c r="AE2347" s="23"/>
      <c r="AF2347" s="23"/>
      <c r="AG2347" s="23"/>
      <c r="AH2347" s="23"/>
      <c r="AI2347" s="23"/>
      <c r="AJ2347" s="23"/>
      <c r="AK2347" s="23"/>
      <c r="AL2347" s="23"/>
      <c r="AM2347" s="23"/>
      <c r="AN2347" s="23"/>
      <c r="AO2347" s="23"/>
      <c r="AP2347" s="23"/>
      <c r="AQ2347" s="23"/>
      <c r="AR2347" s="23"/>
      <c r="AS2347" s="23"/>
      <c r="AT2347" s="23"/>
      <c r="AU2347" s="23"/>
      <c r="AV2347" s="23"/>
      <c r="AW2347" s="23"/>
      <c r="AX2347" s="23"/>
      <c r="AY2347" s="23"/>
      <c r="AZ2347" s="23"/>
      <c r="BA2347" s="23"/>
      <c r="BB2347" s="23"/>
    </row>
    <row r="2348" spans="5:54" x14ac:dyDescent="0.35"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  <c r="AA2348" s="23"/>
      <c r="AB2348" s="23"/>
      <c r="AC2348" s="23"/>
      <c r="AD2348" s="23"/>
      <c r="AE2348" s="23"/>
      <c r="AF2348" s="23"/>
      <c r="AG2348" s="23"/>
      <c r="AH2348" s="23"/>
      <c r="AI2348" s="23"/>
      <c r="AJ2348" s="23"/>
      <c r="AK2348" s="23"/>
      <c r="AL2348" s="23"/>
      <c r="AM2348" s="23"/>
      <c r="AN2348" s="23"/>
      <c r="AO2348" s="23"/>
      <c r="AP2348" s="23"/>
      <c r="AQ2348" s="23"/>
      <c r="AR2348" s="23"/>
      <c r="AS2348" s="23"/>
      <c r="AT2348" s="23"/>
      <c r="AU2348" s="23"/>
      <c r="AV2348" s="23"/>
      <c r="AW2348" s="23"/>
      <c r="AX2348" s="23"/>
      <c r="AY2348" s="23"/>
      <c r="AZ2348" s="23"/>
      <c r="BA2348" s="23"/>
      <c r="BB2348" s="23"/>
    </row>
    <row r="2349" spans="5:54" x14ac:dyDescent="0.35"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  <c r="AA2349" s="23"/>
      <c r="AB2349" s="23"/>
      <c r="AC2349" s="23"/>
      <c r="AD2349" s="23"/>
      <c r="AE2349" s="23"/>
      <c r="AF2349" s="23"/>
      <c r="AG2349" s="23"/>
      <c r="AH2349" s="23"/>
      <c r="AI2349" s="23"/>
      <c r="AJ2349" s="23"/>
      <c r="AK2349" s="23"/>
      <c r="AL2349" s="23"/>
      <c r="AM2349" s="23"/>
      <c r="AN2349" s="23"/>
      <c r="AO2349" s="23"/>
      <c r="AP2349" s="23"/>
      <c r="AQ2349" s="23"/>
      <c r="AR2349" s="23"/>
      <c r="AS2349" s="23"/>
      <c r="AT2349" s="23"/>
      <c r="AU2349" s="23"/>
      <c r="AV2349" s="23"/>
      <c r="AW2349" s="23"/>
      <c r="AX2349" s="23"/>
      <c r="AY2349" s="23"/>
      <c r="AZ2349" s="23"/>
      <c r="BA2349" s="23"/>
      <c r="BB2349" s="23"/>
    </row>
    <row r="2350" spans="5:54" x14ac:dyDescent="0.35"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  <c r="AA2350" s="23"/>
      <c r="AB2350" s="23"/>
      <c r="AC2350" s="23"/>
      <c r="AD2350" s="23"/>
      <c r="AE2350" s="23"/>
      <c r="AF2350" s="23"/>
      <c r="AG2350" s="23"/>
      <c r="AH2350" s="23"/>
      <c r="AI2350" s="23"/>
      <c r="AJ2350" s="23"/>
      <c r="AK2350" s="23"/>
      <c r="AL2350" s="23"/>
      <c r="AM2350" s="23"/>
      <c r="AN2350" s="23"/>
      <c r="AO2350" s="23"/>
      <c r="AP2350" s="23"/>
      <c r="AQ2350" s="23"/>
      <c r="AR2350" s="23"/>
      <c r="AS2350" s="23"/>
      <c r="AT2350" s="23"/>
      <c r="AU2350" s="23"/>
      <c r="AV2350" s="23"/>
      <c r="AW2350" s="23"/>
      <c r="AX2350" s="23"/>
      <c r="AY2350" s="23"/>
      <c r="AZ2350" s="23"/>
      <c r="BA2350" s="23"/>
      <c r="BB2350" s="23"/>
    </row>
    <row r="2351" spans="5:54" x14ac:dyDescent="0.35"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  <c r="AA2351" s="23"/>
      <c r="AB2351" s="23"/>
      <c r="AC2351" s="23"/>
      <c r="AD2351" s="23"/>
      <c r="AE2351" s="23"/>
      <c r="AF2351" s="23"/>
      <c r="AG2351" s="23"/>
      <c r="AH2351" s="23"/>
      <c r="AI2351" s="23"/>
      <c r="AJ2351" s="23"/>
      <c r="AK2351" s="23"/>
      <c r="AL2351" s="23"/>
      <c r="AM2351" s="23"/>
      <c r="AN2351" s="23"/>
      <c r="AO2351" s="23"/>
      <c r="AP2351" s="23"/>
      <c r="AQ2351" s="23"/>
      <c r="AR2351" s="23"/>
      <c r="AS2351" s="23"/>
      <c r="AT2351" s="23"/>
      <c r="AU2351" s="23"/>
      <c r="AV2351" s="23"/>
      <c r="AW2351" s="23"/>
      <c r="AX2351" s="23"/>
      <c r="AY2351" s="23"/>
      <c r="AZ2351" s="23"/>
      <c r="BA2351" s="23"/>
      <c r="BB2351" s="23"/>
    </row>
    <row r="2352" spans="5:54" x14ac:dyDescent="0.35"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  <c r="AA2352" s="23"/>
      <c r="AB2352" s="23"/>
      <c r="AC2352" s="23"/>
      <c r="AD2352" s="23"/>
      <c r="AE2352" s="23"/>
      <c r="AF2352" s="23"/>
      <c r="AG2352" s="23"/>
      <c r="AH2352" s="23"/>
      <c r="AI2352" s="23"/>
      <c r="AJ2352" s="23"/>
      <c r="AK2352" s="23"/>
      <c r="AL2352" s="23"/>
      <c r="AM2352" s="23"/>
      <c r="AN2352" s="23"/>
      <c r="AO2352" s="23"/>
      <c r="AP2352" s="23"/>
      <c r="AQ2352" s="23"/>
      <c r="AR2352" s="23"/>
      <c r="AS2352" s="23"/>
      <c r="AT2352" s="23"/>
      <c r="AU2352" s="23"/>
      <c r="AV2352" s="23"/>
      <c r="AW2352" s="23"/>
      <c r="AX2352" s="23"/>
      <c r="AY2352" s="23"/>
      <c r="AZ2352" s="23"/>
      <c r="BA2352" s="23"/>
      <c r="BB2352" s="23"/>
    </row>
    <row r="2353" spans="5:54" x14ac:dyDescent="0.35"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  <c r="AA2353" s="23"/>
      <c r="AB2353" s="23"/>
      <c r="AC2353" s="23"/>
      <c r="AD2353" s="23"/>
      <c r="AE2353" s="23"/>
      <c r="AF2353" s="23"/>
      <c r="AG2353" s="23"/>
      <c r="AH2353" s="23"/>
      <c r="AI2353" s="23"/>
      <c r="AJ2353" s="23"/>
      <c r="AK2353" s="23"/>
      <c r="AL2353" s="23"/>
      <c r="AM2353" s="23"/>
      <c r="AN2353" s="23"/>
      <c r="AO2353" s="23"/>
      <c r="AP2353" s="23"/>
      <c r="AQ2353" s="23"/>
      <c r="AR2353" s="23"/>
      <c r="AS2353" s="23"/>
      <c r="AT2353" s="23"/>
      <c r="AU2353" s="23"/>
      <c r="AV2353" s="23"/>
      <c r="AW2353" s="23"/>
      <c r="AX2353" s="23"/>
      <c r="AY2353" s="23"/>
      <c r="AZ2353" s="23"/>
      <c r="BA2353" s="23"/>
      <c r="BB2353" s="23"/>
    </row>
    <row r="2354" spans="5:54" x14ac:dyDescent="0.35"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  <c r="AA2354" s="23"/>
      <c r="AB2354" s="23"/>
      <c r="AC2354" s="23"/>
      <c r="AD2354" s="23"/>
      <c r="AE2354" s="23"/>
      <c r="AF2354" s="23"/>
      <c r="AG2354" s="23"/>
      <c r="AH2354" s="23"/>
      <c r="AI2354" s="23"/>
      <c r="AJ2354" s="23"/>
      <c r="AK2354" s="23"/>
      <c r="AL2354" s="23"/>
      <c r="AM2354" s="23"/>
      <c r="AN2354" s="23"/>
      <c r="AO2354" s="23"/>
      <c r="AP2354" s="23"/>
      <c r="AQ2354" s="23"/>
      <c r="AR2354" s="23"/>
      <c r="AS2354" s="23"/>
      <c r="AT2354" s="23"/>
      <c r="AU2354" s="23"/>
      <c r="AV2354" s="23"/>
      <c r="AW2354" s="23"/>
      <c r="AX2354" s="23"/>
      <c r="AY2354" s="23"/>
      <c r="AZ2354" s="23"/>
      <c r="BA2354" s="23"/>
      <c r="BB2354" s="23"/>
    </row>
    <row r="2355" spans="5:54" x14ac:dyDescent="0.35"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  <c r="AA2355" s="23"/>
      <c r="AB2355" s="23"/>
      <c r="AC2355" s="23"/>
      <c r="AD2355" s="23"/>
      <c r="AE2355" s="23"/>
      <c r="AF2355" s="23"/>
      <c r="AG2355" s="23"/>
      <c r="AH2355" s="23"/>
      <c r="AI2355" s="23"/>
      <c r="AJ2355" s="23"/>
      <c r="AK2355" s="23"/>
      <c r="AL2355" s="23"/>
      <c r="AM2355" s="23"/>
      <c r="AN2355" s="23"/>
      <c r="AO2355" s="23"/>
      <c r="AP2355" s="23"/>
      <c r="AQ2355" s="23"/>
      <c r="AR2355" s="23"/>
      <c r="AS2355" s="23"/>
      <c r="AT2355" s="23"/>
      <c r="AU2355" s="23"/>
      <c r="AV2355" s="23"/>
      <c r="AW2355" s="23"/>
      <c r="AX2355" s="23"/>
      <c r="AY2355" s="23"/>
      <c r="AZ2355" s="23"/>
      <c r="BA2355" s="23"/>
      <c r="BB2355" s="23"/>
    </row>
    <row r="2356" spans="5:54" x14ac:dyDescent="0.35"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  <c r="AA2356" s="23"/>
      <c r="AB2356" s="23"/>
      <c r="AC2356" s="23"/>
      <c r="AD2356" s="23"/>
      <c r="AE2356" s="23"/>
      <c r="AF2356" s="23"/>
      <c r="AG2356" s="23"/>
      <c r="AH2356" s="23"/>
      <c r="AI2356" s="23"/>
      <c r="AJ2356" s="23"/>
      <c r="AK2356" s="23"/>
      <c r="AL2356" s="23"/>
      <c r="AM2356" s="23"/>
      <c r="AN2356" s="23"/>
      <c r="AO2356" s="23"/>
      <c r="AP2356" s="23"/>
      <c r="AQ2356" s="23"/>
      <c r="AR2356" s="23"/>
      <c r="AS2356" s="23"/>
      <c r="AT2356" s="23"/>
      <c r="AU2356" s="23"/>
      <c r="AV2356" s="23"/>
      <c r="AW2356" s="23"/>
      <c r="AX2356" s="23"/>
      <c r="AY2356" s="23"/>
      <c r="AZ2356" s="23"/>
      <c r="BA2356" s="23"/>
      <c r="BB2356" s="23"/>
    </row>
    <row r="2357" spans="5:54" x14ac:dyDescent="0.35"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  <c r="AA2357" s="23"/>
      <c r="AB2357" s="23"/>
      <c r="AC2357" s="23"/>
      <c r="AD2357" s="23"/>
      <c r="AE2357" s="23"/>
      <c r="AF2357" s="23"/>
      <c r="AG2357" s="23"/>
      <c r="AH2357" s="23"/>
      <c r="AI2357" s="23"/>
      <c r="AJ2357" s="23"/>
      <c r="AK2357" s="23"/>
      <c r="AL2357" s="23"/>
      <c r="AM2357" s="23"/>
      <c r="AN2357" s="23"/>
      <c r="AO2357" s="23"/>
      <c r="AP2357" s="23"/>
      <c r="AQ2357" s="23"/>
      <c r="AR2357" s="23"/>
      <c r="AS2357" s="23"/>
      <c r="AT2357" s="23"/>
      <c r="AU2357" s="23"/>
      <c r="AV2357" s="23"/>
      <c r="AW2357" s="23"/>
      <c r="AX2357" s="23"/>
      <c r="AY2357" s="23"/>
      <c r="AZ2357" s="23"/>
      <c r="BA2357" s="23"/>
      <c r="BB2357" s="23"/>
    </row>
    <row r="2358" spans="5:54" x14ac:dyDescent="0.35"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  <c r="AA2358" s="23"/>
      <c r="AB2358" s="23"/>
      <c r="AC2358" s="23"/>
      <c r="AD2358" s="23"/>
      <c r="AE2358" s="23"/>
      <c r="AF2358" s="23"/>
      <c r="AG2358" s="23"/>
      <c r="AH2358" s="23"/>
      <c r="AI2358" s="23"/>
      <c r="AJ2358" s="23"/>
      <c r="AK2358" s="23"/>
      <c r="AL2358" s="23"/>
      <c r="AM2358" s="23"/>
      <c r="AN2358" s="23"/>
      <c r="AO2358" s="23"/>
      <c r="AP2358" s="23"/>
      <c r="AQ2358" s="23"/>
      <c r="AR2358" s="23"/>
      <c r="AS2358" s="23"/>
      <c r="AT2358" s="23"/>
      <c r="AU2358" s="23"/>
      <c r="AV2358" s="23"/>
      <c r="AW2358" s="23"/>
      <c r="AX2358" s="23"/>
      <c r="AY2358" s="23"/>
      <c r="AZ2358" s="23"/>
      <c r="BA2358" s="23"/>
      <c r="BB2358" s="23"/>
    </row>
    <row r="2359" spans="5:54" x14ac:dyDescent="0.35"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  <c r="AA2359" s="23"/>
      <c r="AB2359" s="23"/>
      <c r="AC2359" s="23"/>
      <c r="AD2359" s="23"/>
      <c r="AE2359" s="23"/>
      <c r="AF2359" s="23"/>
      <c r="AG2359" s="23"/>
      <c r="AH2359" s="23"/>
      <c r="AI2359" s="23"/>
      <c r="AJ2359" s="23"/>
      <c r="AK2359" s="23"/>
      <c r="AL2359" s="23"/>
      <c r="AM2359" s="23"/>
      <c r="AN2359" s="23"/>
      <c r="AO2359" s="23"/>
      <c r="AP2359" s="23"/>
      <c r="AQ2359" s="23"/>
      <c r="AR2359" s="23"/>
      <c r="AS2359" s="23"/>
      <c r="AT2359" s="23"/>
      <c r="AU2359" s="23"/>
      <c r="AV2359" s="23"/>
      <c r="AW2359" s="23"/>
      <c r="AX2359" s="23"/>
      <c r="AY2359" s="23"/>
      <c r="AZ2359" s="23"/>
      <c r="BA2359" s="23"/>
      <c r="BB2359" s="23"/>
    </row>
    <row r="2360" spans="5:54" x14ac:dyDescent="0.35"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  <c r="AA2360" s="23"/>
      <c r="AB2360" s="23"/>
      <c r="AC2360" s="23"/>
      <c r="AD2360" s="23"/>
      <c r="AE2360" s="23"/>
      <c r="AF2360" s="23"/>
      <c r="AG2360" s="23"/>
      <c r="AH2360" s="23"/>
      <c r="AI2360" s="23"/>
      <c r="AJ2360" s="23"/>
      <c r="AK2360" s="23"/>
      <c r="AL2360" s="23"/>
      <c r="AM2360" s="23"/>
      <c r="AN2360" s="23"/>
      <c r="AO2360" s="23"/>
      <c r="AP2360" s="23"/>
      <c r="AQ2360" s="23"/>
      <c r="AR2360" s="23"/>
      <c r="AS2360" s="23"/>
      <c r="AT2360" s="23"/>
      <c r="AU2360" s="23"/>
      <c r="AV2360" s="23"/>
      <c r="AW2360" s="23"/>
      <c r="AX2360" s="23"/>
      <c r="AY2360" s="23"/>
      <c r="AZ2360" s="23"/>
      <c r="BA2360" s="23"/>
      <c r="BB2360" s="23"/>
    </row>
    <row r="2361" spans="5:54" x14ac:dyDescent="0.35"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  <c r="AA2361" s="23"/>
      <c r="AB2361" s="23"/>
      <c r="AC2361" s="23"/>
      <c r="AD2361" s="23"/>
      <c r="AE2361" s="23"/>
      <c r="AF2361" s="23"/>
      <c r="AG2361" s="23"/>
      <c r="AH2361" s="23"/>
      <c r="AI2361" s="23"/>
      <c r="AJ2361" s="23"/>
      <c r="AK2361" s="23"/>
      <c r="AL2361" s="23"/>
      <c r="AM2361" s="23"/>
      <c r="AN2361" s="23"/>
      <c r="AO2361" s="23"/>
      <c r="AP2361" s="23"/>
      <c r="AQ2361" s="23"/>
      <c r="AR2361" s="23"/>
      <c r="AS2361" s="23"/>
      <c r="AT2361" s="23"/>
      <c r="AU2361" s="23"/>
      <c r="AV2361" s="23"/>
      <c r="AW2361" s="23"/>
      <c r="AX2361" s="23"/>
      <c r="AY2361" s="23"/>
      <c r="AZ2361" s="23"/>
      <c r="BA2361" s="23"/>
      <c r="BB2361" s="23"/>
    </row>
    <row r="2362" spans="5:54" x14ac:dyDescent="0.35"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  <c r="AA2362" s="23"/>
      <c r="AB2362" s="23"/>
      <c r="AC2362" s="23"/>
      <c r="AD2362" s="23"/>
      <c r="AE2362" s="23"/>
      <c r="AF2362" s="23"/>
      <c r="AG2362" s="23"/>
      <c r="AH2362" s="23"/>
      <c r="AI2362" s="23"/>
      <c r="AJ2362" s="23"/>
      <c r="AK2362" s="23"/>
      <c r="AL2362" s="23"/>
      <c r="AM2362" s="23"/>
      <c r="AN2362" s="23"/>
      <c r="AO2362" s="23"/>
      <c r="AP2362" s="23"/>
      <c r="AQ2362" s="23"/>
      <c r="AR2362" s="23"/>
      <c r="AS2362" s="23"/>
      <c r="AT2362" s="23"/>
      <c r="AU2362" s="23"/>
      <c r="AV2362" s="23"/>
      <c r="AW2362" s="23"/>
      <c r="AX2362" s="23"/>
      <c r="AY2362" s="23"/>
      <c r="AZ2362" s="23"/>
      <c r="BA2362" s="23"/>
      <c r="BB2362" s="23"/>
    </row>
    <row r="2363" spans="5:54" x14ac:dyDescent="0.35"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  <c r="AA2363" s="23"/>
      <c r="AB2363" s="23"/>
      <c r="AC2363" s="23"/>
      <c r="AD2363" s="23"/>
      <c r="AE2363" s="23"/>
      <c r="AF2363" s="23"/>
      <c r="AG2363" s="23"/>
      <c r="AH2363" s="23"/>
      <c r="AI2363" s="23"/>
      <c r="AJ2363" s="23"/>
      <c r="AK2363" s="23"/>
      <c r="AL2363" s="23"/>
      <c r="AM2363" s="23"/>
      <c r="AN2363" s="23"/>
      <c r="AO2363" s="23"/>
      <c r="AP2363" s="23"/>
      <c r="AQ2363" s="23"/>
      <c r="AR2363" s="23"/>
      <c r="AS2363" s="23"/>
      <c r="AT2363" s="23"/>
      <c r="AU2363" s="23"/>
      <c r="AV2363" s="23"/>
      <c r="AW2363" s="23"/>
      <c r="AX2363" s="23"/>
      <c r="AY2363" s="23"/>
      <c r="AZ2363" s="23"/>
      <c r="BA2363" s="23"/>
      <c r="BB2363" s="23"/>
    </row>
    <row r="2364" spans="5:54" x14ac:dyDescent="0.35"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  <c r="AA2364" s="23"/>
      <c r="AB2364" s="23"/>
      <c r="AC2364" s="23"/>
      <c r="AD2364" s="23"/>
      <c r="AE2364" s="23"/>
      <c r="AF2364" s="23"/>
      <c r="AG2364" s="23"/>
      <c r="AH2364" s="23"/>
      <c r="AI2364" s="23"/>
      <c r="AJ2364" s="23"/>
      <c r="AK2364" s="23"/>
      <c r="AL2364" s="23"/>
      <c r="AM2364" s="23"/>
      <c r="AN2364" s="23"/>
      <c r="AO2364" s="23"/>
      <c r="AP2364" s="23"/>
      <c r="AQ2364" s="23"/>
      <c r="AR2364" s="23"/>
      <c r="AS2364" s="23"/>
      <c r="AT2364" s="23"/>
      <c r="AU2364" s="23"/>
      <c r="AV2364" s="23"/>
      <c r="AW2364" s="23"/>
      <c r="AX2364" s="23"/>
      <c r="AY2364" s="23"/>
      <c r="AZ2364" s="23"/>
      <c r="BA2364" s="23"/>
      <c r="BB2364" s="23"/>
    </row>
    <row r="2365" spans="5:54" x14ac:dyDescent="0.35"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  <c r="AA2365" s="23"/>
      <c r="AB2365" s="23"/>
      <c r="AC2365" s="23"/>
      <c r="AD2365" s="23"/>
      <c r="AE2365" s="23"/>
      <c r="AF2365" s="23"/>
      <c r="AG2365" s="23"/>
      <c r="AH2365" s="23"/>
      <c r="AI2365" s="23"/>
      <c r="AJ2365" s="23"/>
      <c r="AK2365" s="23"/>
      <c r="AL2365" s="23"/>
      <c r="AM2365" s="23"/>
      <c r="AN2365" s="23"/>
      <c r="AO2365" s="23"/>
      <c r="AP2365" s="23"/>
      <c r="AQ2365" s="23"/>
      <c r="AR2365" s="23"/>
      <c r="AS2365" s="23"/>
      <c r="AT2365" s="23"/>
      <c r="AU2365" s="23"/>
      <c r="AV2365" s="23"/>
      <c r="AW2365" s="23"/>
      <c r="AX2365" s="23"/>
      <c r="AY2365" s="23"/>
      <c r="AZ2365" s="23"/>
      <c r="BA2365" s="23"/>
      <c r="BB2365" s="23"/>
    </row>
    <row r="2366" spans="5:54" x14ac:dyDescent="0.35"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  <c r="AA2366" s="23"/>
      <c r="AB2366" s="23"/>
      <c r="AC2366" s="23"/>
      <c r="AD2366" s="23"/>
      <c r="AE2366" s="23"/>
      <c r="AF2366" s="23"/>
      <c r="AG2366" s="23"/>
      <c r="AH2366" s="23"/>
      <c r="AI2366" s="23"/>
      <c r="AJ2366" s="23"/>
      <c r="AK2366" s="23"/>
      <c r="AL2366" s="23"/>
      <c r="AM2366" s="23"/>
      <c r="AN2366" s="23"/>
      <c r="AO2366" s="23"/>
      <c r="AP2366" s="23"/>
      <c r="AQ2366" s="23"/>
      <c r="AR2366" s="23"/>
      <c r="AS2366" s="23"/>
      <c r="AT2366" s="23"/>
      <c r="AU2366" s="23"/>
      <c r="AV2366" s="23"/>
      <c r="AW2366" s="23"/>
      <c r="AX2366" s="23"/>
      <c r="AY2366" s="23"/>
      <c r="AZ2366" s="23"/>
      <c r="BA2366" s="23"/>
      <c r="BB2366" s="23"/>
    </row>
    <row r="2367" spans="5:54" x14ac:dyDescent="0.35"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  <c r="AA2367" s="23"/>
      <c r="AB2367" s="23"/>
      <c r="AC2367" s="23"/>
      <c r="AD2367" s="23"/>
      <c r="AE2367" s="23"/>
      <c r="AF2367" s="23"/>
      <c r="AG2367" s="23"/>
      <c r="AH2367" s="23"/>
      <c r="AI2367" s="23"/>
      <c r="AJ2367" s="23"/>
      <c r="AK2367" s="23"/>
      <c r="AL2367" s="23"/>
      <c r="AM2367" s="23"/>
      <c r="AN2367" s="23"/>
      <c r="AO2367" s="23"/>
      <c r="AP2367" s="23"/>
      <c r="AQ2367" s="23"/>
      <c r="AR2367" s="23"/>
      <c r="AS2367" s="23"/>
      <c r="AT2367" s="23"/>
      <c r="AU2367" s="23"/>
      <c r="AV2367" s="23"/>
      <c r="AW2367" s="23"/>
      <c r="AX2367" s="23"/>
      <c r="AY2367" s="23"/>
      <c r="AZ2367" s="23"/>
      <c r="BA2367" s="23"/>
      <c r="BB2367" s="23"/>
    </row>
    <row r="2368" spans="5:54" x14ac:dyDescent="0.35"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  <c r="AA2368" s="23"/>
      <c r="AB2368" s="23"/>
      <c r="AC2368" s="23"/>
      <c r="AD2368" s="23"/>
      <c r="AE2368" s="23"/>
      <c r="AF2368" s="23"/>
      <c r="AG2368" s="23"/>
      <c r="AH2368" s="23"/>
      <c r="AI2368" s="23"/>
      <c r="AJ2368" s="23"/>
      <c r="AK2368" s="23"/>
      <c r="AL2368" s="23"/>
      <c r="AM2368" s="23"/>
      <c r="AN2368" s="23"/>
      <c r="AO2368" s="23"/>
      <c r="AP2368" s="23"/>
      <c r="AQ2368" s="23"/>
      <c r="AR2368" s="23"/>
      <c r="AS2368" s="23"/>
      <c r="AT2368" s="23"/>
      <c r="AU2368" s="23"/>
      <c r="AV2368" s="23"/>
      <c r="AW2368" s="23"/>
      <c r="AX2368" s="23"/>
      <c r="AY2368" s="23"/>
      <c r="AZ2368" s="23"/>
      <c r="BA2368" s="23"/>
      <c r="BB2368" s="23"/>
    </row>
    <row r="2369" spans="5:54" x14ac:dyDescent="0.35"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  <c r="AA2369" s="23"/>
      <c r="AB2369" s="23"/>
      <c r="AC2369" s="23"/>
      <c r="AD2369" s="23"/>
      <c r="AE2369" s="23"/>
      <c r="AF2369" s="23"/>
      <c r="AG2369" s="23"/>
      <c r="AH2369" s="23"/>
      <c r="AI2369" s="23"/>
      <c r="AJ2369" s="23"/>
      <c r="AK2369" s="23"/>
      <c r="AL2369" s="23"/>
      <c r="AM2369" s="23"/>
      <c r="AN2369" s="23"/>
      <c r="AO2369" s="23"/>
      <c r="AP2369" s="23"/>
      <c r="AQ2369" s="23"/>
      <c r="AR2369" s="23"/>
      <c r="AS2369" s="23"/>
      <c r="AT2369" s="23"/>
      <c r="AU2369" s="23"/>
      <c r="AV2369" s="23"/>
      <c r="AW2369" s="23"/>
      <c r="AX2369" s="23"/>
      <c r="AY2369" s="23"/>
      <c r="AZ2369" s="23"/>
      <c r="BA2369" s="23"/>
      <c r="BB2369" s="23"/>
    </row>
    <row r="2370" spans="5:54" x14ac:dyDescent="0.35"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  <c r="AA2370" s="23"/>
      <c r="AB2370" s="23"/>
      <c r="AC2370" s="23"/>
      <c r="AD2370" s="23"/>
      <c r="AE2370" s="23"/>
      <c r="AF2370" s="23"/>
      <c r="AG2370" s="23"/>
      <c r="AH2370" s="23"/>
      <c r="AI2370" s="23"/>
      <c r="AJ2370" s="23"/>
      <c r="AK2370" s="23"/>
      <c r="AL2370" s="23"/>
      <c r="AM2370" s="23"/>
      <c r="AN2370" s="23"/>
      <c r="AO2370" s="23"/>
      <c r="AP2370" s="23"/>
      <c r="AQ2370" s="23"/>
      <c r="AR2370" s="23"/>
      <c r="AS2370" s="23"/>
      <c r="AT2370" s="23"/>
      <c r="AU2370" s="23"/>
      <c r="AV2370" s="23"/>
      <c r="AW2370" s="23"/>
      <c r="AX2370" s="23"/>
      <c r="AY2370" s="23"/>
      <c r="AZ2370" s="23"/>
      <c r="BA2370" s="23"/>
      <c r="BB2370" s="23"/>
    </row>
    <row r="2371" spans="5:54" x14ac:dyDescent="0.35"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  <c r="AA2371" s="23"/>
      <c r="AB2371" s="23"/>
      <c r="AC2371" s="23"/>
      <c r="AD2371" s="23"/>
      <c r="AE2371" s="23"/>
      <c r="AF2371" s="23"/>
      <c r="AG2371" s="23"/>
      <c r="AH2371" s="23"/>
      <c r="AI2371" s="23"/>
      <c r="AJ2371" s="23"/>
      <c r="AK2371" s="23"/>
      <c r="AL2371" s="23"/>
      <c r="AM2371" s="23"/>
      <c r="AN2371" s="23"/>
      <c r="AO2371" s="23"/>
      <c r="AP2371" s="23"/>
      <c r="AQ2371" s="23"/>
      <c r="AR2371" s="23"/>
      <c r="AS2371" s="23"/>
      <c r="AT2371" s="23"/>
      <c r="AU2371" s="23"/>
      <c r="AV2371" s="23"/>
      <c r="AW2371" s="23"/>
      <c r="AX2371" s="23"/>
      <c r="AY2371" s="23"/>
      <c r="AZ2371" s="23"/>
      <c r="BA2371" s="23"/>
      <c r="BB2371" s="23"/>
    </row>
    <row r="2372" spans="5:54" x14ac:dyDescent="0.35"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  <c r="AA2372" s="23"/>
      <c r="AB2372" s="23"/>
      <c r="AC2372" s="23"/>
      <c r="AD2372" s="23"/>
      <c r="AE2372" s="23"/>
      <c r="AF2372" s="23"/>
      <c r="AG2372" s="23"/>
      <c r="AH2372" s="23"/>
      <c r="AI2372" s="23"/>
      <c r="AJ2372" s="23"/>
      <c r="AK2372" s="23"/>
      <c r="AL2372" s="23"/>
      <c r="AM2372" s="23"/>
      <c r="AN2372" s="23"/>
      <c r="AO2372" s="23"/>
      <c r="AP2372" s="23"/>
      <c r="AQ2372" s="23"/>
      <c r="AR2372" s="23"/>
      <c r="AS2372" s="23"/>
      <c r="AT2372" s="23"/>
      <c r="AU2372" s="23"/>
      <c r="AV2372" s="23"/>
      <c r="AW2372" s="23"/>
      <c r="AX2372" s="23"/>
      <c r="AY2372" s="23"/>
      <c r="AZ2372" s="23"/>
      <c r="BA2372" s="23"/>
      <c r="BB2372" s="23"/>
    </row>
    <row r="2373" spans="5:54" x14ac:dyDescent="0.35"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  <c r="AA2373" s="23"/>
      <c r="AB2373" s="23"/>
      <c r="AC2373" s="23"/>
      <c r="AD2373" s="23"/>
      <c r="AE2373" s="23"/>
      <c r="AF2373" s="23"/>
      <c r="AG2373" s="23"/>
      <c r="AH2373" s="23"/>
      <c r="AI2373" s="23"/>
      <c r="AJ2373" s="23"/>
      <c r="AK2373" s="23"/>
      <c r="AL2373" s="23"/>
      <c r="AM2373" s="23"/>
      <c r="AN2373" s="23"/>
      <c r="AO2373" s="23"/>
      <c r="AP2373" s="23"/>
      <c r="AQ2373" s="23"/>
      <c r="AR2373" s="23"/>
      <c r="AS2373" s="23"/>
      <c r="AT2373" s="23"/>
      <c r="AU2373" s="23"/>
      <c r="AV2373" s="23"/>
      <c r="AW2373" s="23"/>
      <c r="AX2373" s="23"/>
      <c r="AY2373" s="23"/>
      <c r="AZ2373" s="23"/>
      <c r="BA2373" s="23"/>
      <c r="BB2373" s="23"/>
    </row>
    <row r="2374" spans="5:54" x14ac:dyDescent="0.35"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  <c r="AA2374" s="23"/>
      <c r="AB2374" s="23"/>
      <c r="AC2374" s="23"/>
      <c r="AD2374" s="23"/>
      <c r="AE2374" s="23"/>
      <c r="AF2374" s="23"/>
      <c r="AG2374" s="23"/>
      <c r="AH2374" s="23"/>
      <c r="AI2374" s="23"/>
      <c r="AJ2374" s="23"/>
      <c r="AK2374" s="23"/>
      <c r="AL2374" s="23"/>
      <c r="AM2374" s="23"/>
      <c r="AN2374" s="23"/>
      <c r="AO2374" s="23"/>
      <c r="AP2374" s="23"/>
      <c r="AQ2374" s="23"/>
      <c r="AR2374" s="23"/>
      <c r="AS2374" s="23"/>
      <c r="AT2374" s="23"/>
      <c r="AU2374" s="23"/>
      <c r="AV2374" s="23"/>
      <c r="AW2374" s="23"/>
      <c r="AX2374" s="23"/>
      <c r="AY2374" s="23"/>
      <c r="AZ2374" s="23"/>
      <c r="BA2374" s="23"/>
      <c r="BB2374" s="23"/>
    </row>
    <row r="2375" spans="5:54" x14ac:dyDescent="0.35"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  <c r="AA2375" s="23"/>
      <c r="AB2375" s="23"/>
      <c r="AC2375" s="23"/>
      <c r="AD2375" s="23"/>
      <c r="AE2375" s="23"/>
      <c r="AF2375" s="23"/>
      <c r="AG2375" s="23"/>
      <c r="AH2375" s="23"/>
      <c r="AI2375" s="23"/>
      <c r="AJ2375" s="23"/>
      <c r="AK2375" s="23"/>
      <c r="AL2375" s="23"/>
      <c r="AM2375" s="23"/>
      <c r="AN2375" s="23"/>
      <c r="AO2375" s="23"/>
      <c r="AP2375" s="23"/>
      <c r="AQ2375" s="23"/>
      <c r="AR2375" s="23"/>
      <c r="AS2375" s="23"/>
      <c r="AT2375" s="23"/>
      <c r="AU2375" s="23"/>
      <c r="AV2375" s="23"/>
      <c r="AW2375" s="23"/>
      <c r="AX2375" s="23"/>
      <c r="AY2375" s="23"/>
      <c r="AZ2375" s="23"/>
      <c r="BA2375" s="23"/>
      <c r="BB2375" s="23"/>
    </row>
    <row r="2376" spans="5:54" x14ac:dyDescent="0.35"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  <c r="AA2376" s="23"/>
      <c r="AB2376" s="23"/>
      <c r="AC2376" s="23"/>
      <c r="AD2376" s="23"/>
      <c r="AE2376" s="23"/>
      <c r="AF2376" s="23"/>
      <c r="AG2376" s="23"/>
      <c r="AH2376" s="23"/>
      <c r="AI2376" s="23"/>
      <c r="AJ2376" s="23"/>
      <c r="AK2376" s="23"/>
      <c r="AL2376" s="23"/>
      <c r="AM2376" s="23"/>
      <c r="AN2376" s="23"/>
      <c r="AO2376" s="23"/>
      <c r="AP2376" s="23"/>
      <c r="AQ2376" s="23"/>
      <c r="AR2376" s="23"/>
      <c r="AS2376" s="23"/>
      <c r="AT2376" s="23"/>
      <c r="AU2376" s="23"/>
      <c r="AV2376" s="23"/>
      <c r="AW2376" s="23"/>
      <c r="AX2376" s="23"/>
      <c r="AY2376" s="23"/>
      <c r="AZ2376" s="23"/>
      <c r="BA2376" s="23"/>
      <c r="BB2376" s="23"/>
    </row>
    <row r="2377" spans="5:54" x14ac:dyDescent="0.35"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  <c r="AA2377" s="23"/>
      <c r="AB2377" s="23"/>
      <c r="AC2377" s="23"/>
      <c r="AD2377" s="23"/>
      <c r="AE2377" s="23"/>
      <c r="AF2377" s="23"/>
      <c r="AG2377" s="23"/>
      <c r="AH2377" s="23"/>
      <c r="AI2377" s="23"/>
      <c r="AJ2377" s="23"/>
      <c r="AK2377" s="23"/>
      <c r="AL2377" s="23"/>
      <c r="AM2377" s="23"/>
      <c r="AN2377" s="23"/>
      <c r="AO2377" s="23"/>
      <c r="AP2377" s="23"/>
      <c r="AQ2377" s="23"/>
      <c r="AR2377" s="23"/>
      <c r="AS2377" s="23"/>
      <c r="AT2377" s="23"/>
      <c r="AU2377" s="23"/>
      <c r="AV2377" s="23"/>
      <c r="AW2377" s="23"/>
      <c r="AX2377" s="23"/>
      <c r="AY2377" s="23"/>
      <c r="AZ2377" s="23"/>
      <c r="BA2377" s="23"/>
      <c r="BB2377" s="23"/>
    </row>
    <row r="2378" spans="5:54" x14ac:dyDescent="0.35"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  <c r="AA2378" s="23"/>
      <c r="AB2378" s="23"/>
      <c r="AC2378" s="23"/>
      <c r="AD2378" s="23"/>
      <c r="AE2378" s="23"/>
      <c r="AF2378" s="23"/>
      <c r="AG2378" s="23"/>
      <c r="AH2378" s="23"/>
      <c r="AI2378" s="23"/>
      <c r="AJ2378" s="23"/>
      <c r="AK2378" s="23"/>
      <c r="AL2378" s="23"/>
      <c r="AM2378" s="23"/>
      <c r="AN2378" s="23"/>
      <c r="AO2378" s="23"/>
      <c r="AP2378" s="23"/>
      <c r="AQ2378" s="23"/>
      <c r="AR2378" s="23"/>
      <c r="AS2378" s="23"/>
      <c r="AT2378" s="23"/>
      <c r="AU2378" s="23"/>
      <c r="AV2378" s="23"/>
      <c r="AW2378" s="23"/>
      <c r="AX2378" s="23"/>
      <c r="AY2378" s="23"/>
      <c r="AZ2378" s="23"/>
      <c r="BA2378" s="23"/>
      <c r="BB2378" s="23"/>
    </row>
    <row r="2379" spans="5:54" x14ac:dyDescent="0.35"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  <c r="AA2379" s="23"/>
      <c r="AB2379" s="23"/>
      <c r="AC2379" s="23"/>
      <c r="AD2379" s="23"/>
      <c r="AE2379" s="23"/>
      <c r="AF2379" s="23"/>
      <c r="AG2379" s="23"/>
      <c r="AH2379" s="23"/>
      <c r="AI2379" s="23"/>
      <c r="AJ2379" s="23"/>
      <c r="AK2379" s="23"/>
      <c r="AL2379" s="23"/>
      <c r="AM2379" s="23"/>
      <c r="AN2379" s="23"/>
      <c r="AO2379" s="23"/>
      <c r="AP2379" s="23"/>
      <c r="AQ2379" s="23"/>
      <c r="AR2379" s="23"/>
      <c r="AS2379" s="23"/>
      <c r="AT2379" s="23"/>
      <c r="AU2379" s="23"/>
      <c r="AV2379" s="23"/>
      <c r="AW2379" s="23"/>
      <c r="AX2379" s="23"/>
      <c r="AY2379" s="23"/>
      <c r="AZ2379" s="23"/>
      <c r="BA2379" s="23"/>
      <c r="BB2379" s="23"/>
    </row>
    <row r="2380" spans="5:54" x14ac:dyDescent="0.35"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  <c r="AA2380" s="23"/>
      <c r="AB2380" s="23"/>
      <c r="AC2380" s="23"/>
      <c r="AD2380" s="23"/>
      <c r="AE2380" s="23"/>
      <c r="AF2380" s="23"/>
      <c r="AG2380" s="23"/>
      <c r="AH2380" s="23"/>
      <c r="AI2380" s="23"/>
      <c r="AJ2380" s="23"/>
      <c r="AK2380" s="23"/>
      <c r="AL2380" s="23"/>
      <c r="AM2380" s="23"/>
      <c r="AN2380" s="23"/>
      <c r="AO2380" s="23"/>
      <c r="AP2380" s="23"/>
      <c r="AQ2380" s="23"/>
      <c r="AR2380" s="23"/>
      <c r="AS2380" s="23"/>
      <c r="AT2380" s="23"/>
      <c r="AU2380" s="23"/>
      <c r="AV2380" s="23"/>
      <c r="AW2380" s="23"/>
      <c r="AX2380" s="23"/>
      <c r="AY2380" s="23"/>
      <c r="AZ2380" s="23"/>
      <c r="BA2380" s="23"/>
      <c r="BB2380" s="23"/>
    </row>
    <row r="2381" spans="5:54" x14ac:dyDescent="0.35"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  <c r="AA2381" s="23"/>
      <c r="AB2381" s="23"/>
      <c r="AC2381" s="23"/>
      <c r="AD2381" s="23"/>
      <c r="AE2381" s="23"/>
      <c r="AF2381" s="23"/>
      <c r="AG2381" s="23"/>
      <c r="AH2381" s="23"/>
      <c r="AI2381" s="23"/>
      <c r="AJ2381" s="23"/>
      <c r="AK2381" s="23"/>
      <c r="AL2381" s="23"/>
      <c r="AM2381" s="23"/>
      <c r="AN2381" s="23"/>
      <c r="AO2381" s="23"/>
      <c r="AP2381" s="23"/>
      <c r="AQ2381" s="23"/>
      <c r="AR2381" s="23"/>
      <c r="AS2381" s="23"/>
      <c r="AT2381" s="23"/>
      <c r="AU2381" s="23"/>
      <c r="AV2381" s="23"/>
      <c r="AW2381" s="23"/>
      <c r="AX2381" s="23"/>
      <c r="AY2381" s="23"/>
      <c r="AZ2381" s="23"/>
      <c r="BA2381" s="23"/>
      <c r="BB2381" s="23"/>
    </row>
    <row r="2382" spans="5:54" x14ac:dyDescent="0.35"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  <c r="AA2382" s="23"/>
      <c r="AB2382" s="23"/>
      <c r="AC2382" s="23"/>
      <c r="AD2382" s="23"/>
      <c r="AE2382" s="23"/>
      <c r="AF2382" s="23"/>
      <c r="AG2382" s="23"/>
      <c r="AH2382" s="23"/>
      <c r="AI2382" s="23"/>
      <c r="AJ2382" s="23"/>
      <c r="AK2382" s="23"/>
      <c r="AL2382" s="23"/>
      <c r="AM2382" s="23"/>
      <c r="AN2382" s="23"/>
      <c r="AO2382" s="23"/>
      <c r="AP2382" s="23"/>
      <c r="AQ2382" s="23"/>
      <c r="AR2382" s="23"/>
      <c r="AS2382" s="23"/>
      <c r="AT2382" s="23"/>
      <c r="AU2382" s="23"/>
      <c r="AV2382" s="23"/>
      <c r="AW2382" s="23"/>
      <c r="AX2382" s="23"/>
      <c r="AY2382" s="23"/>
      <c r="AZ2382" s="23"/>
      <c r="BA2382" s="23"/>
      <c r="BB2382" s="23"/>
    </row>
    <row r="2383" spans="5:54" x14ac:dyDescent="0.35"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  <c r="AA2383" s="23"/>
      <c r="AB2383" s="23"/>
      <c r="AC2383" s="23"/>
      <c r="AD2383" s="23"/>
      <c r="AE2383" s="23"/>
      <c r="AF2383" s="23"/>
      <c r="AG2383" s="23"/>
      <c r="AH2383" s="23"/>
      <c r="AI2383" s="23"/>
      <c r="AJ2383" s="23"/>
      <c r="AK2383" s="23"/>
      <c r="AL2383" s="23"/>
      <c r="AM2383" s="23"/>
      <c r="AN2383" s="23"/>
      <c r="AO2383" s="23"/>
      <c r="AP2383" s="23"/>
      <c r="AQ2383" s="23"/>
      <c r="AR2383" s="23"/>
      <c r="AS2383" s="23"/>
      <c r="AT2383" s="23"/>
      <c r="AU2383" s="23"/>
      <c r="AV2383" s="23"/>
      <c r="AW2383" s="23"/>
      <c r="AX2383" s="23"/>
      <c r="AY2383" s="23"/>
      <c r="AZ2383" s="23"/>
      <c r="BA2383" s="23"/>
      <c r="BB2383" s="23"/>
    </row>
    <row r="2384" spans="5:54" x14ac:dyDescent="0.35"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  <c r="AA2384" s="23"/>
      <c r="AB2384" s="23"/>
      <c r="AC2384" s="23"/>
      <c r="AD2384" s="23"/>
      <c r="AE2384" s="23"/>
      <c r="AF2384" s="23"/>
      <c r="AG2384" s="23"/>
      <c r="AH2384" s="23"/>
      <c r="AI2384" s="23"/>
      <c r="AJ2384" s="23"/>
      <c r="AK2384" s="23"/>
      <c r="AL2384" s="23"/>
      <c r="AM2384" s="23"/>
      <c r="AN2384" s="23"/>
      <c r="AO2384" s="23"/>
      <c r="AP2384" s="23"/>
      <c r="AQ2384" s="23"/>
      <c r="AR2384" s="23"/>
      <c r="AS2384" s="23"/>
      <c r="AT2384" s="23"/>
      <c r="AU2384" s="23"/>
      <c r="AV2384" s="23"/>
      <c r="AW2384" s="23"/>
      <c r="AX2384" s="23"/>
      <c r="AY2384" s="23"/>
      <c r="AZ2384" s="23"/>
      <c r="BA2384" s="23"/>
      <c r="BB2384" s="23"/>
    </row>
    <row r="2385" spans="5:54" x14ac:dyDescent="0.35"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  <c r="AA2385" s="23"/>
      <c r="AB2385" s="23"/>
      <c r="AC2385" s="23"/>
      <c r="AD2385" s="23"/>
      <c r="AE2385" s="23"/>
      <c r="AF2385" s="23"/>
      <c r="AG2385" s="23"/>
      <c r="AH2385" s="23"/>
      <c r="AI2385" s="23"/>
      <c r="AJ2385" s="23"/>
      <c r="AK2385" s="23"/>
      <c r="AL2385" s="23"/>
      <c r="AM2385" s="23"/>
      <c r="AN2385" s="23"/>
      <c r="AO2385" s="23"/>
      <c r="AP2385" s="23"/>
      <c r="AQ2385" s="23"/>
      <c r="AR2385" s="23"/>
      <c r="AS2385" s="23"/>
      <c r="AT2385" s="23"/>
      <c r="AU2385" s="23"/>
      <c r="AV2385" s="23"/>
      <c r="AW2385" s="23"/>
      <c r="AX2385" s="23"/>
      <c r="AY2385" s="23"/>
      <c r="AZ2385" s="23"/>
      <c r="BA2385" s="23"/>
      <c r="BB2385" s="23"/>
    </row>
    <row r="2386" spans="5:54" x14ac:dyDescent="0.35"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  <c r="AA2386" s="23"/>
      <c r="AB2386" s="23"/>
      <c r="AC2386" s="23"/>
      <c r="AD2386" s="23"/>
      <c r="AE2386" s="23"/>
      <c r="AF2386" s="23"/>
      <c r="AG2386" s="23"/>
      <c r="AH2386" s="23"/>
      <c r="AI2386" s="23"/>
      <c r="AJ2386" s="23"/>
      <c r="AK2386" s="23"/>
      <c r="AL2386" s="23"/>
      <c r="AM2386" s="23"/>
      <c r="AN2386" s="23"/>
      <c r="AO2386" s="23"/>
      <c r="AP2386" s="23"/>
      <c r="AQ2386" s="23"/>
      <c r="AR2386" s="23"/>
      <c r="AS2386" s="23"/>
      <c r="AT2386" s="23"/>
      <c r="AU2386" s="23"/>
      <c r="AV2386" s="23"/>
      <c r="AW2386" s="23"/>
      <c r="AX2386" s="23"/>
      <c r="AY2386" s="23"/>
      <c r="AZ2386" s="23"/>
      <c r="BA2386" s="23"/>
      <c r="BB2386" s="23"/>
    </row>
    <row r="2387" spans="5:54" x14ac:dyDescent="0.35"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  <c r="AA2387" s="23"/>
      <c r="AB2387" s="23"/>
      <c r="AC2387" s="23"/>
      <c r="AD2387" s="23"/>
      <c r="AE2387" s="23"/>
      <c r="AF2387" s="23"/>
      <c r="AG2387" s="23"/>
      <c r="AH2387" s="23"/>
      <c r="AI2387" s="23"/>
      <c r="AJ2387" s="23"/>
      <c r="AK2387" s="23"/>
      <c r="AL2387" s="23"/>
      <c r="AM2387" s="23"/>
      <c r="AN2387" s="23"/>
      <c r="AO2387" s="23"/>
      <c r="AP2387" s="23"/>
      <c r="AQ2387" s="23"/>
      <c r="AR2387" s="23"/>
      <c r="AS2387" s="23"/>
      <c r="AT2387" s="23"/>
      <c r="AU2387" s="23"/>
      <c r="AV2387" s="23"/>
      <c r="AW2387" s="23"/>
      <c r="AX2387" s="23"/>
      <c r="AY2387" s="23"/>
      <c r="AZ2387" s="23"/>
      <c r="BA2387" s="23"/>
      <c r="BB2387" s="23"/>
    </row>
    <row r="2388" spans="5:54" x14ac:dyDescent="0.35"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  <c r="AA2388" s="23"/>
      <c r="AB2388" s="23"/>
      <c r="AC2388" s="23"/>
      <c r="AD2388" s="23"/>
      <c r="AE2388" s="23"/>
      <c r="AF2388" s="23"/>
      <c r="AG2388" s="23"/>
      <c r="AH2388" s="23"/>
      <c r="AI2388" s="23"/>
      <c r="AJ2388" s="23"/>
      <c r="AK2388" s="23"/>
      <c r="AL2388" s="23"/>
      <c r="AM2388" s="23"/>
      <c r="AN2388" s="23"/>
      <c r="AO2388" s="23"/>
      <c r="AP2388" s="23"/>
      <c r="AQ2388" s="23"/>
      <c r="AR2388" s="23"/>
      <c r="AS2388" s="23"/>
      <c r="AT2388" s="23"/>
      <c r="AU2388" s="23"/>
      <c r="AV2388" s="23"/>
      <c r="AW2388" s="23"/>
      <c r="AX2388" s="23"/>
      <c r="AY2388" s="23"/>
      <c r="AZ2388" s="23"/>
      <c r="BA2388" s="23"/>
      <c r="BB2388" s="23"/>
    </row>
    <row r="2389" spans="5:54" x14ac:dyDescent="0.35"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  <c r="AA2389" s="23"/>
      <c r="AB2389" s="23"/>
      <c r="AC2389" s="23"/>
      <c r="AD2389" s="23"/>
      <c r="AE2389" s="23"/>
      <c r="AF2389" s="23"/>
      <c r="AG2389" s="23"/>
      <c r="AH2389" s="23"/>
      <c r="AI2389" s="23"/>
      <c r="AJ2389" s="23"/>
      <c r="AK2389" s="23"/>
      <c r="AL2389" s="23"/>
      <c r="AM2389" s="23"/>
      <c r="AN2389" s="23"/>
      <c r="AO2389" s="23"/>
      <c r="AP2389" s="23"/>
      <c r="AQ2389" s="23"/>
      <c r="AR2389" s="23"/>
      <c r="AS2389" s="23"/>
      <c r="AT2389" s="23"/>
      <c r="AU2389" s="23"/>
      <c r="AV2389" s="23"/>
      <c r="AW2389" s="23"/>
      <c r="AX2389" s="23"/>
      <c r="AY2389" s="23"/>
      <c r="AZ2389" s="23"/>
      <c r="BA2389" s="23"/>
      <c r="BB2389" s="23"/>
    </row>
    <row r="2390" spans="5:54" x14ac:dyDescent="0.35"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  <c r="AA2390" s="23"/>
      <c r="AB2390" s="23"/>
      <c r="AC2390" s="23"/>
      <c r="AD2390" s="23"/>
      <c r="AE2390" s="23"/>
      <c r="AF2390" s="23"/>
      <c r="AG2390" s="23"/>
      <c r="AH2390" s="23"/>
      <c r="AI2390" s="23"/>
      <c r="AJ2390" s="23"/>
      <c r="AK2390" s="23"/>
      <c r="AL2390" s="23"/>
      <c r="AM2390" s="23"/>
      <c r="AN2390" s="23"/>
      <c r="AO2390" s="23"/>
      <c r="AP2390" s="23"/>
      <c r="AQ2390" s="23"/>
      <c r="AR2390" s="23"/>
      <c r="AS2390" s="23"/>
      <c r="AT2390" s="23"/>
      <c r="AU2390" s="23"/>
      <c r="AV2390" s="23"/>
      <c r="AW2390" s="23"/>
      <c r="AX2390" s="23"/>
      <c r="AY2390" s="23"/>
      <c r="AZ2390" s="23"/>
      <c r="BA2390" s="23"/>
      <c r="BB2390" s="23"/>
    </row>
    <row r="2391" spans="5:54" x14ac:dyDescent="0.35"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  <c r="AA2391" s="23"/>
      <c r="AB2391" s="23"/>
      <c r="AC2391" s="23"/>
      <c r="AD2391" s="23"/>
      <c r="AE2391" s="23"/>
      <c r="AF2391" s="23"/>
      <c r="AG2391" s="23"/>
      <c r="AH2391" s="23"/>
      <c r="AI2391" s="23"/>
      <c r="AJ2391" s="23"/>
      <c r="AK2391" s="23"/>
      <c r="AL2391" s="23"/>
      <c r="AM2391" s="23"/>
      <c r="AN2391" s="23"/>
      <c r="AO2391" s="23"/>
      <c r="AP2391" s="23"/>
      <c r="AQ2391" s="23"/>
      <c r="AR2391" s="23"/>
      <c r="AS2391" s="23"/>
      <c r="AT2391" s="23"/>
      <c r="AU2391" s="23"/>
      <c r="AV2391" s="23"/>
      <c r="AW2391" s="23"/>
      <c r="AX2391" s="23"/>
      <c r="AY2391" s="23"/>
      <c r="AZ2391" s="23"/>
      <c r="BA2391" s="23"/>
      <c r="BB2391" s="23"/>
    </row>
    <row r="2392" spans="5:54" x14ac:dyDescent="0.35"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  <c r="AA2392" s="23"/>
      <c r="AB2392" s="23"/>
      <c r="AC2392" s="23"/>
      <c r="AD2392" s="23"/>
      <c r="AE2392" s="23"/>
      <c r="AF2392" s="23"/>
      <c r="AG2392" s="23"/>
      <c r="AH2392" s="23"/>
      <c r="AI2392" s="23"/>
      <c r="AJ2392" s="23"/>
      <c r="AK2392" s="23"/>
      <c r="AL2392" s="23"/>
      <c r="AM2392" s="23"/>
      <c r="AN2392" s="23"/>
      <c r="AO2392" s="23"/>
      <c r="AP2392" s="23"/>
      <c r="AQ2392" s="23"/>
      <c r="AR2392" s="23"/>
      <c r="AS2392" s="23"/>
      <c r="AT2392" s="23"/>
      <c r="AU2392" s="23"/>
      <c r="AV2392" s="23"/>
      <c r="AW2392" s="23"/>
      <c r="AX2392" s="23"/>
      <c r="AY2392" s="23"/>
      <c r="AZ2392" s="23"/>
      <c r="BA2392" s="23"/>
      <c r="BB2392" s="23"/>
    </row>
    <row r="2393" spans="5:54" x14ac:dyDescent="0.35"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  <c r="AA2393" s="23"/>
      <c r="AB2393" s="23"/>
      <c r="AC2393" s="23"/>
      <c r="AD2393" s="23"/>
      <c r="AE2393" s="23"/>
      <c r="AF2393" s="23"/>
      <c r="AG2393" s="23"/>
      <c r="AH2393" s="23"/>
      <c r="AI2393" s="23"/>
      <c r="AJ2393" s="23"/>
      <c r="AK2393" s="23"/>
      <c r="AL2393" s="23"/>
      <c r="AM2393" s="23"/>
      <c r="AN2393" s="23"/>
      <c r="AO2393" s="23"/>
      <c r="AP2393" s="23"/>
      <c r="AQ2393" s="23"/>
      <c r="AR2393" s="23"/>
      <c r="AS2393" s="23"/>
      <c r="AT2393" s="23"/>
      <c r="AU2393" s="23"/>
      <c r="AV2393" s="23"/>
      <c r="AW2393" s="23"/>
      <c r="AX2393" s="23"/>
      <c r="AY2393" s="23"/>
      <c r="AZ2393" s="23"/>
      <c r="BA2393" s="23"/>
      <c r="BB2393" s="23"/>
    </row>
    <row r="2394" spans="5:54" x14ac:dyDescent="0.35"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  <c r="AA2394" s="23"/>
      <c r="AB2394" s="23"/>
      <c r="AC2394" s="23"/>
      <c r="AD2394" s="23"/>
      <c r="AE2394" s="23"/>
      <c r="AF2394" s="23"/>
      <c r="AG2394" s="23"/>
      <c r="AH2394" s="23"/>
      <c r="AI2394" s="23"/>
      <c r="AJ2394" s="23"/>
      <c r="AK2394" s="23"/>
      <c r="AL2394" s="23"/>
      <c r="AM2394" s="23"/>
      <c r="AN2394" s="23"/>
      <c r="AO2394" s="23"/>
      <c r="AP2394" s="23"/>
      <c r="AQ2394" s="23"/>
      <c r="AR2394" s="23"/>
      <c r="AS2394" s="23"/>
      <c r="AT2394" s="23"/>
      <c r="AU2394" s="23"/>
      <c r="AV2394" s="23"/>
      <c r="AW2394" s="23"/>
      <c r="AX2394" s="23"/>
      <c r="AY2394" s="23"/>
      <c r="AZ2394" s="23"/>
      <c r="BA2394" s="23"/>
      <c r="BB2394" s="23"/>
    </row>
    <row r="2395" spans="5:54" x14ac:dyDescent="0.35"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  <c r="AA2395" s="23"/>
      <c r="AB2395" s="23"/>
      <c r="AC2395" s="23"/>
      <c r="AD2395" s="23"/>
      <c r="AE2395" s="23"/>
      <c r="AF2395" s="23"/>
      <c r="AG2395" s="23"/>
      <c r="AH2395" s="23"/>
      <c r="AI2395" s="23"/>
      <c r="AJ2395" s="23"/>
      <c r="AK2395" s="23"/>
      <c r="AL2395" s="23"/>
      <c r="AM2395" s="23"/>
      <c r="AN2395" s="23"/>
      <c r="AO2395" s="23"/>
      <c r="AP2395" s="23"/>
      <c r="AQ2395" s="23"/>
      <c r="AR2395" s="23"/>
      <c r="AS2395" s="23"/>
      <c r="AT2395" s="23"/>
      <c r="AU2395" s="23"/>
      <c r="AV2395" s="23"/>
      <c r="AW2395" s="23"/>
      <c r="AX2395" s="23"/>
      <c r="AY2395" s="23"/>
      <c r="AZ2395" s="23"/>
      <c r="BA2395" s="23"/>
      <c r="BB2395" s="23"/>
    </row>
    <row r="2396" spans="5:54" x14ac:dyDescent="0.35"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  <c r="AA2396" s="23"/>
      <c r="AB2396" s="23"/>
      <c r="AC2396" s="23"/>
      <c r="AD2396" s="23"/>
      <c r="AE2396" s="23"/>
      <c r="AF2396" s="23"/>
      <c r="AG2396" s="23"/>
      <c r="AH2396" s="23"/>
      <c r="AI2396" s="23"/>
      <c r="AJ2396" s="23"/>
      <c r="AK2396" s="23"/>
      <c r="AL2396" s="23"/>
      <c r="AM2396" s="23"/>
      <c r="AN2396" s="23"/>
      <c r="AO2396" s="23"/>
      <c r="AP2396" s="23"/>
      <c r="AQ2396" s="23"/>
      <c r="AR2396" s="23"/>
      <c r="AS2396" s="23"/>
      <c r="AT2396" s="23"/>
      <c r="AU2396" s="23"/>
      <c r="AV2396" s="23"/>
      <c r="AW2396" s="23"/>
      <c r="AX2396" s="23"/>
      <c r="AY2396" s="23"/>
      <c r="AZ2396" s="23"/>
      <c r="BA2396" s="23"/>
      <c r="BB2396" s="23"/>
    </row>
    <row r="2397" spans="5:54" x14ac:dyDescent="0.35"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  <c r="AA2397" s="23"/>
      <c r="AB2397" s="23"/>
      <c r="AC2397" s="23"/>
      <c r="AD2397" s="23"/>
      <c r="AE2397" s="23"/>
      <c r="AF2397" s="23"/>
      <c r="AG2397" s="23"/>
      <c r="AH2397" s="23"/>
      <c r="AI2397" s="23"/>
      <c r="AJ2397" s="23"/>
      <c r="AK2397" s="23"/>
      <c r="AL2397" s="23"/>
      <c r="AM2397" s="23"/>
      <c r="AN2397" s="23"/>
      <c r="AO2397" s="23"/>
      <c r="AP2397" s="23"/>
      <c r="AQ2397" s="23"/>
      <c r="AR2397" s="23"/>
      <c r="AS2397" s="23"/>
      <c r="AT2397" s="23"/>
      <c r="AU2397" s="23"/>
      <c r="AV2397" s="23"/>
      <c r="AW2397" s="23"/>
      <c r="AX2397" s="23"/>
      <c r="AY2397" s="23"/>
      <c r="AZ2397" s="23"/>
      <c r="BA2397" s="23"/>
      <c r="BB2397" s="23"/>
    </row>
    <row r="2398" spans="5:54" x14ac:dyDescent="0.35"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  <c r="AA2398" s="23"/>
      <c r="AB2398" s="23"/>
      <c r="AC2398" s="23"/>
      <c r="AD2398" s="23"/>
      <c r="AE2398" s="23"/>
      <c r="AF2398" s="23"/>
      <c r="AG2398" s="23"/>
      <c r="AH2398" s="23"/>
      <c r="AI2398" s="23"/>
      <c r="AJ2398" s="23"/>
      <c r="AK2398" s="23"/>
      <c r="AL2398" s="23"/>
      <c r="AM2398" s="23"/>
      <c r="AN2398" s="23"/>
      <c r="AO2398" s="23"/>
      <c r="AP2398" s="23"/>
      <c r="AQ2398" s="23"/>
      <c r="AR2398" s="23"/>
      <c r="AS2398" s="23"/>
      <c r="AT2398" s="23"/>
      <c r="AU2398" s="23"/>
      <c r="AV2398" s="23"/>
      <c r="AW2398" s="23"/>
      <c r="AX2398" s="23"/>
      <c r="AY2398" s="23"/>
      <c r="AZ2398" s="23"/>
      <c r="BA2398" s="23"/>
      <c r="BB2398" s="23"/>
    </row>
    <row r="2399" spans="5:54" x14ac:dyDescent="0.35"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  <c r="AA2399" s="23"/>
      <c r="AB2399" s="23"/>
      <c r="AC2399" s="23"/>
      <c r="AD2399" s="23"/>
      <c r="AE2399" s="23"/>
      <c r="AF2399" s="23"/>
      <c r="AG2399" s="23"/>
      <c r="AH2399" s="23"/>
      <c r="AI2399" s="23"/>
      <c r="AJ2399" s="23"/>
      <c r="AK2399" s="23"/>
      <c r="AL2399" s="23"/>
      <c r="AM2399" s="23"/>
      <c r="AN2399" s="23"/>
      <c r="AO2399" s="23"/>
      <c r="AP2399" s="23"/>
      <c r="AQ2399" s="23"/>
      <c r="AR2399" s="23"/>
      <c r="AS2399" s="23"/>
      <c r="AT2399" s="23"/>
      <c r="AU2399" s="23"/>
      <c r="AV2399" s="23"/>
      <c r="AW2399" s="23"/>
      <c r="AX2399" s="23"/>
      <c r="AY2399" s="23"/>
      <c r="AZ2399" s="23"/>
      <c r="BA2399" s="23"/>
      <c r="BB2399" s="23"/>
    </row>
    <row r="2400" spans="5:54" x14ac:dyDescent="0.35"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  <c r="AA2400" s="23"/>
      <c r="AB2400" s="23"/>
      <c r="AC2400" s="23"/>
      <c r="AD2400" s="23"/>
      <c r="AE2400" s="23"/>
      <c r="AF2400" s="23"/>
      <c r="AG2400" s="23"/>
      <c r="AH2400" s="23"/>
      <c r="AI2400" s="23"/>
      <c r="AJ2400" s="23"/>
      <c r="AK2400" s="23"/>
      <c r="AL2400" s="23"/>
      <c r="AM2400" s="23"/>
      <c r="AN2400" s="23"/>
      <c r="AO2400" s="23"/>
      <c r="AP2400" s="23"/>
      <c r="AQ2400" s="23"/>
      <c r="AR2400" s="23"/>
      <c r="AS2400" s="23"/>
      <c r="AT2400" s="23"/>
      <c r="AU2400" s="23"/>
      <c r="AV2400" s="23"/>
      <c r="AW2400" s="23"/>
      <c r="AX2400" s="23"/>
      <c r="AY2400" s="23"/>
      <c r="AZ2400" s="23"/>
      <c r="BA2400" s="23"/>
      <c r="BB2400" s="23"/>
    </row>
    <row r="2401" spans="5:54" x14ac:dyDescent="0.35"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  <c r="AA2401" s="23"/>
      <c r="AB2401" s="23"/>
      <c r="AC2401" s="23"/>
      <c r="AD2401" s="23"/>
      <c r="AE2401" s="23"/>
      <c r="AF2401" s="23"/>
      <c r="AG2401" s="23"/>
      <c r="AH2401" s="23"/>
      <c r="AI2401" s="23"/>
      <c r="AJ2401" s="23"/>
      <c r="AK2401" s="23"/>
      <c r="AL2401" s="23"/>
      <c r="AM2401" s="23"/>
      <c r="AN2401" s="23"/>
      <c r="AO2401" s="23"/>
      <c r="AP2401" s="23"/>
      <c r="AQ2401" s="23"/>
      <c r="AR2401" s="23"/>
      <c r="AS2401" s="23"/>
      <c r="AT2401" s="23"/>
      <c r="AU2401" s="23"/>
      <c r="AV2401" s="23"/>
      <c r="AW2401" s="23"/>
      <c r="AX2401" s="23"/>
      <c r="AY2401" s="23"/>
      <c r="AZ2401" s="23"/>
      <c r="BA2401" s="23"/>
      <c r="BB2401" s="23"/>
    </row>
    <row r="2402" spans="5:54" x14ac:dyDescent="0.35"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  <c r="AA2402" s="23"/>
      <c r="AB2402" s="23"/>
      <c r="AC2402" s="23"/>
      <c r="AD2402" s="23"/>
      <c r="AE2402" s="23"/>
      <c r="AF2402" s="23"/>
      <c r="AG2402" s="23"/>
      <c r="AH2402" s="23"/>
      <c r="AI2402" s="23"/>
      <c r="AJ2402" s="23"/>
      <c r="AK2402" s="23"/>
      <c r="AL2402" s="23"/>
      <c r="AM2402" s="23"/>
      <c r="AN2402" s="23"/>
      <c r="AO2402" s="23"/>
      <c r="AP2402" s="23"/>
      <c r="AQ2402" s="23"/>
      <c r="AR2402" s="23"/>
      <c r="AS2402" s="23"/>
      <c r="AT2402" s="23"/>
      <c r="AU2402" s="23"/>
      <c r="AV2402" s="23"/>
      <c r="AW2402" s="23"/>
      <c r="AX2402" s="23"/>
      <c r="AY2402" s="23"/>
      <c r="AZ2402" s="23"/>
      <c r="BA2402" s="23"/>
      <c r="BB2402" s="23"/>
    </row>
    <row r="2403" spans="5:54" x14ac:dyDescent="0.35"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  <c r="AA2403" s="23"/>
      <c r="AB2403" s="23"/>
      <c r="AC2403" s="23"/>
      <c r="AD2403" s="23"/>
      <c r="AE2403" s="23"/>
      <c r="AF2403" s="23"/>
      <c r="AG2403" s="23"/>
      <c r="AH2403" s="23"/>
      <c r="AI2403" s="23"/>
      <c r="AJ2403" s="23"/>
      <c r="AK2403" s="23"/>
      <c r="AL2403" s="23"/>
      <c r="AM2403" s="23"/>
      <c r="AN2403" s="23"/>
      <c r="AO2403" s="23"/>
      <c r="AP2403" s="23"/>
      <c r="AQ2403" s="23"/>
      <c r="AR2403" s="23"/>
      <c r="AS2403" s="23"/>
      <c r="AT2403" s="23"/>
      <c r="AU2403" s="23"/>
      <c r="AV2403" s="23"/>
      <c r="AW2403" s="23"/>
      <c r="AX2403" s="23"/>
      <c r="AY2403" s="23"/>
      <c r="AZ2403" s="23"/>
      <c r="BA2403" s="23"/>
      <c r="BB2403" s="23"/>
    </row>
    <row r="2404" spans="5:54" x14ac:dyDescent="0.35"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  <c r="AA2404" s="23"/>
      <c r="AB2404" s="23"/>
      <c r="AC2404" s="23"/>
      <c r="AD2404" s="23"/>
      <c r="AE2404" s="23"/>
      <c r="AF2404" s="23"/>
      <c r="AG2404" s="23"/>
      <c r="AH2404" s="23"/>
      <c r="AI2404" s="23"/>
      <c r="AJ2404" s="23"/>
      <c r="AK2404" s="23"/>
      <c r="AL2404" s="23"/>
      <c r="AM2404" s="23"/>
      <c r="AN2404" s="23"/>
      <c r="AO2404" s="23"/>
      <c r="AP2404" s="23"/>
      <c r="AQ2404" s="23"/>
      <c r="AR2404" s="23"/>
      <c r="AS2404" s="23"/>
      <c r="AT2404" s="23"/>
      <c r="AU2404" s="23"/>
      <c r="AV2404" s="23"/>
      <c r="AW2404" s="23"/>
      <c r="AX2404" s="23"/>
      <c r="AY2404" s="23"/>
      <c r="AZ2404" s="23"/>
      <c r="BA2404" s="23"/>
      <c r="BB2404" s="23"/>
    </row>
    <row r="2405" spans="5:54" x14ac:dyDescent="0.35"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  <c r="AA2405" s="23"/>
      <c r="AB2405" s="23"/>
      <c r="AC2405" s="23"/>
      <c r="AD2405" s="23"/>
      <c r="AE2405" s="23"/>
      <c r="AF2405" s="23"/>
      <c r="AG2405" s="23"/>
      <c r="AH2405" s="23"/>
      <c r="AI2405" s="23"/>
      <c r="AJ2405" s="23"/>
      <c r="AK2405" s="23"/>
      <c r="AL2405" s="23"/>
      <c r="AM2405" s="23"/>
      <c r="AN2405" s="23"/>
      <c r="AO2405" s="23"/>
      <c r="AP2405" s="23"/>
      <c r="AQ2405" s="23"/>
      <c r="AR2405" s="23"/>
      <c r="AS2405" s="23"/>
      <c r="AT2405" s="23"/>
      <c r="AU2405" s="23"/>
      <c r="AV2405" s="23"/>
      <c r="AW2405" s="23"/>
      <c r="AX2405" s="23"/>
      <c r="AY2405" s="23"/>
      <c r="AZ2405" s="23"/>
      <c r="BA2405" s="23"/>
      <c r="BB2405" s="23"/>
    </row>
    <row r="2406" spans="5:54" x14ac:dyDescent="0.35"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  <c r="AA2406" s="23"/>
      <c r="AB2406" s="23"/>
      <c r="AC2406" s="23"/>
      <c r="AD2406" s="23"/>
      <c r="AE2406" s="23"/>
      <c r="AF2406" s="23"/>
      <c r="AG2406" s="23"/>
      <c r="AH2406" s="23"/>
      <c r="AI2406" s="23"/>
      <c r="AJ2406" s="23"/>
      <c r="AK2406" s="23"/>
      <c r="AL2406" s="23"/>
      <c r="AM2406" s="23"/>
      <c r="AN2406" s="23"/>
      <c r="AO2406" s="23"/>
      <c r="AP2406" s="23"/>
      <c r="AQ2406" s="23"/>
      <c r="AR2406" s="23"/>
      <c r="AS2406" s="23"/>
      <c r="AT2406" s="23"/>
      <c r="AU2406" s="23"/>
      <c r="AV2406" s="23"/>
      <c r="AW2406" s="23"/>
      <c r="AX2406" s="23"/>
      <c r="AY2406" s="23"/>
      <c r="AZ2406" s="23"/>
      <c r="BA2406" s="23"/>
      <c r="BB2406" s="23"/>
    </row>
    <row r="2407" spans="5:54" x14ac:dyDescent="0.35"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  <c r="AA2407" s="23"/>
      <c r="AB2407" s="23"/>
      <c r="AC2407" s="23"/>
      <c r="AD2407" s="23"/>
      <c r="AE2407" s="23"/>
      <c r="AF2407" s="23"/>
      <c r="AG2407" s="23"/>
      <c r="AH2407" s="23"/>
      <c r="AI2407" s="23"/>
      <c r="AJ2407" s="23"/>
      <c r="AK2407" s="23"/>
      <c r="AL2407" s="23"/>
      <c r="AM2407" s="23"/>
      <c r="AN2407" s="23"/>
      <c r="AO2407" s="23"/>
      <c r="AP2407" s="23"/>
      <c r="AQ2407" s="23"/>
      <c r="AR2407" s="23"/>
      <c r="AS2407" s="23"/>
      <c r="AT2407" s="23"/>
      <c r="AU2407" s="23"/>
      <c r="AV2407" s="23"/>
      <c r="AW2407" s="23"/>
      <c r="AX2407" s="23"/>
      <c r="AY2407" s="23"/>
      <c r="AZ2407" s="23"/>
      <c r="BA2407" s="23"/>
      <c r="BB2407" s="23"/>
    </row>
    <row r="2408" spans="5:54" x14ac:dyDescent="0.35"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  <c r="AA2408" s="23"/>
      <c r="AB2408" s="23"/>
      <c r="AC2408" s="23"/>
      <c r="AD2408" s="23"/>
      <c r="AE2408" s="23"/>
      <c r="AF2408" s="23"/>
      <c r="AG2408" s="23"/>
      <c r="AH2408" s="23"/>
      <c r="AI2408" s="23"/>
      <c r="AJ2408" s="23"/>
      <c r="AK2408" s="23"/>
      <c r="AL2408" s="23"/>
      <c r="AM2408" s="23"/>
      <c r="AN2408" s="23"/>
      <c r="AO2408" s="23"/>
      <c r="AP2408" s="23"/>
      <c r="AQ2408" s="23"/>
      <c r="AR2408" s="23"/>
      <c r="AS2408" s="23"/>
      <c r="AT2408" s="23"/>
      <c r="AU2408" s="23"/>
      <c r="AV2408" s="23"/>
      <c r="AW2408" s="23"/>
      <c r="AX2408" s="23"/>
      <c r="AY2408" s="23"/>
      <c r="AZ2408" s="23"/>
      <c r="BA2408" s="23"/>
      <c r="BB2408" s="23"/>
    </row>
    <row r="2409" spans="5:54" x14ac:dyDescent="0.35"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  <c r="AA2409" s="23"/>
      <c r="AB2409" s="23"/>
      <c r="AC2409" s="23"/>
      <c r="AD2409" s="23"/>
      <c r="AE2409" s="23"/>
      <c r="AF2409" s="23"/>
      <c r="AG2409" s="23"/>
      <c r="AH2409" s="23"/>
      <c r="AI2409" s="23"/>
      <c r="AJ2409" s="23"/>
      <c r="AK2409" s="23"/>
      <c r="AL2409" s="23"/>
      <c r="AM2409" s="23"/>
      <c r="AN2409" s="23"/>
      <c r="AO2409" s="23"/>
      <c r="AP2409" s="23"/>
      <c r="AQ2409" s="23"/>
      <c r="AR2409" s="23"/>
      <c r="AS2409" s="23"/>
      <c r="AT2409" s="23"/>
      <c r="AU2409" s="23"/>
      <c r="AV2409" s="23"/>
      <c r="AW2409" s="23"/>
      <c r="AX2409" s="23"/>
      <c r="AY2409" s="23"/>
      <c r="AZ2409" s="23"/>
      <c r="BA2409" s="23"/>
      <c r="BB2409" s="23"/>
    </row>
    <row r="2410" spans="5:54" x14ac:dyDescent="0.35"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  <c r="AA2410" s="23"/>
      <c r="AB2410" s="23"/>
      <c r="AC2410" s="23"/>
      <c r="AD2410" s="23"/>
      <c r="AE2410" s="23"/>
      <c r="AF2410" s="23"/>
      <c r="AG2410" s="23"/>
      <c r="AH2410" s="23"/>
      <c r="AI2410" s="23"/>
      <c r="AJ2410" s="23"/>
      <c r="AK2410" s="23"/>
      <c r="AL2410" s="23"/>
      <c r="AM2410" s="23"/>
      <c r="AN2410" s="23"/>
      <c r="AO2410" s="23"/>
      <c r="AP2410" s="23"/>
      <c r="AQ2410" s="23"/>
      <c r="AR2410" s="23"/>
      <c r="AS2410" s="23"/>
      <c r="AT2410" s="23"/>
      <c r="AU2410" s="23"/>
      <c r="AV2410" s="23"/>
      <c r="AW2410" s="23"/>
      <c r="AX2410" s="23"/>
      <c r="AY2410" s="23"/>
      <c r="AZ2410" s="23"/>
      <c r="BA2410" s="23"/>
      <c r="BB2410" s="23"/>
    </row>
    <row r="2411" spans="5:54" x14ac:dyDescent="0.35"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  <c r="AA2411" s="23"/>
      <c r="AB2411" s="23"/>
      <c r="AC2411" s="23"/>
      <c r="AD2411" s="23"/>
      <c r="AE2411" s="23"/>
      <c r="AF2411" s="23"/>
      <c r="AG2411" s="23"/>
      <c r="AH2411" s="23"/>
      <c r="AI2411" s="23"/>
      <c r="AJ2411" s="23"/>
      <c r="AK2411" s="23"/>
      <c r="AL2411" s="23"/>
      <c r="AM2411" s="23"/>
      <c r="AN2411" s="23"/>
      <c r="AO2411" s="23"/>
      <c r="AP2411" s="23"/>
      <c r="AQ2411" s="23"/>
      <c r="AR2411" s="23"/>
      <c r="AS2411" s="23"/>
      <c r="AT2411" s="23"/>
      <c r="AU2411" s="23"/>
      <c r="AV2411" s="23"/>
      <c r="AW2411" s="23"/>
      <c r="AX2411" s="23"/>
      <c r="AY2411" s="23"/>
      <c r="AZ2411" s="23"/>
      <c r="BA2411" s="23"/>
      <c r="BB2411" s="23"/>
    </row>
    <row r="2412" spans="5:54" x14ac:dyDescent="0.35"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  <c r="AA2412" s="23"/>
      <c r="AB2412" s="23"/>
      <c r="AC2412" s="23"/>
      <c r="AD2412" s="23"/>
      <c r="AE2412" s="23"/>
      <c r="AF2412" s="23"/>
      <c r="AG2412" s="23"/>
      <c r="AH2412" s="23"/>
      <c r="AI2412" s="23"/>
      <c r="AJ2412" s="23"/>
      <c r="AK2412" s="23"/>
      <c r="AL2412" s="23"/>
      <c r="AM2412" s="23"/>
      <c r="AN2412" s="23"/>
      <c r="AO2412" s="23"/>
      <c r="AP2412" s="23"/>
      <c r="AQ2412" s="23"/>
      <c r="AR2412" s="23"/>
      <c r="AS2412" s="23"/>
      <c r="AT2412" s="23"/>
      <c r="AU2412" s="23"/>
      <c r="AV2412" s="23"/>
      <c r="AW2412" s="23"/>
      <c r="AX2412" s="23"/>
      <c r="AY2412" s="23"/>
      <c r="AZ2412" s="23"/>
      <c r="BA2412" s="23"/>
      <c r="BB2412" s="23"/>
    </row>
    <row r="2413" spans="5:54" x14ac:dyDescent="0.35"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  <c r="AA2413" s="23"/>
      <c r="AB2413" s="23"/>
      <c r="AC2413" s="23"/>
      <c r="AD2413" s="23"/>
      <c r="AE2413" s="23"/>
      <c r="AF2413" s="23"/>
      <c r="AG2413" s="23"/>
      <c r="AH2413" s="23"/>
      <c r="AI2413" s="23"/>
      <c r="AJ2413" s="23"/>
      <c r="AK2413" s="23"/>
      <c r="AL2413" s="23"/>
      <c r="AM2413" s="23"/>
      <c r="AN2413" s="23"/>
      <c r="AO2413" s="23"/>
      <c r="AP2413" s="23"/>
      <c r="AQ2413" s="23"/>
      <c r="AR2413" s="23"/>
      <c r="AS2413" s="23"/>
      <c r="AT2413" s="23"/>
      <c r="AU2413" s="23"/>
      <c r="AV2413" s="23"/>
      <c r="AW2413" s="23"/>
      <c r="AX2413" s="23"/>
      <c r="AY2413" s="23"/>
      <c r="AZ2413" s="23"/>
      <c r="BA2413" s="23"/>
      <c r="BB2413" s="23"/>
    </row>
    <row r="2414" spans="5:54" x14ac:dyDescent="0.35"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  <c r="AA2414" s="23"/>
      <c r="AB2414" s="23"/>
      <c r="AC2414" s="23"/>
      <c r="AD2414" s="23"/>
      <c r="AE2414" s="23"/>
      <c r="AF2414" s="23"/>
      <c r="AG2414" s="23"/>
      <c r="AH2414" s="23"/>
      <c r="AI2414" s="23"/>
      <c r="AJ2414" s="23"/>
      <c r="AK2414" s="23"/>
      <c r="AL2414" s="23"/>
      <c r="AM2414" s="23"/>
      <c r="AN2414" s="23"/>
      <c r="AO2414" s="23"/>
      <c r="AP2414" s="23"/>
      <c r="AQ2414" s="23"/>
      <c r="AR2414" s="23"/>
      <c r="AS2414" s="23"/>
      <c r="AT2414" s="23"/>
      <c r="AU2414" s="23"/>
      <c r="AV2414" s="23"/>
      <c r="AW2414" s="23"/>
      <c r="AX2414" s="23"/>
      <c r="AY2414" s="23"/>
      <c r="AZ2414" s="23"/>
      <c r="BA2414" s="23"/>
      <c r="BB2414" s="23"/>
    </row>
    <row r="2415" spans="5:54" x14ac:dyDescent="0.35"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  <c r="AA2415" s="23"/>
      <c r="AB2415" s="23"/>
      <c r="AC2415" s="23"/>
      <c r="AD2415" s="23"/>
      <c r="AE2415" s="23"/>
      <c r="AF2415" s="23"/>
      <c r="AG2415" s="23"/>
      <c r="AH2415" s="23"/>
      <c r="AI2415" s="23"/>
      <c r="AJ2415" s="23"/>
      <c r="AK2415" s="23"/>
      <c r="AL2415" s="23"/>
      <c r="AM2415" s="23"/>
      <c r="AN2415" s="23"/>
      <c r="AO2415" s="23"/>
      <c r="AP2415" s="23"/>
      <c r="AQ2415" s="23"/>
      <c r="AR2415" s="23"/>
      <c r="AS2415" s="23"/>
      <c r="AT2415" s="23"/>
      <c r="AU2415" s="23"/>
      <c r="AV2415" s="23"/>
      <c r="AW2415" s="23"/>
      <c r="AX2415" s="23"/>
      <c r="AY2415" s="23"/>
      <c r="AZ2415" s="23"/>
      <c r="BA2415" s="23"/>
      <c r="BB2415" s="23"/>
    </row>
    <row r="2416" spans="5:54" x14ac:dyDescent="0.35"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  <c r="AA2416" s="23"/>
      <c r="AB2416" s="23"/>
      <c r="AC2416" s="23"/>
      <c r="AD2416" s="23"/>
      <c r="AE2416" s="23"/>
      <c r="AF2416" s="23"/>
      <c r="AG2416" s="23"/>
      <c r="AH2416" s="23"/>
      <c r="AI2416" s="23"/>
      <c r="AJ2416" s="23"/>
      <c r="AK2416" s="23"/>
      <c r="AL2416" s="23"/>
      <c r="AM2416" s="23"/>
      <c r="AN2416" s="23"/>
      <c r="AO2416" s="23"/>
      <c r="AP2416" s="23"/>
      <c r="AQ2416" s="23"/>
      <c r="AR2416" s="23"/>
      <c r="AS2416" s="23"/>
      <c r="AT2416" s="23"/>
      <c r="AU2416" s="23"/>
      <c r="AV2416" s="23"/>
      <c r="AW2416" s="23"/>
      <c r="AX2416" s="23"/>
      <c r="AY2416" s="23"/>
      <c r="AZ2416" s="23"/>
      <c r="BA2416" s="23"/>
      <c r="BB2416" s="23"/>
    </row>
    <row r="2417" spans="5:54" x14ac:dyDescent="0.35"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  <c r="AA2417" s="23"/>
      <c r="AB2417" s="23"/>
      <c r="AC2417" s="23"/>
      <c r="AD2417" s="23"/>
      <c r="AE2417" s="23"/>
      <c r="AF2417" s="23"/>
      <c r="AG2417" s="23"/>
      <c r="AH2417" s="23"/>
      <c r="AI2417" s="23"/>
      <c r="AJ2417" s="23"/>
      <c r="AK2417" s="23"/>
      <c r="AL2417" s="23"/>
      <c r="AM2417" s="23"/>
      <c r="AN2417" s="23"/>
      <c r="AO2417" s="23"/>
      <c r="AP2417" s="23"/>
      <c r="AQ2417" s="23"/>
      <c r="AR2417" s="23"/>
      <c r="AS2417" s="23"/>
      <c r="AT2417" s="23"/>
      <c r="AU2417" s="23"/>
      <c r="AV2417" s="23"/>
      <c r="AW2417" s="23"/>
      <c r="AX2417" s="23"/>
      <c r="AY2417" s="23"/>
      <c r="AZ2417" s="23"/>
      <c r="BA2417" s="23"/>
      <c r="BB2417" s="23"/>
    </row>
    <row r="2418" spans="5:54" x14ac:dyDescent="0.35"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  <c r="AA2418" s="23"/>
      <c r="AB2418" s="23"/>
      <c r="AC2418" s="23"/>
      <c r="AD2418" s="23"/>
      <c r="AE2418" s="23"/>
      <c r="AF2418" s="23"/>
      <c r="AG2418" s="23"/>
      <c r="AH2418" s="23"/>
      <c r="AI2418" s="23"/>
      <c r="AJ2418" s="23"/>
      <c r="AK2418" s="23"/>
      <c r="AL2418" s="23"/>
      <c r="AM2418" s="23"/>
      <c r="AN2418" s="23"/>
      <c r="AO2418" s="23"/>
      <c r="AP2418" s="23"/>
      <c r="AQ2418" s="23"/>
      <c r="AR2418" s="23"/>
      <c r="AS2418" s="23"/>
      <c r="AT2418" s="23"/>
      <c r="AU2418" s="23"/>
      <c r="AV2418" s="23"/>
      <c r="AW2418" s="23"/>
      <c r="AX2418" s="23"/>
      <c r="AY2418" s="23"/>
      <c r="AZ2418" s="23"/>
      <c r="BA2418" s="23"/>
      <c r="BB2418" s="23"/>
    </row>
    <row r="2419" spans="5:54" x14ac:dyDescent="0.35"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  <c r="AA2419" s="23"/>
      <c r="AB2419" s="23"/>
      <c r="AC2419" s="23"/>
      <c r="AD2419" s="23"/>
      <c r="AE2419" s="23"/>
      <c r="AF2419" s="23"/>
      <c r="AG2419" s="23"/>
      <c r="AH2419" s="23"/>
      <c r="AI2419" s="23"/>
      <c r="AJ2419" s="23"/>
      <c r="AK2419" s="23"/>
      <c r="AL2419" s="23"/>
      <c r="AM2419" s="23"/>
      <c r="AN2419" s="23"/>
      <c r="AO2419" s="23"/>
      <c r="AP2419" s="23"/>
      <c r="AQ2419" s="23"/>
      <c r="AR2419" s="23"/>
      <c r="AS2419" s="23"/>
      <c r="AT2419" s="23"/>
      <c r="AU2419" s="23"/>
      <c r="AV2419" s="23"/>
      <c r="AW2419" s="23"/>
      <c r="AX2419" s="23"/>
      <c r="AY2419" s="23"/>
      <c r="AZ2419" s="23"/>
      <c r="BA2419" s="23"/>
      <c r="BB2419" s="23"/>
    </row>
    <row r="2420" spans="5:54" x14ac:dyDescent="0.35"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  <c r="AA2420" s="23"/>
      <c r="AB2420" s="23"/>
      <c r="AC2420" s="23"/>
      <c r="AD2420" s="23"/>
      <c r="AE2420" s="23"/>
      <c r="AF2420" s="23"/>
      <c r="AG2420" s="23"/>
      <c r="AH2420" s="23"/>
      <c r="AI2420" s="23"/>
      <c r="AJ2420" s="23"/>
      <c r="AK2420" s="23"/>
      <c r="AL2420" s="23"/>
      <c r="AM2420" s="23"/>
      <c r="AN2420" s="23"/>
      <c r="AO2420" s="23"/>
      <c r="AP2420" s="23"/>
      <c r="AQ2420" s="23"/>
      <c r="AR2420" s="23"/>
      <c r="AS2420" s="23"/>
      <c r="AT2420" s="23"/>
      <c r="AU2420" s="23"/>
      <c r="AV2420" s="23"/>
      <c r="AW2420" s="23"/>
      <c r="AX2420" s="23"/>
      <c r="AY2420" s="23"/>
      <c r="AZ2420" s="23"/>
      <c r="BA2420" s="23"/>
      <c r="BB2420" s="23"/>
    </row>
    <row r="2421" spans="5:54" x14ac:dyDescent="0.35"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  <c r="AA2421" s="23"/>
      <c r="AB2421" s="23"/>
      <c r="AC2421" s="23"/>
      <c r="AD2421" s="23"/>
      <c r="AE2421" s="23"/>
      <c r="AF2421" s="23"/>
      <c r="AG2421" s="23"/>
      <c r="AH2421" s="23"/>
      <c r="AI2421" s="23"/>
      <c r="AJ2421" s="23"/>
      <c r="AK2421" s="23"/>
      <c r="AL2421" s="23"/>
      <c r="AM2421" s="23"/>
      <c r="AN2421" s="23"/>
      <c r="AO2421" s="23"/>
      <c r="AP2421" s="23"/>
      <c r="AQ2421" s="23"/>
      <c r="AR2421" s="23"/>
      <c r="AS2421" s="23"/>
      <c r="AT2421" s="23"/>
      <c r="AU2421" s="23"/>
      <c r="AV2421" s="23"/>
      <c r="AW2421" s="23"/>
      <c r="AX2421" s="23"/>
      <c r="AY2421" s="23"/>
      <c r="AZ2421" s="23"/>
      <c r="BA2421" s="23"/>
      <c r="BB2421" s="23"/>
    </row>
    <row r="2422" spans="5:54" x14ac:dyDescent="0.35"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  <c r="AA2422" s="23"/>
      <c r="AB2422" s="23"/>
      <c r="AC2422" s="23"/>
      <c r="AD2422" s="23"/>
      <c r="AE2422" s="23"/>
      <c r="AF2422" s="23"/>
      <c r="AG2422" s="23"/>
      <c r="AH2422" s="23"/>
      <c r="AI2422" s="23"/>
      <c r="AJ2422" s="23"/>
      <c r="AK2422" s="23"/>
      <c r="AL2422" s="23"/>
      <c r="AM2422" s="23"/>
      <c r="AN2422" s="23"/>
      <c r="AO2422" s="23"/>
      <c r="AP2422" s="23"/>
      <c r="AQ2422" s="23"/>
      <c r="AR2422" s="23"/>
      <c r="AS2422" s="23"/>
      <c r="AT2422" s="23"/>
      <c r="AU2422" s="23"/>
      <c r="AV2422" s="23"/>
      <c r="AW2422" s="23"/>
      <c r="AX2422" s="23"/>
      <c r="AY2422" s="23"/>
      <c r="AZ2422" s="23"/>
      <c r="BA2422" s="23"/>
      <c r="BB2422" s="23"/>
    </row>
    <row r="2423" spans="5:54" x14ac:dyDescent="0.35"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  <c r="AA2423" s="23"/>
      <c r="AB2423" s="23"/>
      <c r="AC2423" s="23"/>
      <c r="AD2423" s="23"/>
      <c r="AE2423" s="23"/>
      <c r="AF2423" s="23"/>
      <c r="AG2423" s="23"/>
      <c r="AH2423" s="23"/>
      <c r="AI2423" s="23"/>
      <c r="AJ2423" s="23"/>
      <c r="AK2423" s="23"/>
      <c r="AL2423" s="23"/>
      <c r="AM2423" s="23"/>
      <c r="AN2423" s="23"/>
      <c r="AO2423" s="23"/>
      <c r="AP2423" s="23"/>
      <c r="AQ2423" s="23"/>
      <c r="AR2423" s="23"/>
      <c r="AS2423" s="23"/>
      <c r="AT2423" s="23"/>
      <c r="AU2423" s="23"/>
      <c r="AV2423" s="23"/>
      <c r="AW2423" s="23"/>
      <c r="AX2423" s="23"/>
      <c r="AY2423" s="23"/>
      <c r="AZ2423" s="23"/>
      <c r="BA2423" s="23"/>
      <c r="BB2423" s="23"/>
    </row>
    <row r="2424" spans="5:54" x14ac:dyDescent="0.35"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  <c r="AA2424" s="23"/>
      <c r="AB2424" s="23"/>
      <c r="AC2424" s="23"/>
      <c r="AD2424" s="23"/>
      <c r="AE2424" s="23"/>
      <c r="AF2424" s="23"/>
      <c r="AG2424" s="23"/>
      <c r="AH2424" s="23"/>
      <c r="AI2424" s="23"/>
      <c r="AJ2424" s="23"/>
      <c r="AK2424" s="23"/>
      <c r="AL2424" s="23"/>
      <c r="AM2424" s="23"/>
      <c r="AN2424" s="23"/>
      <c r="AO2424" s="23"/>
      <c r="AP2424" s="23"/>
      <c r="AQ2424" s="23"/>
      <c r="AR2424" s="23"/>
      <c r="AS2424" s="23"/>
      <c r="AT2424" s="23"/>
      <c r="AU2424" s="23"/>
      <c r="AV2424" s="23"/>
      <c r="AW2424" s="23"/>
      <c r="AX2424" s="23"/>
      <c r="AY2424" s="23"/>
      <c r="AZ2424" s="23"/>
      <c r="BA2424" s="23"/>
      <c r="BB2424" s="23"/>
    </row>
    <row r="2425" spans="5:54" x14ac:dyDescent="0.35"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  <c r="AA2425" s="23"/>
      <c r="AB2425" s="23"/>
      <c r="AC2425" s="23"/>
      <c r="AD2425" s="23"/>
      <c r="AE2425" s="23"/>
      <c r="AF2425" s="23"/>
      <c r="AG2425" s="23"/>
      <c r="AH2425" s="23"/>
      <c r="AI2425" s="23"/>
      <c r="AJ2425" s="23"/>
      <c r="AK2425" s="23"/>
      <c r="AL2425" s="23"/>
      <c r="AM2425" s="23"/>
      <c r="AN2425" s="23"/>
      <c r="AO2425" s="23"/>
      <c r="AP2425" s="23"/>
      <c r="AQ2425" s="23"/>
      <c r="AR2425" s="23"/>
      <c r="AS2425" s="23"/>
      <c r="AT2425" s="23"/>
      <c r="AU2425" s="23"/>
      <c r="AV2425" s="23"/>
      <c r="AW2425" s="23"/>
      <c r="AX2425" s="23"/>
      <c r="AY2425" s="23"/>
      <c r="AZ2425" s="23"/>
      <c r="BA2425" s="23"/>
      <c r="BB2425" s="23"/>
    </row>
    <row r="2426" spans="5:54" x14ac:dyDescent="0.35"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  <c r="AA2426" s="23"/>
      <c r="AB2426" s="23"/>
      <c r="AC2426" s="23"/>
      <c r="AD2426" s="23"/>
      <c r="AE2426" s="23"/>
      <c r="AF2426" s="23"/>
      <c r="AG2426" s="23"/>
      <c r="AH2426" s="23"/>
      <c r="AI2426" s="23"/>
      <c r="AJ2426" s="23"/>
      <c r="AK2426" s="23"/>
      <c r="AL2426" s="23"/>
      <c r="AM2426" s="23"/>
      <c r="AN2426" s="23"/>
      <c r="AO2426" s="23"/>
      <c r="AP2426" s="23"/>
      <c r="AQ2426" s="23"/>
      <c r="AR2426" s="23"/>
      <c r="AS2426" s="23"/>
      <c r="AT2426" s="23"/>
      <c r="AU2426" s="23"/>
      <c r="AV2426" s="23"/>
      <c r="AW2426" s="23"/>
      <c r="AX2426" s="23"/>
      <c r="AY2426" s="23"/>
      <c r="AZ2426" s="23"/>
      <c r="BA2426" s="23"/>
      <c r="BB2426" s="23"/>
    </row>
    <row r="2427" spans="5:54" x14ac:dyDescent="0.35"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  <c r="AA2427" s="23"/>
      <c r="AB2427" s="23"/>
      <c r="AC2427" s="23"/>
      <c r="AD2427" s="23"/>
      <c r="AE2427" s="23"/>
      <c r="AF2427" s="23"/>
      <c r="AG2427" s="23"/>
      <c r="AH2427" s="23"/>
      <c r="AI2427" s="23"/>
      <c r="AJ2427" s="23"/>
      <c r="AK2427" s="23"/>
      <c r="AL2427" s="23"/>
      <c r="AM2427" s="23"/>
      <c r="AN2427" s="23"/>
      <c r="AO2427" s="23"/>
      <c r="AP2427" s="23"/>
      <c r="AQ2427" s="23"/>
      <c r="AR2427" s="23"/>
      <c r="AS2427" s="23"/>
      <c r="AT2427" s="23"/>
      <c r="AU2427" s="23"/>
      <c r="AV2427" s="23"/>
      <c r="AW2427" s="23"/>
      <c r="AX2427" s="23"/>
      <c r="AY2427" s="23"/>
      <c r="AZ2427" s="23"/>
      <c r="BA2427" s="23"/>
      <c r="BB2427" s="23"/>
    </row>
    <row r="2428" spans="5:54" x14ac:dyDescent="0.35"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  <c r="AA2428" s="23"/>
      <c r="AB2428" s="23"/>
      <c r="AC2428" s="23"/>
      <c r="AD2428" s="23"/>
      <c r="AE2428" s="23"/>
      <c r="AF2428" s="23"/>
      <c r="AG2428" s="23"/>
      <c r="AH2428" s="23"/>
      <c r="AI2428" s="23"/>
      <c r="AJ2428" s="23"/>
      <c r="AK2428" s="23"/>
      <c r="AL2428" s="23"/>
      <c r="AM2428" s="23"/>
      <c r="AN2428" s="23"/>
      <c r="AO2428" s="23"/>
      <c r="AP2428" s="23"/>
      <c r="AQ2428" s="23"/>
      <c r="AR2428" s="23"/>
      <c r="AS2428" s="23"/>
      <c r="AT2428" s="23"/>
      <c r="AU2428" s="23"/>
      <c r="AV2428" s="23"/>
      <c r="AW2428" s="23"/>
      <c r="AX2428" s="23"/>
      <c r="AY2428" s="23"/>
      <c r="AZ2428" s="23"/>
      <c r="BA2428" s="23"/>
      <c r="BB2428" s="23"/>
    </row>
    <row r="2429" spans="5:54" x14ac:dyDescent="0.35"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  <c r="AA2429" s="23"/>
      <c r="AB2429" s="23"/>
      <c r="AC2429" s="23"/>
      <c r="AD2429" s="23"/>
      <c r="AE2429" s="23"/>
      <c r="AF2429" s="23"/>
      <c r="AG2429" s="23"/>
      <c r="AH2429" s="23"/>
      <c r="AI2429" s="23"/>
      <c r="AJ2429" s="23"/>
      <c r="AK2429" s="23"/>
      <c r="AL2429" s="23"/>
      <c r="AM2429" s="23"/>
      <c r="AN2429" s="23"/>
      <c r="AO2429" s="23"/>
      <c r="AP2429" s="23"/>
      <c r="AQ2429" s="23"/>
      <c r="AR2429" s="23"/>
      <c r="AS2429" s="23"/>
      <c r="AT2429" s="23"/>
      <c r="AU2429" s="23"/>
      <c r="AV2429" s="23"/>
      <c r="AW2429" s="23"/>
      <c r="AX2429" s="23"/>
      <c r="AY2429" s="23"/>
      <c r="AZ2429" s="23"/>
      <c r="BA2429" s="23"/>
      <c r="BB2429" s="23"/>
    </row>
    <row r="2430" spans="5:54" x14ac:dyDescent="0.35"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  <c r="AA2430" s="23"/>
      <c r="AB2430" s="23"/>
      <c r="AC2430" s="23"/>
      <c r="AD2430" s="23"/>
      <c r="AE2430" s="23"/>
      <c r="AF2430" s="23"/>
      <c r="AG2430" s="23"/>
      <c r="AH2430" s="23"/>
      <c r="AI2430" s="23"/>
      <c r="AJ2430" s="23"/>
      <c r="AK2430" s="23"/>
      <c r="AL2430" s="23"/>
      <c r="AM2430" s="23"/>
      <c r="AN2430" s="23"/>
      <c r="AO2430" s="23"/>
      <c r="AP2430" s="23"/>
      <c r="AQ2430" s="23"/>
      <c r="AR2430" s="23"/>
      <c r="AS2430" s="23"/>
      <c r="AT2430" s="23"/>
      <c r="AU2430" s="23"/>
      <c r="AV2430" s="23"/>
      <c r="AW2430" s="23"/>
      <c r="AX2430" s="23"/>
      <c r="AY2430" s="23"/>
      <c r="AZ2430" s="23"/>
      <c r="BA2430" s="23"/>
      <c r="BB2430" s="23"/>
    </row>
    <row r="2431" spans="5:54" x14ac:dyDescent="0.35"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  <c r="AA2431" s="23"/>
      <c r="AB2431" s="23"/>
      <c r="AC2431" s="23"/>
      <c r="AD2431" s="23"/>
      <c r="AE2431" s="23"/>
      <c r="AF2431" s="23"/>
      <c r="AG2431" s="23"/>
      <c r="AH2431" s="23"/>
      <c r="AI2431" s="23"/>
      <c r="AJ2431" s="23"/>
      <c r="AK2431" s="23"/>
      <c r="AL2431" s="23"/>
      <c r="AM2431" s="23"/>
      <c r="AN2431" s="23"/>
      <c r="AO2431" s="23"/>
      <c r="AP2431" s="23"/>
      <c r="AQ2431" s="23"/>
      <c r="AR2431" s="23"/>
      <c r="AS2431" s="23"/>
      <c r="AT2431" s="23"/>
      <c r="AU2431" s="23"/>
      <c r="AV2431" s="23"/>
      <c r="AW2431" s="23"/>
      <c r="AX2431" s="23"/>
      <c r="AY2431" s="23"/>
      <c r="AZ2431" s="23"/>
      <c r="BA2431" s="23"/>
      <c r="BB2431" s="23"/>
    </row>
    <row r="2432" spans="5:54" x14ac:dyDescent="0.35"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  <c r="AA2432" s="23"/>
      <c r="AB2432" s="23"/>
      <c r="AC2432" s="23"/>
      <c r="AD2432" s="23"/>
      <c r="AE2432" s="23"/>
      <c r="AF2432" s="23"/>
      <c r="AG2432" s="23"/>
      <c r="AH2432" s="23"/>
      <c r="AI2432" s="23"/>
      <c r="AJ2432" s="23"/>
      <c r="AK2432" s="23"/>
      <c r="AL2432" s="23"/>
      <c r="AM2432" s="23"/>
      <c r="AN2432" s="23"/>
      <c r="AO2432" s="23"/>
      <c r="AP2432" s="23"/>
      <c r="AQ2432" s="23"/>
      <c r="AR2432" s="23"/>
      <c r="AS2432" s="23"/>
      <c r="AT2432" s="23"/>
      <c r="AU2432" s="23"/>
      <c r="AV2432" s="23"/>
      <c r="AW2432" s="23"/>
      <c r="AX2432" s="23"/>
      <c r="AY2432" s="23"/>
      <c r="AZ2432" s="23"/>
      <c r="BA2432" s="23"/>
      <c r="BB2432" s="23"/>
    </row>
    <row r="2433" spans="5:54" x14ac:dyDescent="0.35"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  <c r="AA2433" s="23"/>
      <c r="AB2433" s="23"/>
      <c r="AC2433" s="23"/>
      <c r="AD2433" s="23"/>
      <c r="AE2433" s="23"/>
      <c r="AF2433" s="23"/>
      <c r="AG2433" s="23"/>
      <c r="AH2433" s="23"/>
      <c r="AI2433" s="23"/>
      <c r="AJ2433" s="23"/>
      <c r="AK2433" s="23"/>
      <c r="AL2433" s="23"/>
      <c r="AM2433" s="23"/>
      <c r="AN2433" s="23"/>
      <c r="AO2433" s="23"/>
      <c r="AP2433" s="23"/>
      <c r="AQ2433" s="23"/>
      <c r="AR2433" s="23"/>
      <c r="AS2433" s="23"/>
      <c r="AT2433" s="23"/>
      <c r="AU2433" s="23"/>
      <c r="AV2433" s="23"/>
      <c r="AW2433" s="23"/>
      <c r="AX2433" s="23"/>
      <c r="AY2433" s="23"/>
      <c r="AZ2433" s="23"/>
      <c r="BA2433" s="23"/>
      <c r="BB2433" s="23"/>
    </row>
    <row r="2434" spans="5:54" x14ac:dyDescent="0.35"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  <c r="AA2434" s="23"/>
      <c r="AB2434" s="23"/>
      <c r="AC2434" s="23"/>
      <c r="AD2434" s="23"/>
      <c r="AE2434" s="23"/>
      <c r="AF2434" s="23"/>
      <c r="AG2434" s="23"/>
      <c r="AH2434" s="23"/>
      <c r="AI2434" s="23"/>
      <c r="AJ2434" s="23"/>
      <c r="AK2434" s="23"/>
      <c r="AL2434" s="23"/>
      <c r="AM2434" s="23"/>
      <c r="AN2434" s="23"/>
      <c r="AO2434" s="23"/>
      <c r="AP2434" s="23"/>
      <c r="AQ2434" s="23"/>
      <c r="AR2434" s="23"/>
      <c r="AS2434" s="23"/>
      <c r="AT2434" s="23"/>
      <c r="AU2434" s="23"/>
      <c r="AV2434" s="23"/>
      <c r="AW2434" s="23"/>
      <c r="AX2434" s="23"/>
      <c r="AY2434" s="23"/>
      <c r="AZ2434" s="23"/>
      <c r="BA2434" s="23"/>
      <c r="BB2434" s="23"/>
    </row>
    <row r="2435" spans="5:54" x14ac:dyDescent="0.35"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  <c r="AA2435" s="23"/>
      <c r="AB2435" s="23"/>
      <c r="AC2435" s="23"/>
      <c r="AD2435" s="23"/>
      <c r="AE2435" s="23"/>
      <c r="AF2435" s="23"/>
      <c r="AG2435" s="23"/>
      <c r="AH2435" s="23"/>
      <c r="AI2435" s="23"/>
      <c r="AJ2435" s="23"/>
      <c r="AK2435" s="23"/>
      <c r="AL2435" s="23"/>
      <c r="AM2435" s="23"/>
      <c r="AN2435" s="23"/>
      <c r="AO2435" s="23"/>
      <c r="AP2435" s="23"/>
      <c r="AQ2435" s="23"/>
      <c r="AR2435" s="23"/>
      <c r="AS2435" s="23"/>
      <c r="AT2435" s="23"/>
      <c r="AU2435" s="23"/>
      <c r="AV2435" s="23"/>
      <c r="AW2435" s="23"/>
      <c r="AX2435" s="23"/>
      <c r="AY2435" s="23"/>
      <c r="AZ2435" s="23"/>
      <c r="BA2435" s="23"/>
      <c r="BB2435" s="23"/>
    </row>
    <row r="2436" spans="5:54" x14ac:dyDescent="0.35"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  <c r="AA2436" s="23"/>
      <c r="AB2436" s="23"/>
      <c r="AC2436" s="23"/>
      <c r="AD2436" s="23"/>
      <c r="AE2436" s="23"/>
      <c r="AF2436" s="23"/>
      <c r="AG2436" s="23"/>
      <c r="AH2436" s="23"/>
      <c r="AI2436" s="23"/>
      <c r="AJ2436" s="23"/>
      <c r="AK2436" s="23"/>
      <c r="AL2436" s="23"/>
      <c r="AM2436" s="23"/>
      <c r="AN2436" s="23"/>
      <c r="AO2436" s="23"/>
      <c r="AP2436" s="23"/>
      <c r="AQ2436" s="23"/>
      <c r="AR2436" s="23"/>
      <c r="AS2436" s="23"/>
      <c r="AT2436" s="23"/>
      <c r="AU2436" s="23"/>
      <c r="AV2436" s="23"/>
      <c r="AW2436" s="23"/>
      <c r="AX2436" s="23"/>
      <c r="AY2436" s="23"/>
      <c r="AZ2436" s="23"/>
      <c r="BA2436" s="23"/>
      <c r="BB2436" s="23"/>
    </row>
    <row r="2437" spans="5:54" x14ac:dyDescent="0.35"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  <c r="AA2437" s="23"/>
      <c r="AB2437" s="23"/>
      <c r="AC2437" s="23"/>
      <c r="AD2437" s="23"/>
      <c r="AE2437" s="23"/>
      <c r="AF2437" s="23"/>
      <c r="AG2437" s="23"/>
      <c r="AH2437" s="23"/>
      <c r="AI2437" s="23"/>
      <c r="AJ2437" s="23"/>
      <c r="AK2437" s="23"/>
      <c r="AL2437" s="23"/>
      <c r="AM2437" s="23"/>
      <c r="AN2437" s="23"/>
      <c r="AO2437" s="23"/>
      <c r="AP2437" s="23"/>
      <c r="AQ2437" s="23"/>
      <c r="AR2437" s="23"/>
      <c r="AS2437" s="23"/>
      <c r="AT2437" s="23"/>
      <c r="AU2437" s="23"/>
      <c r="AV2437" s="23"/>
      <c r="AW2437" s="23"/>
      <c r="AX2437" s="23"/>
      <c r="AY2437" s="23"/>
      <c r="AZ2437" s="23"/>
      <c r="BA2437" s="23"/>
      <c r="BB2437" s="23"/>
    </row>
    <row r="2438" spans="5:54" x14ac:dyDescent="0.35"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  <c r="AA2438" s="23"/>
      <c r="AB2438" s="23"/>
      <c r="AC2438" s="23"/>
      <c r="AD2438" s="23"/>
      <c r="AE2438" s="23"/>
      <c r="AF2438" s="23"/>
      <c r="AG2438" s="23"/>
      <c r="AH2438" s="23"/>
      <c r="AI2438" s="23"/>
      <c r="AJ2438" s="23"/>
      <c r="AK2438" s="23"/>
      <c r="AL2438" s="23"/>
      <c r="AM2438" s="23"/>
      <c r="AN2438" s="23"/>
      <c r="AO2438" s="23"/>
      <c r="AP2438" s="23"/>
      <c r="AQ2438" s="23"/>
      <c r="AR2438" s="23"/>
      <c r="AS2438" s="23"/>
      <c r="AT2438" s="23"/>
      <c r="AU2438" s="23"/>
      <c r="AV2438" s="23"/>
      <c r="AW2438" s="23"/>
      <c r="AX2438" s="23"/>
      <c r="AY2438" s="23"/>
      <c r="AZ2438" s="23"/>
      <c r="BA2438" s="23"/>
      <c r="BB2438" s="23"/>
    </row>
    <row r="2439" spans="5:54" x14ac:dyDescent="0.35"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  <c r="AA2439" s="23"/>
      <c r="AB2439" s="23"/>
      <c r="AC2439" s="23"/>
      <c r="AD2439" s="23"/>
      <c r="AE2439" s="23"/>
      <c r="AF2439" s="23"/>
      <c r="AG2439" s="23"/>
      <c r="AH2439" s="23"/>
      <c r="AI2439" s="23"/>
      <c r="AJ2439" s="23"/>
      <c r="AK2439" s="23"/>
      <c r="AL2439" s="23"/>
      <c r="AM2439" s="23"/>
      <c r="AN2439" s="23"/>
      <c r="AO2439" s="23"/>
      <c r="AP2439" s="23"/>
      <c r="AQ2439" s="23"/>
      <c r="AR2439" s="23"/>
      <c r="AS2439" s="23"/>
      <c r="AT2439" s="23"/>
      <c r="AU2439" s="23"/>
      <c r="AV2439" s="23"/>
      <c r="AW2439" s="23"/>
      <c r="AX2439" s="23"/>
      <c r="AY2439" s="23"/>
      <c r="AZ2439" s="23"/>
      <c r="BA2439" s="23"/>
      <c r="BB2439" s="23"/>
    </row>
    <row r="2440" spans="5:54" x14ac:dyDescent="0.35"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  <c r="AA2440" s="23"/>
      <c r="AB2440" s="23"/>
      <c r="AC2440" s="23"/>
      <c r="AD2440" s="23"/>
      <c r="AE2440" s="23"/>
      <c r="AF2440" s="23"/>
      <c r="AG2440" s="23"/>
      <c r="AH2440" s="23"/>
      <c r="AI2440" s="23"/>
      <c r="AJ2440" s="23"/>
      <c r="AK2440" s="23"/>
      <c r="AL2440" s="23"/>
      <c r="AM2440" s="23"/>
      <c r="AN2440" s="23"/>
      <c r="AO2440" s="23"/>
      <c r="AP2440" s="23"/>
      <c r="AQ2440" s="23"/>
      <c r="AR2440" s="23"/>
      <c r="AS2440" s="23"/>
      <c r="AT2440" s="23"/>
      <c r="AU2440" s="23"/>
      <c r="AV2440" s="23"/>
      <c r="AW2440" s="23"/>
      <c r="AX2440" s="23"/>
      <c r="AY2440" s="23"/>
      <c r="AZ2440" s="23"/>
      <c r="BA2440" s="23"/>
      <c r="BB2440" s="23"/>
    </row>
    <row r="2441" spans="5:54" x14ac:dyDescent="0.35"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  <c r="AA2441" s="23"/>
      <c r="AB2441" s="23"/>
      <c r="AC2441" s="23"/>
      <c r="AD2441" s="23"/>
      <c r="AE2441" s="23"/>
      <c r="AF2441" s="23"/>
      <c r="AG2441" s="23"/>
      <c r="AH2441" s="23"/>
      <c r="AI2441" s="23"/>
      <c r="AJ2441" s="23"/>
      <c r="AK2441" s="23"/>
      <c r="AL2441" s="23"/>
      <c r="AM2441" s="23"/>
      <c r="AN2441" s="23"/>
      <c r="AO2441" s="23"/>
      <c r="AP2441" s="23"/>
      <c r="AQ2441" s="23"/>
      <c r="AR2441" s="23"/>
      <c r="AS2441" s="23"/>
      <c r="AT2441" s="23"/>
      <c r="AU2441" s="23"/>
      <c r="AV2441" s="23"/>
      <c r="AW2441" s="23"/>
      <c r="AX2441" s="23"/>
      <c r="AY2441" s="23"/>
      <c r="AZ2441" s="23"/>
      <c r="BA2441" s="23"/>
      <c r="BB2441" s="23"/>
    </row>
    <row r="2442" spans="5:54" x14ac:dyDescent="0.35"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  <c r="AA2442" s="23"/>
      <c r="AB2442" s="23"/>
      <c r="AC2442" s="23"/>
      <c r="AD2442" s="23"/>
      <c r="AE2442" s="23"/>
      <c r="AF2442" s="23"/>
      <c r="AG2442" s="23"/>
      <c r="AH2442" s="23"/>
      <c r="AI2442" s="23"/>
      <c r="AJ2442" s="23"/>
      <c r="AK2442" s="23"/>
      <c r="AL2442" s="23"/>
      <c r="AM2442" s="23"/>
      <c r="AN2442" s="23"/>
      <c r="AO2442" s="23"/>
      <c r="AP2442" s="23"/>
      <c r="AQ2442" s="23"/>
      <c r="AR2442" s="23"/>
      <c r="AS2442" s="23"/>
      <c r="AT2442" s="23"/>
      <c r="AU2442" s="23"/>
      <c r="AV2442" s="23"/>
      <c r="AW2442" s="23"/>
      <c r="AX2442" s="23"/>
      <c r="AY2442" s="23"/>
      <c r="AZ2442" s="23"/>
      <c r="BA2442" s="23"/>
      <c r="BB2442" s="23"/>
    </row>
    <row r="2443" spans="5:54" x14ac:dyDescent="0.35"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  <c r="AA2443" s="23"/>
      <c r="AB2443" s="23"/>
      <c r="AC2443" s="23"/>
      <c r="AD2443" s="23"/>
      <c r="AE2443" s="23"/>
      <c r="AF2443" s="23"/>
      <c r="AG2443" s="23"/>
      <c r="AH2443" s="23"/>
      <c r="AI2443" s="23"/>
      <c r="AJ2443" s="23"/>
      <c r="AK2443" s="23"/>
      <c r="AL2443" s="23"/>
      <c r="AM2443" s="23"/>
      <c r="AN2443" s="23"/>
      <c r="AO2443" s="23"/>
      <c r="AP2443" s="23"/>
      <c r="AQ2443" s="23"/>
      <c r="AR2443" s="23"/>
      <c r="AS2443" s="23"/>
      <c r="AT2443" s="23"/>
      <c r="AU2443" s="23"/>
      <c r="AV2443" s="23"/>
      <c r="AW2443" s="23"/>
      <c r="AX2443" s="23"/>
      <c r="AY2443" s="23"/>
      <c r="AZ2443" s="23"/>
      <c r="BA2443" s="23"/>
      <c r="BB2443" s="23"/>
    </row>
    <row r="2444" spans="5:54" x14ac:dyDescent="0.35"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  <c r="AA2444" s="23"/>
      <c r="AB2444" s="23"/>
      <c r="AC2444" s="23"/>
      <c r="AD2444" s="23"/>
      <c r="AE2444" s="23"/>
      <c r="AF2444" s="23"/>
      <c r="AG2444" s="23"/>
      <c r="AH2444" s="23"/>
      <c r="AI2444" s="23"/>
      <c r="AJ2444" s="23"/>
      <c r="AK2444" s="23"/>
      <c r="AL2444" s="23"/>
      <c r="AM2444" s="23"/>
      <c r="AN2444" s="23"/>
      <c r="AO2444" s="23"/>
      <c r="AP2444" s="23"/>
      <c r="AQ2444" s="23"/>
      <c r="AR2444" s="23"/>
      <c r="AS2444" s="23"/>
      <c r="AT2444" s="23"/>
      <c r="AU2444" s="23"/>
      <c r="AV2444" s="23"/>
      <c r="AW2444" s="23"/>
      <c r="AX2444" s="23"/>
      <c r="AY2444" s="23"/>
      <c r="AZ2444" s="23"/>
      <c r="BA2444" s="23"/>
      <c r="BB2444" s="23"/>
    </row>
    <row r="2445" spans="5:54" x14ac:dyDescent="0.35"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  <c r="AA2445" s="23"/>
      <c r="AB2445" s="23"/>
      <c r="AC2445" s="23"/>
      <c r="AD2445" s="23"/>
      <c r="AE2445" s="23"/>
      <c r="AF2445" s="23"/>
      <c r="AG2445" s="23"/>
      <c r="AH2445" s="23"/>
      <c r="AI2445" s="23"/>
      <c r="AJ2445" s="23"/>
      <c r="AK2445" s="23"/>
      <c r="AL2445" s="23"/>
      <c r="AM2445" s="23"/>
      <c r="AN2445" s="23"/>
      <c r="AO2445" s="23"/>
      <c r="AP2445" s="23"/>
      <c r="AQ2445" s="23"/>
      <c r="AR2445" s="23"/>
      <c r="AS2445" s="23"/>
      <c r="AT2445" s="23"/>
      <c r="AU2445" s="23"/>
      <c r="AV2445" s="23"/>
      <c r="AW2445" s="23"/>
      <c r="AX2445" s="23"/>
      <c r="AY2445" s="23"/>
      <c r="AZ2445" s="23"/>
      <c r="BA2445" s="23"/>
      <c r="BB2445" s="23"/>
    </row>
    <row r="2446" spans="5:54" x14ac:dyDescent="0.35"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  <c r="AA2446" s="23"/>
      <c r="AB2446" s="23"/>
      <c r="AC2446" s="23"/>
      <c r="AD2446" s="23"/>
      <c r="AE2446" s="23"/>
      <c r="AF2446" s="23"/>
      <c r="AG2446" s="23"/>
      <c r="AH2446" s="23"/>
      <c r="AI2446" s="23"/>
      <c r="AJ2446" s="23"/>
      <c r="AK2446" s="23"/>
      <c r="AL2446" s="23"/>
      <c r="AM2446" s="23"/>
      <c r="AN2446" s="23"/>
      <c r="AO2446" s="23"/>
      <c r="AP2446" s="23"/>
      <c r="AQ2446" s="23"/>
      <c r="AR2446" s="23"/>
      <c r="AS2446" s="23"/>
      <c r="AT2446" s="23"/>
      <c r="AU2446" s="23"/>
      <c r="AV2446" s="23"/>
      <c r="AW2446" s="23"/>
      <c r="AX2446" s="23"/>
      <c r="AY2446" s="23"/>
      <c r="AZ2446" s="23"/>
      <c r="BA2446" s="23"/>
      <c r="BB2446" s="23"/>
    </row>
    <row r="2447" spans="5:54" x14ac:dyDescent="0.35"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  <c r="AA2447" s="23"/>
      <c r="AB2447" s="23"/>
      <c r="AC2447" s="23"/>
      <c r="AD2447" s="23"/>
      <c r="AE2447" s="23"/>
      <c r="AF2447" s="23"/>
      <c r="AG2447" s="23"/>
      <c r="AH2447" s="23"/>
      <c r="AI2447" s="23"/>
      <c r="AJ2447" s="23"/>
      <c r="AK2447" s="23"/>
      <c r="AL2447" s="23"/>
      <c r="AM2447" s="23"/>
      <c r="AN2447" s="23"/>
      <c r="AO2447" s="23"/>
      <c r="AP2447" s="23"/>
      <c r="AQ2447" s="23"/>
      <c r="AR2447" s="23"/>
      <c r="AS2447" s="23"/>
      <c r="AT2447" s="23"/>
      <c r="AU2447" s="23"/>
      <c r="AV2447" s="23"/>
      <c r="AW2447" s="23"/>
      <c r="AX2447" s="23"/>
      <c r="AY2447" s="23"/>
      <c r="AZ2447" s="23"/>
      <c r="BA2447" s="23"/>
      <c r="BB2447" s="23"/>
    </row>
    <row r="2448" spans="5:54" x14ac:dyDescent="0.35"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  <c r="AA2448" s="23"/>
      <c r="AB2448" s="23"/>
      <c r="AC2448" s="23"/>
      <c r="AD2448" s="23"/>
      <c r="AE2448" s="23"/>
      <c r="AF2448" s="23"/>
      <c r="AG2448" s="23"/>
      <c r="AH2448" s="23"/>
      <c r="AI2448" s="23"/>
      <c r="AJ2448" s="23"/>
      <c r="AK2448" s="23"/>
      <c r="AL2448" s="23"/>
      <c r="AM2448" s="23"/>
      <c r="AN2448" s="23"/>
      <c r="AO2448" s="23"/>
      <c r="AP2448" s="23"/>
      <c r="AQ2448" s="23"/>
      <c r="AR2448" s="23"/>
      <c r="AS2448" s="23"/>
      <c r="AT2448" s="23"/>
      <c r="AU2448" s="23"/>
      <c r="AV2448" s="23"/>
      <c r="AW2448" s="23"/>
      <c r="AX2448" s="23"/>
      <c r="AY2448" s="23"/>
      <c r="AZ2448" s="23"/>
      <c r="BA2448" s="23"/>
      <c r="BB2448" s="23"/>
    </row>
    <row r="2449" spans="5:54" x14ac:dyDescent="0.35"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  <c r="AA2449" s="23"/>
      <c r="AB2449" s="23"/>
      <c r="AC2449" s="23"/>
      <c r="AD2449" s="23"/>
      <c r="AE2449" s="23"/>
      <c r="AF2449" s="23"/>
      <c r="AG2449" s="23"/>
      <c r="AH2449" s="23"/>
      <c r="AI2449" s="23"/>
      <c r="AJ2449" s="23"/>
      <c r="AK2449" s="23"/>
      <c r="AL2449" s="23"/>
      <c r="AM2449" s="23"/>
      <c r="AN2449" s="23"/>
      <c r="AO2449" s="23"/>
      <c r="AP2449" s="23"/>
      <c r="AQ2449" s="23"/>
      <c r="AR2449" s="23"/>
      <c r="AS2449" s="23"/>
      <c r="AT2449" s="23"/>
      <c r="AU2449" s="23"/>
      <c r="AV2449" s="23"/>
      <c r="AW2449" s="23"/>
      <c r="AX2449" s="23"/>
      <c r="AY2449" s="23"/>
      <c r="AZ2449" s="23"/>
      <c r="BA2449" s="23"/>
      <c r="BB2449" s="23"/>
    </row>
    <row r="2450" spans="5:54" x14ac:dyDescent="0.35"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  <c r="AA2450" s="23"/>
      <c r="AB2450" s="23"/>
      <c r="AC2450" s="23"/>
      <c r="AD2450" s="23"/>
      <c r="AE2450" s="23"/>
      <c r="AF2450" s="23"/>
      <c r="AG2450" s="23"/>
      <c r="AH2450" s="23"/>
      <c r="AI2450" s="23"/>
      <c r="AJ2450" s="23"/>
      <c r="AK2450" s="23"/>
      <c r="AL2450" s="23"/>
      <c r="AM2450" s="23"/>
      <c r="AN2450" s="23"/>
      <c r="AO2450" s="23"/>
      <c r="AP2450" s="23"/>
      <c r="AQ2450" s="23"/>
      <c r="AR2450" s="23"/>
      <c r="AS2450" s="23"/>
      <c r="AT2450" s="23"/>
      <c r="AU2450" s="23"/>
      <c r="AV2450" s="23"/>
      <c r="AW2450" s="23"/>
      <c r="AX2450" s="23"/>
      <c r="AY2450" s="23"/>
      <c r="AZ2450" s="23"/>
      <c r="BA2450" s="23"/>
      <c r="BB2450" s="23"/>
    </row>
    <row r="2451" spans="5:54" x14ac:dyDescent="0.35"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  <c r="AA2451" s="23"/>
      <c r="AB2451" s="23"/>
      <c r="AC2451" s="23"/>
      <c r="AD2451" s="23"/>
      <c r="AE2451" s="23"/>
      <c r="AF2451" s="23"/>
      <c r="AG2451" s="23"/>
      <c r="AH2451" s="23"/>
      <c r="AI2451" s="23"/>
      <c r="AJ2451" s="23"/>
      <c r="AK2451" s="23"/>
      <c r="AL2451" s="23"/>
      <c r="AM2451" s="23"/>
      <c r="AN2451" s="23"/>
      <c r="AO2451" s="23"/>
      <c r="AP2451" s="23"/>
      <c r="AQ2451" s="23"/>
      <c r="AR2451" s="23"/>
      <c r="AS2451" s="23"/>
      <c r="AT2451" s="23"/>
      <c r="AU2451" s="23"/>
      <c r="AV2451" s="23"/>
      <c r="AW2451" s="23"/>
      <c r="AX2451" s="23"/>
      <c r="AY2451" s="23"/>
      <c r="AZ2451" s="23"/>
      <c r="BA2451" s="23"/>
      <c r="BB2451" s="23"/>
    </row>
    <row r="2452" spans="5:54" x14ac:dyDescent="0.35"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  <c r="AA2452" s="23"/>
      <c r="AB2452" s="23"/>
      <c r="AC2452" s="23"/>
      <c r="AD2452" s="23"/>
      <c r="AE2452" s="23"/>
      <c r="AF2452" s="23"/>
      <c r="AG2452" s="23"/>
      <c r="AH2452" s="23"/>
      <c r="AI2452" s="23"/>
      <c r="AJ2452" s="23"/>
      <c r="AK2452" s="23"/>
      <c r="AL2452" s="23"/>
      <c r="AM2452" s="23"/>
      <c r="AN2452" s="23"/>
      <c r="AO2452" s="23"/>
      <c r="AP2452" s="23"/>
      <c r="AQ2452" s="23"/>
      <c r="AR2452" s="23"/>
      <c r="AS2452" s="23"/>
      <c r="AT2452" s="23"/>
      <c r="AU2452" s="23"/>
      <c r="AV2452" s="23"/>
      <c r="AW2452" s="23"/>
      <c r="AX2452" s="23"/>
      <c r="AY2452" s="23"/>
      <c r="AZ2452" s="23"/>
      <c r="BA2452" s="23"/>
      <c r="BB2452" s="23"/>
    </row>
    <row r="2453" spans="5:54" x14ac:dyDescent="0.35"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  <c r="AA2453" s="23"/>
      <c r="AB2453" s="23"/>
      <c r="AC2453" s="23"/>
      <c r="AD2453" s="23"/>
      <c r="AE2453" s="23"/>
      <c r="AF2453" s="23"/>
      <c r="AG2453" s="23"/>
      <c r="AH2453" s="23"/>
      <c r="AI2453" s="23"/>
      <c r="AJ2453" s="23"/>
      <c r="AK2453" s="23"/>
      <c r="AL2453" s="23"/>
      <c r="AM2453" s="23"/>
      <c r="AN2453" s="23"/>
      <c r="AO2453" s="23"/>
      <c r="AP2453" s="23"/>
      <c r="AQ2453" s="23"/>
      <c r="AR2453" s="23"/>
      <c r="AS2453" s="23"/>
      <c r="AT2453" s="23"/>
      <c r="AU2453" s="23"/>
      <c r="AV2453" s="23"/>
      <c r="AW2453" s="23"/>
      <c r="AX2453" s="23"/>
      <c r="AY2453" s="23"/>
      <c r="AZ2453" s="23"/>
      <c r="BA2453" s="23"/>
      <c r="BB2453" s="23"/>
    </row>
    <row r="2454" spans="5:54" x14ac:dyDescent="0.35"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  <c r="AA2454" s="23"/>
      <c r="AB2454" s="23"/>
      <c r="AC2454" s="23"/>
      <c r="AD2454" s="23"/>
      <c r="AE2454" s="23"/>
      <c r="AF2454" s="23"/>
      <c r="AG2454" s="23"/>
      <c r="AH2454" s="23"/>
      <c r="AI2454" s="23"/>
      <c r="AJ2454" s="23"/>
      <c r="AK2454" s="23"/>
      <c r="AL2454" s="23"/>
      <c r="AM2454" s="23"/>
      <c r="AN2454" s="23"/>
      <c r="AO2454" s="23"/>
      <c r="AP2454" s="23"/>
      <c r="AQ2454" s="23"/>
      <c r="AR2454" s="23"/>
      <c r="AS2454" s="23"/>
      <c r="AT2454" s="23"/>
      <c r="AU2454" s="23"/>
      <c r="AV2454" s="23"/>
      <c r="AW2454" s="23"/>
      <c r="AX2454" s="23"/>
      <c r="AY2454" s="23"/>
      <c r="AZ2454" s="23"/>
      <c r="BA2454" s="23"/>
      <c r="BB2454" s="23"/>
    </row>
    <row r="2455" spans="5:54" x14ac:dyDescent="0.35"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  <c r="AA2455" s="23"/>
      <c r="AB2455" s="23"/>
      <c r="AC2455" s="23"/>
      <c r="AD2455" s="23"/>
      <c r="AE2455" s="23"/>
      <c r="AF2455" s="23"/>
      <c r="AG2455" s="23"/>
      <c r="AH2455" s="23"/>
      <c r="AI2455" s="23"/>
      <c r="AJ2455" s="23"/>
      <c r="AK2455" s="23"/>
      <c r="AL2455" s="23"/>
      <c r="AM2455" s="23"/>
      <c r="AN2455" s="23"/>
      <c r="AO2455" s="23"/>
      <c r="AP2455" s="23"/>
      <c r="AQ2455" s="23"/>
      <c r="AR2455" s="23"/>
      <c r="AS2455" s="23"/>
      <c r="AT2455" s="23"/>
      <c r="AU2455" s="23"/>
      <c r="AV2455" s="23"/>
      <c r="AW2455" s="23"/>
      <c r="AX2455" s="23"/>
      <c r="AY2455" s="23"/>
      <c r="AZ2455" s="23"/>
      <c r="BA2455" s="23"/>
      <c r="BB2455" s="23"/>
    </row>
    <row r="2456" spans="5:54" x14ac:dyDescent="0.35"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  <c r="AA2456" s="23"/>
      <c r="AB2456" s="23"/>
      <c r="AC2456" s="23"/>
      <c r="AD2456" s="23"/>
      <c r="AE2456" s="23"/>
      <c r="AF2456" s="23"/>
      <c r="AG2456" s="23"/>
      <c r="AH2456" s="23"/>
      <c r="AI2456" s="23"/>
      <c r="AJ2456" s="23"/>
      <c r="AK2456" s="23"/>
      <c r="AL2456" s="23"/>
      <c r="AM2456" s="23"/>
      <c r="AN2456" s="23"/>
      <c r="AO2456" s="23"/>
      <c r="AP2456" s="23"/>
      <c r="AQ2456" s="23"/>
      <c r="AR2456" s="23"/>
      <c r="AS2456" s="23"/>
      <c r="AT2456" s="23"/>
      <c r="AU2456" s="23"/>
      <c r="AV2456" s="23"/>
      <c r="AW2456" s="23"/>
      <c r="AX2456" s="23"/>
      <c r="AY2456" s="23"/>
      <c r="AZ2456" s="23"/>
      <c r="BA2456" s="23"/>
      <c r="BB2456" s="23"/>
    </row>
    <row r="2457" spans="5:54" x14ac:dyDescent="0.35"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  <c r="AA2457" s="23"/>
      <c r="AB2457" s="23"/>
      <c r="AC2457" s="23"/>
      <c r="AD2457" s="23"/>
      <c r="AE2457" s="23"/>
      <c r="AF2457" s="23"/>
      <c r="AG2457" s="23"/>
      <c r="AH2457" s="23"/>
      <c r="AI2457" s="23"/>
      <c r="AJ2457" s="23"/>
      <c r="AK2457" s="23"/>
      <c r="AL2457" s="23"/>
      <c r="AM2457" s="23"/>
      <c r="AN2457" s="23"/>
      <c r="AO2457" s="23"/>
      <c r="AP2457" s="23"/>
      <c r="AQ2457" s="23"/>
      <c r="AR2457" s="23"/>
      <c r="AS2457" s="23"/>
      <c r="AT2457" s="23"/>
      <c r="AU2457" s="23"/>
      <c r="AV2457" s="23"/>
      <c r="AW2457" s="23"/>
      <c r="AX2457" s="23"/>
      <c r="AY2457" s="23"/>
      <c r="AZ2457" s="23"/>
      <c r="BA2457" s="23"/>
      <c r="BB2457" s="23"/>
    </row>
    <row r="2458" spans="5:54" x14ac:dyDescent="0.35"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  <c r="AA2458" s="23"/>
      <c r="AB2458" s="23"/>
      <c r="AC2458" s="23"/>
      <c r="AD2458" s="23"/>
      <c r="AE2458" s="23"/>
      <c r="AF2458" s="23"/>
      <c r="AG2458" s="23"/>
      <c r="AH2458" s="23"/>
      <c r="AI2458" s="23"/>
      <c r="AJ2458" s="23"/>
      <c r="AK2458" s="23"/>
      <c r="AL2458" s="23"/>
      <c r="AM2458" s="23"/>
      <c r="AN2458" s="23"/>
      <c r="AO2458" s="23"/>
      <c r="AP2458" s="23"/>
      <c r="AQ2458" s="23"/>
      <c r="AR2458" s="23"/>
      <c r="AS2458" s="23"/>
      <c r="AT2458" s="23"/>
      <c r="AU2458" s="23"/>
      <c r="AV2458" s="23"/>
      <c r="AW2458" s="23"/>
      <c r="AX2458" s="23"/>
      <c r="AY2458" s="23"/>
      <c r="AZ2458" s="23"/>
      <c r="BA2458" s="23"/>
      <c r="BB2458" s="23"/>
    </row>
    <row r="2459" spans="5:54" x14ac:dyDescent="0.35"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  <c r="AA2459" s="23"/>
      <c r="AB2459" s="23"/>
      <c r="AC2459" s="23"/>
      <c r="AD2459" s="23"/>
      <c r="AE2459" s="23"/>
      <c r="AF2459" s="23"/>
      <c r="AG2459" s="23"/>
      <c r="AH2459" s="23"/>
      <c r="AI2459" s="23"/>
      <c r="AJ2459" s="23"/>
      <c r="AK2459" s="23"/>
      <c r="AL2459" s="23"/>
      <c r="AM2459" s="23"/>
      <c r="AN2459" s="23"/>
      <c r="AO2459" s="23"/>
      <c r="AP2459" s="23"/>
      <c r="AQ2459" s="23"/>
      <c r="AR2459" s="23"/>
      <c r="AS2459" s="23"/>
      <c r="AT2459" s="23"/>
      <c r="AU2459" s="23"/>
      <c r="AV2459" s="23"/>
      <c r="AW2459" s="23"/>
      <c r="AX2459" s="23"/>
      <c r="AY2459" s="23"/>
      <c r="AZ2459" s="23"/>
      <c r="BA2459" s="23"/>
      <c r="BB2459" s="23"/>
    </row>
    <row r="2460" spans="5:54" x14ac:dyDescent="0.35"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  <c r="AA2460" s="23"/>
      <c r="AB2460" s="23"/>
      <c r="AC2460" s="23"/>
      <c r="AD2460" s="23"/>
      <c r="AE2460" s="23"/>
      <c r="AF2460" s="23"/>
      <c r="AG2460" s="23"/>
      <c r="AH2460" s="23"/>
      <c r="AI2460" s="23"/>
      <c r="AJ2460" s="23"/>
      <c r="AK2460" s="23"/>
      <c r="AL2460" s="23"/>
      <c r="AM2460" s="23"/>
      <c r="AN2460" s="23"/>
      <c r="AO2460" s="23"/>
      <c r="AP2460" s="23"/>
      <c r="AQ2460" s="23"/>
      <c r="AR2460" s="23"/>
      <c r="AS2460" s="23"/>
      <c r="AT2460" s="23"/>
      <c r="AU2460" s="23"/>
      <c r="AV2460" s="23"/>
      <c r="AW2460" s="23"/>
      <c r="AX2460" s="23"/>
      <c r="AY2460" s="23"/>
      <c r="AZ2460" s="23"/>
      <c r="BA2460" s="23"/>
      <c r="BB2460" s="23"/>
    </row>
    <row r="2461" spans="5:54" x14ac:dyDescent="0.35"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  <c r="AA2461" s="23"/>
      <c r="AB2461" s="23"/>
      <c r="AC2461" s="23"/>
      <c r="AD2461" s="23"/>
      <c r="AE2461" s="23"/>
      <c r="AF2461" s="23"/>
      <c r="AG2461" s="23"/>
      <c r="AH2461" s="23"/>
      <c r="AI2461" s="23"/>
      <c r="AJ2461" s="23"/>
      <c r="AK2461" s="23"/>
      <c r="AL2461" s="23"/>
      <c r="AM2461" s="23"/>
      <c r="AN2461" s="23"/>
      <c r="AO2461" s="23"/>
      <c r="AP2461" s="23"/>
      <c r="AQ2461" s="23"/>
      <c r="AR2461" s="23"/>
      <c r="AS2461" s="23"/>
      <c r="AT2461" s="23"/>
      <c r="AU2461" s="23"/>
      <c r="AV2461" s="23"/>
      <c r="AW2461" s="23"/>
      <c r="AX2461" s="23"/>
      <c r="AY2461" s="23"/>
      <c r="AZ2461" s="23"/>
      <c r="BA2461" s="23"/>
      <c r="BB2461" s="23"/>
    </row>
    <row r="2462" spans="5:54" x14ac:dyDescent="0.35"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  <c r="AA2462" s="23"/>
      <c r="AB2462" s="23"/>
      <c r="AC2462" s="23"/>
      <c r="AD2462" s="23"/>
      <c r="AE2462" s="23"/>
      <c r="AF2462" s="23"/>
      <c r="AG2462" s="23"/>
      <c r="AH2462" s="23"/>
      <c r="AI2462" s="23"/>
      <c r="AJ2462" s="23"/>
      <c r="AK2462" s="23"/>
      <c r="AL2462" s="23"/>
      <c r="AM2462" s="23"/>
      <c r="AN2462" s="23"/>
      <c r="AO2462" s="23"/>
      <c r="AP2462" s="23"/>
      <c r="AQ2462" s="23"/>
      <c r="AR2462" s="23"/>
      <c r="AS2462" s="23"/>
      <c r="AT2462" s="23"/>
      <c r="AU2462" s="23"/>
      <c r="AV2462" s="23"/>
      <c r="AW2462" s="23"/>
      <c r="AX2462" s="23"/>
      <c r="AY2462" s="23"/>
      <c r="AZ2462" s="23"/>
      <c r="BA2462" s="23"/>
      <c r="BB2462" s="23"/>
    </row>
    <row r="2463" spans="5:54" x14ac:dyDescent="0.35"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  <c r="AA2463" s="23"/>
      <c r="AB2463" s="23"/>
      <c r="AC2463" s="23"/>
      <c r="AD2463" s="23"/>
      <c r="AE2463" s="23"/>
      <c r="AF2463" s="23"/>
      <c r="AG2463" s="23"/>
      <c r="AH2463" s="23"/>
      <c r="AI2463" s="23"/>
      <c r="AJ2463" s="23"/>
      <c r="AK2463" s="23"/>
      <c r="AL2463" s="23"/>
      <c r="AM2463" s="23"/>
      <c r="AN2463" s="23"/>
      <c r="AO2463" s="23"/>
      <c r="AP2463" s="23"/>
      <c r="AQ2463" s="23"/>
      <c r="AR2463" s="23"/>
      <c r="AS2463" s="23"/>
      <c r="AT2463" s="23"/>
      <c r="AU2463" s="23"/>
      <c r="AV2463" s="23"/>
      <c r="AW2463" s="23"/>
      <c r="AX2463" s="23"/>
      <c r="AY2463" s="23"/>
      <c r="AZ2463" s="23"/>
      <c r="BA2463" s="23"/>
      <c r="BB2463" s="23"/>
    </row>
    <row r="2464" spans="5:54" x14ac:dyDescent="0.35"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  <c r="AA2464" s="23"/>
      <c r="AB2464" s="23"/>
      <c r="AC2464" s="23"/>
      <c r="AD2464" s="23"/>
      <c r="AE2464" s="23"/>
      <c r="AF2464" s="23"/>
      <c r="AG2464" s="23"/>
      <c r="AH2464" s="23"/>
      <c r="AI2464" s="23"/>
      <c r="AJ2464" s="23"/>
      <c r="AK2464" s="23"/>
      <c r="AL2464" s="23"/>
      <c r="AM2464" s="23"/>
      <c r="AN2464" s="23"/>
      <c r="AO2464" s="23"/>
      <c r="AP2464" s="23"/>
      <c r="AQ2464" s="23"/>
      <c r="AR2464" s="23"/>
      <c r="AS2464" s="23"/>
      <c r="AT2464" s="23"/>
      <c r="AU2464" s="23"/>
      <c r="AV2464" s="23"/>
      <c r="AW2464" s="23"/>
      <c r="AX2464" s="23"/>
      <c r="AY2464" s="23"/>
      <c r="AZ2464" s="23"/>
      <c r="BA2464" s="23"/>
      <c r="BB2464" s="23"/>
    </row>
    <row r="2465" spans="5:54" x14ac:dyDescent="0.35"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  <c r="AA2465" s="23"/>
      <c r="AB2465" s="23"/>
      <c r="AC2465" s="23"/>
      <c r="AD2465" s="23"/>
      <c r="AE2465" s="23"/>
      <c r="AF2465" s="23"/>
      <c r="AG2465" s="23"/>
      <c r="AH2465" s="23"/>
      <c r="AI2465" s="23"/>
      <c r="AJ2465" s="23"/>
      <c r="AK2465" s="23"/>
      <c r="AL2465" s="23"/>
      <c r="AM2465" s="23"/>
      <c r="AN2465" s="23"/>
      <c r="AO2465" s="23"/>
      <c r="AP2465" s="23"/>
      <c r="AQ2465" s="23"/>
      <c r="AR2465" s="23"/>
      <c r="AS2465" s="23"/>
      <c r="AT2465" s="23"/>
      <c r="AU2465" s="23"/>
      <c r="AV2465" s="23"/>
      <c r="AW2465" s="23"/>
      <c r="AX2465" s="23"/>
      <c r="AY2465" s="23"/>
      <c r="AZ2465" s="23"/>
      <c r="BA2465" s="23"/>
      <c r="BB2465" s="23"/>
    </row>
    <row r="2466" spans="5:54" x14ac:dyDescent="0.35"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  <c r="AA2466" s="23"/>
      <c r="AB2466" s="23"/>
      <c r="AC2466" s="23"/>
      <c r="AD2466" s="23"/>
      <c r="AE2466" s="23"/>
      <c r="AF2466" s="23"/>
      <c r="AG2466" s="23"/>
      <c r="AH2466" s="23"/>
      <c r="AI2466" s="23"/>
      <c r="AJ2466" s="23"/>
      <c r="AK2466" s="23"/>
      <c r="AL2466" s="23"/>
      <c r="AM2466" s="23"/>
      <c r="AN2466" s="23"/>
      <c r="AO2466" s="23"/>
      <c r="AP2466" s="23"/>
      <c r="AQ2466" s="23"/>
      <c r="AR2466" s="23"/>
      <c r="AS2466" s="23"/>
      <c r="AT2466" s="23"/>
      <c r="AU2466" s="23"/>
      <c r="AV2466" s="23"/>
      <c r="AW2466" s="23"/>
      <c r="AX2466" s="23"/>
      <c r="AY2466" s="23"/>
      <c r="AZ2466" s="23"/>
      <c r="BA2466" s="23"/>
      <c r="BB2466" s="23"/>
    </row>
    <row r="2467" spans="5:54" x14ac:dyDescent="0.35"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  <c r="AA2467" s="23"/>
      <c r="AB2467" s="23"/>
      <c r="AC2467" s="23"/>
      <c r="AD2467" s="23"/>
      <c r="AE2467" s="23"/>
      <c r="AF2467" s="23"/>
      <c r="AG2467" s="23"/>
      <c r="AH2467" s="23"/>
      <c r="AI2467" s="23"/>
      <c r="AJ2467" s="23"/>
      <c r="AK2467" s="23"/>
      <c r="AL2467" s="23"/>
      <c r="AM2467" s="23"/>
      <c r="AN2467" s="23"/>
      <c r="AO2467" s="23"/>
      <c r="AP2467" s="23"/>
      <c r="AQ2467" s="23"/>
      <c r="AR2467" s="23"/>
      <c r="AS2467" s="23"/>
      <c r="AT2467" s="23"/>
      <c r="AU2467" s="23"/>
      <c r="AV2467" s="23"/>
      <c r="AW2467" s="23"/>
      <c r="AX2467" s="23"/>
      <c r="AY2467" s="23"/>
      <c r="AZ2467" s="23"/>
      <c r="BA2467" s="23"/>
      <c r="BB2467" s="23"/>
    </row>
    <row r="2468" spans="5:54" x14ac:dyDescent="0.35"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  <c r="AA2468" s="23"/>
      <c r="AB2468" s="23"/>
      <c r="AC2468" s="23"/>
      <c r="AD2468" s="23"/>
      <c r="AE2468" s="23"/>
      <c r="AF2468" s="23"/>
      <c r="AG2468" s="23"/>
      <c r="AH2468" s="23"/>
      <c r="AI2468" s="23"/>
      <c r="AJ2468" s="23"/>
      <c r="AK2468" s="23"/>
      <c r="AL2468" s="23"/>
      <c r="AM2468" s="23"/>
      <c r="AN2468" s="23"/>
      <c r="AO2468" s="23"/>
      <c r="AP2468" s="23"/>
      <c r="AQ2468" s="23"/>
      <c r="AR2468" s="23"/>
      <c r="AS2468" s="23"/>
      <c r="AT2468" s="23"/>
      <c r="AU2468" s="23"/>
      <c r="AV2468" s="23"/>
      <c r="AW2468" s="23"/>
      <c r="AX2468" s="23"/>
      <c r="AY2468" s="23"/>
      <c r="AZ2468" s="23"/>
      <c r="BA2468" s="23"/>
      <c r="BB2468" s="23"/>
    </row>
    <row r="2469" spans="5:54" x14ac:dyDescent="0.35"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  <c r="AA2469" s="23"/>
      <c r="AB2469" s="23"/>
      <c r="AC2469" s="23"/>
      <c r="AD2469" s="23"/>
      <c r="AE2469" s="23"/>
      <c r="AF2469" s="23"/>
      <c r="AG2469" s="23"/>
      <c r="AH2469" s="23"/>
      <c r="AI2469" s="23"/>
      <c r="AJ2469" s="23"/>
      <c r="AK2469" s="23"/>
      <c r="AL2469" s="23"/>
      <c r="AM2469" s="23"/>
      <c r="AN2469" s="23"/>
      <c r="AO2469" s="23"/>
      <c r="AP2469" s="23"/>
      <c r="AQ2469" s="23"/>
      <c r="AR2469" s="23"/>
      <c r="AS2469" s="23"/>
      <c r="AT2469" s="23"/>
      <c r="AU2469" s="23"/>
      <c r="AV2469" s="23"/>
      <c r="AW2469" s="23"/>
      <c r="AX2469" s="23"/>
      <c r="AY2469" s="23"/>
      <c r="AZ2469" s="23"/>
      <c r="BA2469" s="23"/>
      <c r="BB2469" s="23"/>
    </row>
    <row r="2470" spans="5:54" x14ac:dyDescent="0.35"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  <c r="AA2470" s="23"/>
      <c r="AB2470" s="23"/>
      <c r="AC2470" s="23"/>
      <c r="AD2470" s="23"/>
      <c r="AE2470" s="23"/>
      <c r="AF2470" s="23"/>
      <c r="AG2470" s="23"/>
      <c r="AH2470" s="23"/>
      <c r="AI2470" s="23"/>
      <c r="AJ2470" s="23"/>
      <c r="AK2470" s="23"/>
      <c r="AL2470" s="23"/>
      <c r="AM2470" s="23"/>
      <c r="AN2470" s="23"/>
      <c r="AO2470" s="23"/>
      <c r="AP2470" s="23"/>
      <c r="AQ2470" s="23"/>
      <c r="AR2470" s="23"/>
      <c r="AS2470" s="23"/>
      <c r="AT2470" s="23"/>
      <c r="AU2470" s="23"/>
      <c r="AV2470" s="23"/>
      <c r="AW2470" s="23"/>
      <c r="AX2470" s="23"/>
      <c r="AY2470" s="23"/>
      <c r="AZ2470" s="23"/>
      <c r="BA2470" s="23"/>
      <c r="BB2470" s="23"/>
    </row>
    <row r="2471" spans="5:54" x14ac:dyDescent="0.35"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  <c r="AA2471" s="23"/>
      <c r="AB2471" s="23"/>
      <c r="AC2471" s="23"/>
      <c r="AD2471" s="23"/>
      <c r="AE2471" s="23"/>
      <c r="AF2471" s="23"/>
      <c r="AG2471" s="23"/>
      <c r="AH2471" s="23"/>
      <c r="AI2471" s="23"/>
      <c r="AJ2471" s="23"/>
      <c r="AK2471" s="23"/>
      <c r="AL2471" s="23"/>
      <c r="AM2471" s="23"/>
      <c r="AN2471" s="23"/>
      <c r="AO2471" s="23"/>
      <c r="AP2471" s="23"/>
      <c r="AQ2471" s="23"/>
      <c r="AR2471" s="23"/>
      <c r="AS2471" s="23"/>
      <c r="AT2471" s="23"/>
      <c r="AU2471" s="23"/>
      <c r="AV2471" s="23"/>
      <c r="AW2471" s="23"/>
      <c r="AX2471" s="23"/>
      <c r="AY2471" s="23"/>
      <c r="AZ2471" s="23"/>
      <c r="BA2471" s="23"/>
      <c r="BB2471" s="23"/>
    </row>
    <row r="2472" spans="5:54" x14ac:dyDescent="0.35"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  <c r="AA2472" s="23"/>
      <c r="AB2472" s="23"/>
      <c r="AC2472" s="23"/>
      <c r="AD2472" s="23"/>
      <c r="AE2472" s="23"/>
      <c r="AF2472" s="23"/>
      <c r="AG2472" s="23"/>
      <c r="AH2472" s="23"/>
      <c r="AI2472" s="23"/>
      <c r="AJ2472" s="23"/>
      <c r="AK2472" s="23"/>
      <c r="AL2472" s="23"/>
      <c r="AM2472" s="23"/>
      <c r="AN2472" s="23"/>
      <c r="AO2472" s="23"/>
      <c r="AP2472" s="23"/>
      <c r="AQ2472" s="23"/>
      <c r="AR2472" s="23"/>
      <c r="AS2472" s="23"/>
      <c r="AT2472" s="23"/>
      <c r="AU2472" s="23"/>
      <c r="AV2472" s="23"/>
      <c r="AW2472" s="23"/>
      <c r="AX2472" s="23"/>
      <c r="AY2472" s="23"/>
      <c r="AZ2472" s="23"/>
      <c r="BA2472" s="23"/>
      <c r="BB2472" s="23"/>
    </row>
    <row r="2473" spans="5:54" x14ac:dyDescent="0.35"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  <c r="AA2473" s="23"/>
      <c r="AB2473" s="23"/>
      <c r="AC2473" s="23"/>
      <c r="AD2473" s="23"/>
      <c r="AE2473" s="23"/>
      <c r="AF2473" s="23"/>
      <c r="AG2473" s="23"/>
      <c r="AH2473" s="23"/>
      <c r="AI2473" s="23"/>
      <c r="AJ2473" s="23"/>
      <c r="AK2473" s="23"/>
      <c r="AL2473" s="23"/>
      <c r="AM2473" s="23"/>
      <c r="AN2473" s="23"/>
      <c r="AO2473" s="23"/>
      <c r="AP2473" s="23"/>
      <c r="AQ2473" s="23"/>
      <c r="AR2473" s="23"/>
      <c r="AS2473" s="23"/>
      <c r="AT2473" s="23"/>
      <c r="AU2473" s="23"/>
      <c r="AV2473" s="23"/>
      <c r="AW2473" s="23"/>
      <c r="AX2473" s="23"/>
      <c r="AY2473" s="23"/>
      <c r="AZ2473" s="23"/>
      <c r="BA2473" s="23"/>
      <c r="BB2473" s="23"/>
    </row>
    <row r="2474" spans="5:54" x14ac:dyDescent="0.35"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  <c r="AA2474" s="23"/>
      <c r="AB2474" s="23"/>
      <c r="AC2474" s="23"/>
      <c r="AD2474" s="23"/>
      <c r="AE2474" s="23"/>
      <c r="AF2474" s="23"/>
      <c r="AG2474" s="23"/>
      <c r="AH2474" s="23"/>
      <c r="AI2474" s="23"/>
      <c r="AJ2474" s="23"/>
      <c r="AK2474" s="23"/>
      <c r="AL2474" s="23"/>
      <c r="AM2474" s="23"/>
      <c r="AN2474" s="23"/>
      <c r="AO2474" s="23"/>
      <c r="AP2474" s="23"/>
      <c r="AQ2474" s="23"/>
      <c r="AR2474" s="23"/>
      <c r="AS2474" s="23"/>
      <c r="AT2474" s="23"/>
      <c r="AU2474" s="23"/>
      <c r="AV2474" s="23"/>
      <c r="AW2474" s="23"/>
      <c r="AX2474" s="23"/>
      <c r="AY2474" s="23"/>
      <c r="AZ2474" s="23"/>
      <c r="BA2474" s="23"/>
      <c r="BB2474" s="23"/>
    </row>
    <row r="2475" spans="5:54" x14ac:dyDescent="0.35"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  <c r="AA2475" s="23"/>
      <c r="AB2475" s="23"/>
      <c r="AC2475" s="23"/>
      <c r="AD2475" s="23"/>
      <c r="AE2475" s="23"/>
      <c r="AF2475" s="23"/>
      <c r="AG2475" s="23"/>
      <c r="AH2475" s="23"/>
      <c r="AI2475" s="23"/>
      <c r="AJ2475" s="23"/>
      <c r="AK2475" s="23"/>
      <c r="AL2475" s="23"/>
      <c r="AM2475" s="23"/>
      <c r="AN2475" s="23"/>
      <c r="AO2475" s="23"/>
      <c r="AP2475" s="23"/>
      <c r="AQ2475" s="23"/>
      <c r="AR2475" s="23"/>
      <c r="AS2475" s="23"/>
      <c r="AT2475" s="23"/>
      <c r="AU2475" s="23"/>
      <c r="AV2475" s="23"/>
      <c r="AW2475" s="23"/>
      <c r="AX2475" s="23"/>
      <c r="AY2475" s="23"/>
      <c r="AZ2475" s="23"/>
      <c r="BA2475" s="23"/>
      <c r="BB2475" s="23"/>
    </row>
    <row r="2476" spans="5:54" x14ac:dyDescent="0.35"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  <c r="AA2476" s="23"/>
      <c r="AB2476" s="23"/>
      <c r="AC2476" s="23"/>
      <c r="AD2476" s="23"/>
      <c r="AE2476" s="23"/>
      <c r="AF2476" s="23"/>
      <c r="AG2476" s="23"/>
      <c r="AH2476" s="23"/>
      <c r="AI2476" s="23"/>
      <c r="AJ2476" s="23"/>
      <c r="AK2476" s="23"/>
      <c r="AL2476" s="23"/>
      <c r="AM2476" s="23"/>
      <c r="AN2476" s="23"/>
      <c r="AO2476" s="23"/>
      <c r="AP2476" s="23"/>
      <c r="AQ2476" s="23"/>
      <c r="AR2476" s="23"/>
      <c r="AS2476" s="23"/>
      <c r="AT2476" s="23"/>
      <c r="AU2476" s="23"/>
      <c r="AV2476" s="23"/>
      <c r="AW2476" s="23"/>
      <c r="AX2476" s="23"/>
      <c r="AY2476" s="23"/>
      <c r="AZ2476" s="23"/>
      <c r="BA2476" s="23"/>
      <c r="BB2476" s="23"/>
    </row>
    <row r="2477" spans="5:54" x14ac:dyDescent="0.35"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  <c r="AA2477" s="23"/>
      <c r="AB2477" s="23"/>
      <c r="AC2477" s="23"/>
      <c r="AD2477" s="23"/>
      <c r="AE2477" s="23"/>
      <c r="AF2477" s="23"/>
      <c r="AG2477" s="23"/>
      <c r="AH2477" s="23"/>
      <c r="AI2477" s="23"/>
      <c r="AJ2477" s="23"/>
      <c r="AK2477" s="23"/>
      <c r="AL2477" s="23"/>
      <c r="AM2477" s="23"/>
      <c r="AN2477" s="23"/>
      <c r="AO2477" s="23"/>
      <c r="AP2477" s="23"/>
      <c r="AQ2477" s="23"/>
      <c r="AR2477" s="23"/>
      <c r="AS2477" s="23"/>
      <c r="AT2477" s="23"/>
      <c r="AU2477" s="23"/>
      <c r="AV2477" s="23"/>
      <c r="AW2477" s="23"/>
      <c r="AX2477" s="23"/>
      <c r="AY2477" s="23"/>
      <c r="AZ2477" s="23"/>
      <c r="BA2477" s="23"/>
      <c r="BB2477" s="23"/>
    </row>
    <row r="2478" spans="5:54" x14ac:dyDescent="0.35"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  <c r="AA2478" s="23"/>
      <c r="AB2478" s="23"/>
      <c r="AC2478" s="23"/>
      <c r="AD2478" s="23"/>
      <c r="AE2478" s="23"/>
      <c r="AF2478" s="23"/>
      <c r="AG2478" s="23"/>
      <c r="AH2478" s="23"/>
      <c r="AI2478" s="23"/>
      <c r="AJ2478" s="23"/>
      <c r="AK2478" s="23"/>
      <c r="AL2478" s="23"/>
      <c r="AM2478" s="23"/>
      <c r="AN2478" s="23"/>
      <c r="AO2478" s="23"/>
      <c r="AP2478" s="23"/>
      <c r="AQ2478" s="23"/>
      <c r="AR2478" s="23"/>
      <c r="AS2478" s="23"/>
      <c r="AT2478" s="23"/>
      <c r="AU2478" s="23"/>
      <c r="AV2478" s="23"/>
      <c r="AW2478" s="23"/>
      <c r="AX2478" s="23"/>
      <c r="AY2478" s="23"/>
      <c r="AZ2478" s="23"/>
      <c r="BA2478" s="23"/>
      <c r="BB2478" s="23"/>
    </row>
    <row r="2479" spans="5:54" x14ac:dyDescent="0.35"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  <c r="AA2479" s="23"/>
      <c r="AB2479" s="23"/>
      <c r="AC2479" s="23"/>
      <c r="AD2479" s="23"/>
      <c r="AE2479" s="23"/>
      <c r="AF2479" s="23"/>
      <c r="AG2479" s="23"/>
      <c r="AH2479" s="23"/>
      <c r="AI2479" s="23"/>
      <c r="AJ2479" s="23"/>
      <c r="AK2479" s="23"/>
      <c r="AL2479" s="23"/>
      <c r="AM2479" s="23"/>
      <c r="AN2479" s="23"/>
      <c r="AO2479" s="23"/>
      <c r="AP2479" s="23"/>
      <c r="AQ2479" s="23"/>
      <c r="AR2479" s="23"/>
      <c r="AS2479" s="23"/>
      <c r="AT2479" s="23"/>
      <c r="AU2479" s="23"/>
      <c r="AV2479" s="23"/>
      <c r="AW2479" s="23"/>
      <c r="AX2479" s="23"/>
      <c r="AY2479" s="23"/>
      <c r="AZ2479" s="23"/>
      <c r="BA2479" s="23"/>
      <c r="BB2479" s="23"/>
    </row>
    <row r="2480" spans="5:54" x14ac:dyDescent="0.35"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  <c r="AA2480" s="23"/>
      <c r="AB2480" s="23"/>
      <c r="AC2480" s="23"/>
      <c r="AD2480" s="23"/>
      <c r="AE2480" s="23"/>
      <c r="AF2480" s="23"/>
      <c r="AG2480" s="23"/>
      <c r="AH2480" s="23"/>
      <c r="AI2480" s="23"/>
      <c r="AJ2480" s="23"/>
      <c r="AK2480" s="23"/>
      <c r="AL2480" s="23"/>
      <c r="AM2480" s="23"/>
      <c r="AN2480" s="23"/>
      <c r="AO2480" s="23"/>
      <c r="AP2480" s="23"/>
      <c r="AQ2480" s="23"/>
      <c r="AR2480" s="23"/>
      <c r="AS2480" s="23"/>
      <c r="AT2480" s="23"/>
      <c r="AU2480" s="23"/>
      <c r="AV2480" s="23"/>
      <c r="AW2480" s="23"/>
      <c r="AX2480" s="23"/>
      <c r="AY2480" s="23"/>
      <c r="AZ2480" s="23"/>
      <c r="BA2480" s="23"/>
      <c r="BB2480" s="23"/>
    </row>
    <row r="2481" spans="5:54" x14ac:dyDescent="0.35"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  <c r="AA2481" s="23"/>
      <c r="AB2481" s="23"/>
      <c r="AC2481" s="23"/>
      <c r="AD2481" s="23"/>
      <c r="AE2481" s="23"/>
      <c r="AF2481" s="23"/>
      <c r="AG2481" s="23"/>
      <c r="AH2481" s="23"/>
      <c r="AI2481" s="23"/>
      <c r="AJ2481" s="23"/>
      <c r="AK2481" s="23"/>
      <c r="AL2481" s="23"/>
      <c r="AM2481" s="23"/>
      <c r="AN2481" s="23"/>
      <c r="AO2481" s="23"/>
      <c r="AP2481" s="23"/>
      <c r="AQ2481" s="23"/>
      <c r="AR2481" s="23"/>
      <c r="AS2481" s="23"/>
      <c r="AT2481" s="23"/>
      <c r="AU2481" s="23"/>
      <c r="AV2481" s="23"/>
      <c r="AW2481" s="23"/>
      <c r="AX2481" s="23"/>
      <c r="AY2481" s="23"/>
      <c r="AZ2481" s="23"/>
      <c r="BA2481" s="23"/>
      <c r="BB2481" s="23"/>
    </row>
    <row r="2482" spans="5:54" x14ac:dyDescent="0.35"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  <c r="AA2482" s="23"/>
      <c r="AB2482" s="23"/>
      <c r="AC2482" s="23"/>
      <c r="AD2482" s="23"/>
      <c r="AE2482" s="23"/>
      <c r="AF2482" s="23"/>
      <c r="AG2482" s="23"/>
      <c r="AH2482" s="23"/>
      <c r="AI2482" s="23"/>
      <c r="AJ2482" s="23"/>
      <c r="AK2482" s="23"/>
      <c r="AL2482" s="23"/>
      <c r="AM2482" s="23"/>
      <c r="AN2482" s="23"/>
      <c r="AO2482" s="23"/>
      <c r="AP2482" s="23"/>
      <c r="AQ2482" s="23"/>
      <c r="AR2482" s="23"/>
      <c r="AS2482" s="23"/>
      <c r="AT2482" s="23"/>
      <c r="AU2482" s="23"/>
      <c r="AV2482" s="23"/>
      <c r="AW2482" s="23"/>
      <c r="AX2482" s="23"/>
      <c r="AY2482" s="23"/>
      <c r="AZ2482" s="23"/>
      <c r="BA2482" s="23"/>
      <c r="BB2482" s="23"/>
    </row>
    <row r="2483" spans="5:54" x14ac:dyDescent="0.35"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  <c r="AA2483" s="23"/>
      <c r="AB2483" s="23"/>
      <c r="AC2483" s="23"/>
      <c r="AD2483" s="23"/>
      <c r="AE2483" s="23"/>
      <c r="AF2483" s="23"/>
      <c r="AG2483" s="23"/>
      <c r="AH2483" s="23"/>
      <c r="AI2483" s="23"/>
      <c r="AJ2483" s="23"/>
      <c r="AK2483" s="23"/>
      <c r="AL2483" s="23"/>
      <c r="AM2483" s="23"/>
      <c r="AN2483" s="23"/>
      <c r="AO2483" s="23"/>
      <c r="AP2483" s="23"/>
      <c r="AQ2483" s="23"/>
      <c r="AR2483" s="23"/>
      <c r="AS2483" s="23"/>
      <c r="AT2483" s="23"/>
      <c r="AU2483" s="23"/>
      <c r="AV2483" s="23"/>
      <c r="AW2483" s="23"/>
      <c r="AX2483" s="23"/>
      <c r="AY2483" s="23"/>
      <c r="AZ2483" s="23"/>
      <c r="BA2483" s="23"/>
      <c r="BB2483" s="23"/>
    </row>
    <row r="2484" spans="5:54" x14ac:dyDescent="0.35"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  <c r="AA2484" s="23"/>
      <c r="AB2484" s="23"/>
      <c r="AC2484" s="23"/>
      <c r="AD2484" s="23"/>
      <c r="AE2484" s="23"/>
      <c r="AF2484" s="23"/>
      <c r="AG2484" s="23"/>
      <c r="AH2484" s="23"/>
      <c r="AI2484" s="23"/>
      <c r="AJ2484" s="23"/>
      <c r="AK2484" s="23"/>
      <c r="AL2484" s="23"/>
      <c r="AM2484" s="23"/>
      <c r="AN2484" s="23"/>
      <c r="AO2484" s="23"/>
      <c r="AP2484" s="23"/>
      <c r="AQ2484" s="23"/>
      <c r="AR2484" s="23"/>
      <c r="AS2484" s="23"/>
      <c r="AT2484" s="23"/>
      <c r="AU2484" s="23"/>
      <c r="AV2484" s="23"/>
      <c r="AW2484" s="23"/>
      <c r="AX2484" s="23"/>
      <c r="AY2484" s="23"/>
      <c r="AZ2484" s="23"/>
      <c r="BA2484" s="23"/>
      <c r="BB2484" s="23"/>
    </row>
    <row r="2485" spans="5:54" x14ac:dyDescent="0.35"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  <c r="AA2485" s="23"/>
      <c r="AB2485" s="23"/>
      <c r="AC2485" s="23"/>
      <c r="AD2485" s="23"/>
      <c r="AE2485" s="23"/>
      <c r="AF2485" s="23"/>
      <c r="AG2485" s="23"/>
      <c r="AH2485" s="23"/>
      <c r="AI2485" s="23"/>
      <c r="AJ2485" s="23"/>
      <c r="AK2485" s="23"/>
      <c r="AL2485" s="23"/>
      <c r="AM2485" s="23"/>
      <c r="AN2485" s="23"/>
      <c r="AO2485" s="23"/>
      <c r="AP2485" s="23"/>
      <c r="AQ2485" s="23"/>
      <c r="AR2485" s="23"/>
      <c r="AS2485" s="23"/>
      <c r="AT2485" s="23"/>
      <c r="AU2485" s="23"/>
      <c r="AV2485" s="23"/>
      <c r="AW2485" s="23"/>
      <c r="AX2485" s="23"/>
      <c r="AY2485" s="23"/>
      <c r="AZ2485" s="23"/>
      <c r="BA2485" s="23"/>
      <c r="BB2485" s="23"/>
    </row>
    <row r="2486" spans="5:54" x14ac:dyDescent="0.35"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  <c r="AA2486" s="23"/>
      <c r="AB2486" s="23"/>
      <c r="AC2486" s="23"/>
      <c r="AD2486" s="23"/>
      <c r="AE2486" s="23"/>
      <c r="AF2486" s="23"/>
      <c r="AG2486" s="23"/>
      <c r="AH2486" s="23"/>
      <c r="AI2486" s="23"/>
      <c r="AJ2486" s="23"/>
      <c r="AK2486" s="23"/>
      <c r="AL2486" s="23"/>
      <c r="AM2486" s="23"/>
      <c r="AN2486" s="23"/>
      <c r="AO2486" s="23"/>
      <c r="AP2486" s="23"/>
      <c r="AQ2486" s="23"/>
      <c r="AR2486" s="23"/>
      <c r="AS2486" s="23"/>
      <c r="AT2486" s="23"/>
      <c r="AU2486" s="23"/>
      <c r="AV2486" s="23"/>
      <c r="AW2486" s="23"/>
      <c r="AX2486" s="23"/>
      <c r="AY2486" s="23"/>
      <c r="AZ2486" s="23"/>
      <c r="BA2486" s="23"/>
      <c r="BB2486" s="23"/>
    </row>
    <row r="2487" spans="5:54" x14ac:dyDescent="0.35"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  <c r="AA2487" s="23"/>
      <c r="AB2487" s="23"/>
      <c r="AC2487" s="23"/>
      <c r="AD2487" s="23"/>
      <c r="AE2487" s="23"/>
      <c r="AF2487" s="23"/>
      <c r="AG2487" s="23"/>
      <c r="AH2487" s="23"/>
      <c r="AI2487" s="23"/>
      <c r="AJ2487" s="23"/>
      <c r="AK2487" s="23"/>
      <c r="AL2487" s="23"/>
      <c r="AM2487" s="23"/>
      <c r="AN2487" s="23"/>
      <c r="AO2487" s="23"/>
      <c r="AP2487" s="23"/>
      <c r="AQ2487" s="23"/>
      <c r="AR2487" s="23"/>
      <c r="AS2487" s="23"/>
      <c r="AT2487" s="23"/>
      <c r="AU2487" s="23"/>
      <c r="AV2487" s="23"/>
      <c r="AW2487" s="23"/>
      <c r="AX2487" s="23"/>
      <c r="AY2487" s="23"/>
      <c r="AZ2487" s="23"/>
      <c r="BA2487" s="23"/>
      <c r="BB2487" s="23"/>
    </row>
    <row r="2488" spans="5:54" x14ac:dyDescent="0.35"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  <c r="AA2488" s="23"/>
      <c r="AB2488" s="23"/>
      <c r="AC2488" s="23"/>
      <c r="AD2488" s="23"/>
      <c r="AE2488" s="23"/>
      <c r="AF2488" s="23"/>
      <c r="AG2488" s="23"/>
      <c r="AH2488" s="23"/>
      <c r="AI2488" s="23"/>
      <c r="AJ2488" s="23"/>
      <c r="AK2488" s="23"/>
      <c r="AL2488" s="23"/>
      <c r="AM2488" s="23"/>
      <c r="AN2488" s="23"/>
      <c r="AO2488" s="23"/>
      <c r="AP2488" s="23"/>
      <c r="AQ2488" s="23"/>
      <c r="AR2488" s="23"/>
      <c r="AS2488" s="23"/>
      <c r="AT2488" s="23"/>
      <c r="AU2488" s="23"/>
      <c r="AV2488" s="23"/>
      <c r="AW2488" s="23"/>
      <c r="AX2488" s="23"/>
      <c r="AY2488" s="23"/>
      <c r="AZ2488" s="23"/>
      <c r="BA2488" s="23"/>
      <c r="BB2488" s="23"/>
    </row>
    <row r="2489" spans="5:54" x14ac:dyDescent="0.35"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  <c r="AA2489" s="23"/>
      <c r="AB2489" s="23"/>
      <c r="AC2489" s="23"/>
      <c r="AD2489" s="23"/>
      <c r="AE2489" s="23"/>
      <c r="AF2489" s="23"/>
      <c r="AG2489" s="23"/>
      <c r="AH2489" s="23"/>
      <c r="AI2489" s="23"/>
      <c r="AJ2489" s="23"/>
      <c r="AK2489" s="23"/>
      <c r="AL2489" s="23"/>
      <c r="AM2489" s="23"/>
      <c r="AN2489" s="23"/>
      <c r="AO2489" s="23"/>
      <c r="AP2489" s="23"/>
      <c r="AQ2489" s="23"/>
      <c r="AR2489" s="23"/>
      <c r="AS2489" s="23"/>
      <c r="AT2489" s="23"/>
      <c r="AU2489" s="23"/>
      <c r="AV2489" s="23"/>
      <c r="AW2489" s="23"/>
      <c r="AX2489" s="23"/>
      <c r="AY2489" s="23"/>
      <c r="AZ2489" s="23"/>
      <c r="BA2489" s="23"/>
      <c r="BB2489" s="23"/>
    </row>
    <row r="2490" spans="5:54" x14ac:dyDescent="0.35"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  <c r="AA2490" s="23"/>
      <c r="AB2490" s="23"/>
      <c r="AC2490" s="23"/>
      <c r="AD2490" s="23"/>
      <c r="AE2490" s="23"/>
      <c r="AF2490" s="23"/>
      <c r="AG2490" s="23"/>
      <c r="AH2490" s="23"/>
      <c r="AI2490" s="23"/>
      <c r="AJ2490" s="23"/>
      <c r="AK2490" s="23"/>
      <c r="AL2490" s="23"/>
      <c r="AM2490" s="23"/>
      <c r="AN2490" s="23"/>
      <c r="AO2490" s="23"/>
      <c r="AP2490" s="23"/>
      <c r="AQ2490" s="23"/>
      <c r="AR2490" s="23"/>
      <c r="AS2490" s="23"/>
      <c r="AT2490" s="23"/>
      <c r="AU2490" s="23"/>
      <c r="AV2490" s="23"/>
      <c r="AW2490" s="23"/>
      <c r="AX2490" s="23"/>
      <c r="AY2490" s="23"/>
      <c r="AZ2490" s="23"/>
      <c r="BA2490" s="23"/>
      <c r="BB2490" s="23"/>
    </row>
    <row r="2491" spans="5:54" x14ac:dyDescent="0.35"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  <c r="AA2491" s="23"/>
      <c r="AB2491" s="23"/>
      <c r="AC2491" s="23"/>
      <c r="AD2491" s="23"/>
      <c r="AE2491" s="23"/>
      <c r="AF2491" s="23"/>
      <c r="AG2491" s="23"/>
      <c r="AH2491" s="23"/>
      <c r="AI2491" s="23"/>
      <c r="AJ2491" s="23"/>
      <c r="AK2491" s="23"/>
      <c r="AL2491" s="23"/>
      <c r="AM2491" s="23"/>
      <c r="AN2491" s="23"/>
      <c r="AO2491" s="23"/>
      <c r="AP2491" s="23"/>
      <c r="AQ2491" s="23"/>
      <c r="AR2491" s="23"/>
      <c r="AS2491" s="23"/>
      <c r="AT2491" s="23"/>
      <c r="AU2491" s="23"/>
      <c r="AV2491" s="23"/>
      <c r="AW2491" s="23"/>
      <c r="AX2491" s="23"/>
      <c r="AY2491" s="23"/>
      <c r="AZ2491" s="23"/>
      <c r="BA2491" s="23"/>
      <c r="BB2491" s="23"/>
    </row>
    <row r="2492" spans="5:54" x14ac:dyDescent="0.35"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  <c r="AA2492" s="23"/>
      <c r="AB2492" s="23"/>
      <c r="AC2492" s="23"/>
      <c r="AD2492" s="23"/>
      <c r="AE2492" s="23"/>
      <c r="AF2492" s="23"/>
      <c r="AG2492" s="23"/>
      <c r="AH2492" s="23"/>
      <c r="AI2492" s="23"/>
      <c r="AJ2492" s="23"/>
      <c r="AK2492" s="23"/>
      <c r="AL2492" s="23"/>
      <c r="AM2492" s="23"/>
      <c r="AN2492" s="23"/>
      <c r="AO2492" s="23"/>
      <c r="AP2492" s="23"/>
      <c r="AQ2492" s="23"/>
      <c r="AR2492" s="23"/>
      <c r="AS2492" s="23"/>
      <c r="AT2492" s="23"/>
      <c r="AU2492" s="23"/>
      <c r="AV2492" s="23"/>
      <c r="AW2492" s="23"/>
      <c r="AX2492" s="23"/>
      <c r="AY2492" s="23"/>
      <c r="AZ2492" s="23"/>
      <c r="BA2492" s="23"/>
      <c r="BB2492" s="23"/>
    </row>
    <row r="2493" spans="5:54" x14ac:dyDescent="0.35"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  <c r="AA2493" s="23"/>
      <c r="AB2493" s="23"/>
      <c r="AC2493" s="23"/>
      <c r="AD2493" s="23"/>
      <c r="AE2493" s="23"/>
      <c r="AF2493" s="23"/>
      <c r="AG2493" s="23"/>
      <c r="AH2493" s="23"/>
      <c r="AI2493" s="23"/>
      <c r="AJ2493" s="23"/>
      <c r="AK2493" s="23"/>
      <c r="AL2493" s="23"/>
      <c r="AM2493" s="23"/>
      <c r="AN2493" s="23"/>
      <c r="AO2493" s="23"/>
      <c r="AP2493" s="23"/>
      <c r="AQ2493" s="23"/>
      <c r="AR2493" s="23"/>
      <c r="AS2493" s="23"/>
      <c r="AT2493" s="23"/>
      <c r="AU2493" s="23"/>
      <c r="AV2493" s="23"/>
      <c r="AW2493" s="23"/>
      <c r="AX2493" s="23"/>
      <c r="AY2493" s="23"/>
      <c r="AZ2493" s="23"/>
      <c r="BA2493" s="23"/>
      <c r="BB2493" s="23"/>
    </row>
    <row r="2494" spans="5:54" x14ac:dyDescent="0.35"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  <c r="AA2494" s="23"/>
      <c r="AB2494" s="23"/>
      <c r="AC2494" s="23"/>
      <c r="AD2494" s="23"/>
      <c r="AE2494" s="23"/>
      <c r="AF2494" s="23"/>
      <c r="AG2494" s="23"/>
      <c r="AH2494" s="23"/>
      <c r="AI2494" s="23"/>
      <c r="AJ2494" s="23"/>
      <c r="AK2494" s="23"/>
      <c r="AL2494" s="23"/>
      <c r="AM2494" s="23"/>
      <c r="AN2494" s="23"/>
      <c r="AO2494" s="23"/>
      <c r="AP2494" s="23"/>
      <c r="AQ2494" s="23"/>
      <c r="AR2494" s="23"/>
      <c r="AS2494" s="23"/>
      <c r="AT2494" s="23"/>
      <c r="AU2494" s="23"/>
      <c r="AV2494" s="23"/>
      <c r="AW2494" s="23"/>
      <c r="AX2494" s="23"/>
      <c r="AY2494" s="23"/>
      <c r="AZ2494" s="23"/>
      <c r="BA2494" s="23"/>
      <c r="BB2494" s="23"/>
    </row>
    <row r="2495" spans="5:54" x14ac:dyDescent="0.35"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  <c r="AA2495" s="23"/>
      <c r="AB2495" s="23"/>
      <c r="AC2495" s="23"/>
      <c r="AD2495" s="23"/>
      <c r="AE2495" s="23"/>
      <c r="AF2495" s="23"/>
      <c r="AG2495" s="23"/>
      <c r="AH2495" s="23"/>
      <c r="AI2495" s="23"/>
      <c r="AJ2495" s="23"/>
      <c r="AK2495" s="23"/>
      <c r="AL2495" s="23"/>
      <c r="AM2495" s="23"/>
      <c r="AN2495" s="23"/>
      <c r="AO2495" s="23"/>
      <c r="AP2495" s="23"/>
      <c r="AQ2495" s="23"/>
      <c r="AR2495" s="23"/>
      <c r="AS2495" s="23"/>
      <c r="AT2495" s="23"/>
      <c r="AU2495" s="23"/>
      <c r="AV2495" s="23"/>
      <c r="AW2495" s="23"/>
      <c r="AX2495" s="23"/>
      <c r="AY2495" s="23"/>
      <c r="AZ2495" s="23"/>
      <c r="BA2495" s="23"/>
      <c r="BB2495" s="23"/>
    </row>
    <row r="2496" spans="5:54" x14ac:dyDescent="0.35"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  <c r="AA2496" s="23"/>
      <c r="AB2496" s="23"/>
      <c r="AC2496" s="23"/>
      <c r="AD2496" s="23"/>
      <c r="AE2496" s="23"/>
      <c r="AF2496" s="23"/>
      <c r="AG2496" s="23"/>
      <c r="AH2496" s="23"/>
      <c r="AI2496" s="23"/>
      <c r="AJ2496" s="23"/>
      <c r="AK2496" s="23"/>
      <c r="AL2496" s="23"/>
      <c r="AM2496" s="23"/>
      <c r="AN2496" s="23"/>
      <c r="AO2496" s="23"/>
      <c r="AP2496" s="23"/>
      <c r="AQ2496" s="23"/>
      <c r="AR2496" s="23"/>
      <c r="AS2496" s="23"/>
      <c r="AT2496" s="23"/>
      <c r="AU2496" s="23"/>
      <c r="AV2496" s="23"/>
      <c r="AW2496" s="23"/>
      <c r="AX2496" s="23"/>
      <c r="AY2496" s="23"/>
      <c r="AZ2496" s="23"/>
      <c r="BA2496" s="23"/>
      <c r="BB2496" s="23"/>
    </row>
    <row r="2497" spans="5:54" x14ac:dyDescent="0.35"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  <c r="AA2497" s="23"/>
      <c r="AB2497" s="23"/>
      <c r="AC2497" s="23"/>
      <c r="AD2497" s="23"/>
      <c r="AE2497" s="23"/>
      <c r="AF2497" s="23"/>
      <c r="AG2497" s="23"/>
      <c r="AH2497" s="23"/>
      <c r="AI2497" s="23"/>
      <c r="AJ2497" s="23"/>
      <c r="AK2497" s="23"/>
      <c r="AL2497" s="23"/>
      <c r="AM2497" s="23"/>
      <c r="AN2497" s="23"/>
      <c r="AO2497" s="23"/>
      <c r="AP2497" s="23"/>
      <c r="AQ2497" s="23"/>
      <c r="AR2497" s="23"/>
      <c r="AS2497" s="23"/>
      <c r="AT2497" s="23"/>
      <c r="AU2497" s="23"/>
      <c r="AV2497" s="23"/>
      <c r="AW2497" s="23"/>
      <c r="AX2497" s="23"/>
      <c r="AY2497" s="23"/>
      <c r="AZ2497" s="23"/>
      <c r="BA2497" s="23"/>
      <c r="BB2497" s="23"/>
    </row>
    <row r="2498" spans="5:54" x14ac:dyDescent="0.35"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  <c r="AA2498" s="23"/>
      <c r="AB2498" s="23"/>
      <c r="AC2498" s="23"/>
      <c r="AD2498" s="23"/>
      <c r="AE2498" s="23"/>
      <c r="AF2498" s="23"/>
      <c r="AG2498" s="23"/>
      <c r="AH2498" s="23"/>
      <c r="AI2498" s="23"/>
      <c r="AJ2498" s="23"/>
      <c r="AK2498" s="23"/>
      <c r="AL2498" s="23"/>
      <c r="AM2498" s="23"/>
      <c r="AN2498" s="23"/>
      <c r="AO2498" s="23"/>
      <c r="AP2498" s="23"/>
      <c r="AQ2498" s="23"/>
      <c r="AR2498" s="23"/>
      <c r="AS2498" s="23"/>
      <c r="AT2498" s="23"/>
      <c r="AU2498" s="23"/>
      <c r="AV2498" s="23"/>
      <c r="AW2498" s="23"/>
      <c r="AX2498" s="23"/>
      <c r="AY2498" s="23"/>
      <c r="AZ2498" s="23"/>
      <c r="BA2498" s="23"/>
      <c r="BB2498" s="23"/>
    </row>
    <row r="2499" spans="5:54" x14ac:dyDescent="0.35"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  <c r="AA2499" s="23"/>
      <c r="AB2499" s="23"/>
      <c r="AC2499" s="23"/>
      <c r="AD2499" s="23"/>
      <c r="AE2499" s="23"/>
      <c r="AF2499" s="23"/>
      <c r="AG2499" s="23"/>
      <c r="AH2499" s="23"/>
      <c r="AI2499" s="23"/>
      <c r="AJ2499" s="23"/>
      <c r="AK2499" s="23"/>
      <c r="AL2499" s="23"/>
      <c r="AM2499" s="23"/>
      <c r="AN2499" s="23"/>
      <c r="AO2499" s="23"/>
      <c r="AP2499" s="23"/>
      <c r="AQ2499" s="23"/>
      <c r="AR2499" s="23"/>
      <c r="AS2499" s="23"/>
      <c r="AT2499" s="23"/>
      <c r="AU2499" s="23"/>
      <c r="AV2499" s="23"/>
      <c r="AW2499" s="23"/>
      <c r="AX2499" s="23"/>
      <c r="AY2499" s="23"/>
      <c r="AZ2499" s="23"/>
      <c r="BA2499" s="23"/>
      <c r="BB2499" s="23"/>
    </row>
    <row r="2500" spans="5:54" x14ac:dyDescent="0.35"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  <c r="AA2500" s="23"/>
      <c r="AB2500" s="23"/>
      <c r="AC2500" s="23"/>
      <c r="AD2500" s="23"/>
      <c r="AE2500" s="23"/>
      <c r="AF2500" s="23"/>
      <c r="AG2500" s="23"/>
      <c r="AH2500" s="23"/>
      <c r="AI2500" s="23"/>
      <c r="AJ2500" s="23"/>
      <c r="AK2500" s="23"/>
      <c r="AL2500" s="23"/>
      <c r="AM2500" s="23"/>
      <c r="AN2500" s="23"/>
      <c r="AO2500" s="23"/>
      <c r="AP2500" s="23"/>
      <c r="AQ2500" s="23"/>
      <c r="AR2500" s="23"/>
      <c r="AS2500" s="23"/>
      <c r="AT2500" s="23"/>
      <c r="AU2500" s="23"/>
      <c r="AV2500" s="23"/>
      <c r="AW2500" s="23"/>
      <c r="AX2500" s="23"/>
      <c r="AY2500" s="23"/>
      <c r="AZ2500" s="23"/>
      <c r="BA2500" s="23"/>
      <c r="BB2500" s="23"/>
    </row>
    <row r="2501" spans="5:54" x14ac:dyDescent="0.35"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  <c r="AA2501" s="23"/>
      <c r="AB2501" s="23"/>
      <c r="AC2501" s="23"/>
      <c r="AD2501" s="23"/>
      <c r="AE2501" s="23"/>
      <c r="AF2501" s="23"/>
      <c r="AG2501" s="23"/>
      <c r="AH2501" s="23"/>
      <c r="AI2501" s="23"/>
      <c r="AJ2501" s="23"/>
      <c r="AK2501" s="23"/>
      <c r="AL2501" s="23"/>
      <c r="AM2501" s="23"/>
      <c r="AN2501" s="23"/>
      <c r="AO2501" s="23"/>
      <c r="AP2501" s="23"/>
      <c r="AQ2501" s="23"/>
      <c r="AR2501" s="23"/>
      <c r="AS2501" s="23"/>
      <c r="AT2501" s="23"/>
      <c r="AU2501" s="23"/>
      <c r="AV2501" s="23"/>
      <c r="AW2501" s="23"/>
      <c r="AX2501" s="23"/>
      <c r="AY2501" s="23"/>
      <c r="AZ2501" s="23"/>
      <c r="BA2501" s="23"/>
      <c r="BB2501" s="23"/>
    </row>
    <row r="2502" spans="5:54" x14ac:dyDescent="0.35"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  <c r="AA2502" s="23"/>
      <c r="AB2502" s="23"/>
      <c r="AC2502" s="23"/>
      <c r="AD2502" s="23"/>
      <c r="AE2502" s="23"/>
      <c r="AF2502" s="23"/>
      <c r="AG2502" s="23"/>
      <c r="AH2502" s="23"/>
      <c r="AI2502" s="23"/>
      <c r="AJ2502" s="23"/>
      <c r="AK2502" s="23"/>
      <c r="AL2502" s="23"/>
      <c r="AM2502" s="23"/>
      <c r="AN2502" s="23"/>
      <c r="AO2502" s="23"/>
      <c r="AP2502" s="23"/>
      <c r="AQ2502" s="23"/>
      <c r="AR2502" s="23"/>
      <c r="AS2502" s="23"/>
      <c r="AT2502" s="23"/>
      <c r="AU2502" s="23"/>
      <c r="AV2502" s="23"/>
      <c r="AW2502" s="23"/>
      <c r="AX2502" s="23"/>
      <c r="AY2502" s="23"/>
      <c r="AZ2502" s="23"/>
      <c r="BA2502" s="23"/>
      <c r="BB2502" s="23"/>
    </row>
    <row r="2503" spans="5:54" x14ac:dyDescent="0.35"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  <c r="AA2503" s="23"/>
      <c r="AB2503" s="23"/>
      <c r="AC2503" s="23"/>
      <c r="AD2503" s="23"/>
      <c r="AE2503" s="23"/>
      <c r="AF2503" s="23"/>
      <c r="AG2503" s="23"/>
      <c r="AH2503" s="23"/>
      <c r="AI2503" s="23"/>
      <c r="AJ2503" s="23"/>
      <c r="AK2503" s="23"/>
      <c r="AL2503" s="23"/>
      <c r="AM2503" s="23"/>
      <c r="AN2503" s="23"/>
      <c r="AO2503" s="23"/>
      <c r="AP2503" s="23"/>
      <c r="AQ2503" s="23"/>
      <c r="AR2503" s="23"/>
      <c r="AS2503" s="23"/>
      <c r="AT2503" s="23"/>
      <c r="AU2503" s="23"/>
      <c r="AV2503" s="23"/>
      <c r="AW2503" s="23"/>
      <c r="AX2503" s="23"/>
      <c r="AY2503" s="23"/>
      <c r="AZ2503" s="23"/>
      <c r="BA2503" s="23"/>
      <c r="BB2503" s="23"/>
    </row>
    <row r="2504" spans="5:54" x14ac:dyDescent="0.35"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  <c r="AA2504" s="23"/>
      <c r="AB2504" s="23"/>
      <c r="AC2504" s="23"/>
      <c r="AD2504" s="23"/>
      <c r="AE2504" s="23"/>
      <c r="AF2504" s="23"/>
      <c r="AG2504" s="23"/>
      <c r="AH2504" s="23"/>
      <c r="AI2504" s="23"/>
      <c r="AJ2504" s="23"/>
      <c r="AK2504" s="23"/>
      <c r="AL2504" s="23"/>
      <c r="AM2504" s="23"/>
      <c r="AN2504" s="23"/>
      <c r="AO2504" s="23"/>
      <c r="AP2504" s="23"/>
      <c r="AQ2504" s="23"/>
      <c r="AR2504" s="23"/>
      <c r="AS2504" s="23"/>
      <c r="AT2504" s="23"/>
      <c r="AU2504" s="23"/>
      <c r="AV2504" s="23"/>
      <c r="AW2504" s="23"/>
      <c r="AX2504" s="23"/>
      <c r="AY2504" s="23"/>
      <c r="AZ2504" s="23"/>
      <c r="BA2504" s="23"/>
      <c r="BB2504" s="23"/>
    </row>
    <row r="2505" spans="5:54" x14ac:dyDescent="0.35"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  <c r="AA2505" s="23"/>
      <c r="AB2505" s="23"/>
      <c r="AC2505" s="23"/>
      <c r="AD2505" s="23"/>
      <c r="AE2505" s="23"/>
      <c r="AF2505" s="23"/>
      <c r="AG2505" s="23"/>
      <c r="AH2505" s="23"/>
      <c r="AI2505" s="23"/>
      <c r="AJ2505" s="23"/>
      <c r="AK2505" s="23"/>
      <c r="AL2505" s="23"/>
      <c r="AM2505" s="23"/>
      <c r="AN2505" s="23"/>
      <c r="AO2505" s="23"/>
      <c r="AP2505" s="23"/>
      <c r="AQ2505" s="23"/>
      <c r="AR2505" s="23"/>
      <c r="AS2505" s="23"/>
      <c r="AT2505" s="23"/>
      <c r="AU2505" s="23"/>
      <c r="AV2505" s="23"/>
      <c r="AW2505" s="23"/>
      <c r="AX2505" s="23"/>
      <c r="AY2505" s="23"/>
      <c r="AZ2505" s="23"/>
      <c r="BA2505" s="23"/>
      <c r="BB2505" s="23"/>
    </row>
    <row r="2506" spans="5:54" x14ac:dyDescent="0.35"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  <c r="AA2506" s="23"/>
      <c r="AB2506" s="23"/>
      <c r="AC2506" s="23"/>
      <c r="AD2506" s="23"/>
      <c r="AE2506" s="23"/>
      <c r="AF2506" s="23"/>
      <c r="AG2506" s="23"/>
      <c r="AH2506" s="23"/>
      <c r="AI2506" s="23"/>
      <c r="AJ2506" s="23"/>
      <c r="AK2506" s="23"/>
      <c r="AL2506" s="23"/>
      <c r="AM2506" s="23"/>
      <c r="AN2506" s="23"/>
      <c r="AO2506" s="23"/>
      <c r="AP2506" s="23"/>
      <c r="AQ2506" s="23"/>
      <c r="AR2506" s="23"/>
      <c r="AS2506" s="23"/>
      <c r="AT2506" s="23"/>
      <c r="AU2506" s="23"/>
      <c r="AV2506" s="23"/>
      <c r="AW2506" s="23"/>
      <c r="AX2506" s="23"/>
      <c r="AY2506" s="23"/>
      <c r="AZ2506" s="23"/>
      <c r="BA2506" s="23"/>
      <c r="BB2506" s="23"/>
    </row>
    <row r="2507" spans="5:54" x14ac:dyDescent="0.35"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  <c r="AA2507" s="23"/>
      <c r="AB2507" s="23"/>
      <c r="AC2507" s="23"/>
      <c r="AD2507" s="23"/>
      <c r="AE2507" s="23"/>
      <c r="AF2507" s="23"/>
      <c r="AG2507" s="23"/>
      <c r="AH2507" s="23"/>
      <c r="AI2507" s="23"/>
      <c r="AJ2507" s="23"/>
      <c r="AK2507" s="23"/>
      <c r="AL2507" s="23"/>
      <c r="AM2507" s="23"/>
      <c r="AN2507" s="23"/>
      <c r="AO2507" s="23"/>
      <c r="AP2507" s="23"/>
      <c r="AQ2507" s="23"/>
      <c r="AR2507" s="23"/>
      <c r="AS2507" s="23"/>
      <c r="AT2507" s="23"/>
      <c r="AU2507" s="23"/>
      <c r="AV2507" s="23"/>
      <c r="AW2507" s="23"/>
      <c r="AX2507" s="23"/>
      <c r="AY2507" s="23"/>
      <c r="AZ2507" s="23"/>
      <c r="BA2507" s="23"/>
      <c r="BB2507" s="23"/>
    </row>
    <row r="2508" spans="5:54" x14ac:dyDescent="0.35"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  <c r="AA2508" s="23"/>
      <c r="AB2508" s="23"/>
      <c r="AC2508" s="23"/>
      <c r="AD2508" s="23"/>
      <c r="AE2508" s="23"/>
      <c r="AF2508" s="23"/>
      <c r="AG2508" s="23"/>
      <c r="AH2508" s="23"/>
      <c r="AI2508" s="23"/>
      <c r="AJ2508" s="23"/>
      <c r="AK2508" s="23"/>
      <c r="AL2508" s="23"/>
      <c r="AM2508" s="23"/>
      <c r="AN2508" s="23"/>
      <c r="AO2508" s="23"/>
      <c r="AP2508" s="23"/>
      <c r="AQ2508" s="23"/>
      <c r="AR2508" s="23"/>
      <c r="AS2508" s="23"/>
      <c r="AT2508" s="23"/>
      <c r="AU2508" s="23"/>
      <c r="AV2508" s="23"/>
      <c r="AW2508" s="23"/>
      <c r="AX2508" s="23"/>
      <c r="AY2508" s="23"/>
      <c r="AZ2508" s="23"/>
      <c r="BA2508" s="23"/>
      <c r="BB2508" s="23"/>
    </row>
    <row r="2509" spans="5:54" x14ac:dyDescent="0.35"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  <c r="AA2509" s="23"/>
      <c r="AB2509" s="23"/>
      <c r="AC2509" s="23"/>
      <c r="AD2509" s="23"/>
      <c r="AE2509" s="23"/>
      <c r="AF2509" s="23"/>
      <c r="AG2509" s="23"/>
      <c r="AH2509" s="23"/>
      <c r="AI2509" s="23"/>
      <c r="AJ2509" s="23"/>
      <c r="AK2509" s="23"/>
      <c r="AL2509" s="23"/>
      <c r="AM2509" s="23"/>
      <c r="AN2509" s="23"/>
      <c r="AO2509" s="23"/>
      <c r="AP2509" s="23"/>
      <c r="AQ2509" s="23"/>
      <c r="AR2509" s="23"/>
      <c r="AS2509" s="23"/>
      <c r="AT2509" s="23"/>
      <c r="AU2509" s="23"/>
      <c r="AV2509" s="23"/>
      <c r="AW2509" s="23"/>
      <c r="AX2509" s="23"/>
      <c r="AY2509" s="23"/>
      <c r="AZ2509" s="23"/>
      <c r="BA2509" s="23"/>
      <c r="BB2509" s="23"/>
    </row>
    <row r="2510" spans="5:54" x14ac:dyDescent="0.35"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  <c r="AA2510" s="23"/>
      <c r="AB2510" s="23"/>
      <c r="AC2510" s="23"/>
      <c r="AD2510" s="23"/>
      <c r="AE2510" s="23"/>
      <c r="AF2510" s="23"/>
      <c r="AG2510" s="23"/>
      <c r="AH2510" s="23"/>
      <c r="AI2510" s="23"/>
      <c r="AJ2510" s="23"/>
      <c r="AK2510" s="23"/>
      <c r="AL2510" s="23"/>
      <c r="AM2510" s="23"/>
      <c r="AN2510" s="23"/>
      <c r="AO2510" s="23"/>
      <c r="AP2510" s="23"/>
      <c r="AQ2510" s="23"/>
      <c r="AR2510" s="23"/>
      <c r="AS2510" s="23"/>
      <c r="AT2510" s="23"/>
      <c r="AU2510" s="23"/>
      <c r="AV2510" s="23"/>
      <c r="AW2510" s="23"/>
      <c r="AX2510" s="23"/>
      <c r="AY2510" s="23"/>
      <c r="AZ2510" s="23"/>
      <c r="BA2510" s="23"/>
      <c r="BB2510" s="23"/>
    </row>
    <row r="2511" spans="5:54" x14ac:dyDescent="0.35"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  <c r="AA2511" s="23"/>
      <c r="AB2511" s="23"/>
      <c r="AC2511" s="23"/>
      <c r="AD2511" s="23"/>
      <c r="AE2511" s="23"/>
      <c r="AF2511" s="23"/>
      <c r="AG2511" s="23"/>
      <c r="AH2511" s="23"/>
      <c r="AI2511" s="23"/>
      <c r="AJ2511" s="23"/>
      <c r="AK2511" s="23"/>
      <c r="AL2511" s="23"/>
      <c r="AM2511" s="23"/>
      <c r="AN2511" s="23"/>
      <c r="AO2511" s="23"/>
      <c r="AP2511" s="23"/>
      <c r="AQ2511" s="23"/>
      <c r="AR2511" s="23"/>
      <c r="AS2511" s="23"/>
      <c r="AT2511" s="23"/>
      <c r="AU2511" s="23"/>
      <c r="AV2511" s="23"/>
      <c r="AW2511" s="23"/>
      <c r="AX2511" s="23"/>
      <c r="AY2511" s="23"/>
      <c r="AZ2511" s="23"/>
      <c r="BA2511" s="23"/>
      <c r="BB2511" s="23"/>
    </row>
    <row r="2512" spans="5:54" x14ac:dyDescent="0.35"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  <c r="AA2512" s="23"/>
      <c r="AB2512" s="23"/>
      <c r="AC2512" s="23"/>
      <c r="AD2512" s="23"/>
      <c r="AE2512" s="23"/>
      <c r="AF2512" s="23"/>
      <c r="AG2512" s="23"/>
      <c r="AH2512" s="23"/>
      <c r="AI2512" s="23"/>
      <c r="AJ2512" s="23"/>
      <c r="AK2512" s="23"/>
      <c r="AL2512" s="23"/>
      <c r="AM2512" s="23"/>
      <c r="AN2512" s="23"/>
      <c r="AO2512" s="23"/>
      <c r="AP2512" s="23"/>
      <c r="AQ2512" s="23"/>
      <c r="AR2512" s="23"/>
      <c r="AS2512" s="23"/>
      <c r="AT2512" s="23"/>
      <c r="AU2512" s="23"/>
      <c r="AV2512" s="23"/>
      <c r="AW2512" s="23"/>
      <c r="AX2512" s="23"/>
      <c r="AY2512" s="23"/>
      <c r="AZ2512" s="23"/>
      <c r="BA2512" s="23"/>
      <c r="BB2512" s="23"/>
    </row>
    <row r="2513" spans="5:54" x14ac:dyDescent="0.35"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  <c r="AA2513" s="23"/>
      <c r="AB2513" s="23"/>
      <c r="AC2513" s="23"/>
      <c r="AD2513" s="23"/>
      <c r="AE2513" s="23"/>
      <c r="AF2513" s="23"/>
      <c r="AG2513" s="23"/>
      <c r="AH2513" s="23"/>
      <c r="AI2513" s="23"/>
      <c r="AJ2513" s="23"/>
      <c r="AK2513" s="23"/>
      <c r="AL2513" s="23"/>
      <c r="AM2513" s="23"/>
      <c r="AN2513" s="23"/>
      <c r="AO2513" s="23"/>
      <c r="AP2513" s="23"/>
      <c r="AQ2513" s="23"/>
      <c r="AR2513" s="23"/>
      <c r="AS2513" s="23"/>
      <c r="AT2513" s="23"/>
      <c r="AU2513" s="23"/>
      <c r="AV2513" s="23"/>
      <c r="AW2513" s="23"/>
      <c r="AX2513" s="23"/>
      <c r="AY2513" s="23"/>
      <c r="AZ2513" s="23"/>
      <c r="BA2513" s="23"/>
      <c r="BB2513" s="23"/>
    </row>
    <row r="2514" spans="5:54" x14ac:dyDescent="0.35"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  <c r="AA2514" s="23"/>
      <c r="AB2514" s="23"/>
      <c r="AC2514" s="23"/>
      <c r="AD2514" s="23"/>
      <c r="AE2514" s="23"/>
      <c r="AF2514" s="23"/>
      <c r="AG2514" s="23"/>
      <c r="AH2514" s="23"/>
      <c r="AI2514" s="23"/>
      <c r="AJ2514" s="23"/>
      <c r="AK2514" s="23"/>
      <c r="AL2514" s="23"/>
      <c r="AM2514" s="23"/>
      <c r="AN2514" s="23"/>
      <c r="AO2514" s="23"/>
      <c r="AP2514" s="23"/>
      <c r="AQ2514" s="23"/>
      <c r="AR2514" s="23"/>
      <c r="AS2514" s="23"/>
      <c r="AT2514" s="23"/>
      <c r="AU2514" s="23"/>
      <c r="AV2514" s="23"/>
      <c r="AW2514" s="23"/>
      <c r="AX2514" s="23"/>
      <c r="AY2514" s="23"/>
      <c r="AZ2514" s="23"/>
      <c r="BA2514" s="23"/>
      <c r="BB2514" s="23"/>
    </row>
    <row r="2515" spans="5:54" x14ac:dyDescent="0.35"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  <c r="AA2515" s="23"/>
      <c r="AB2515" s="23"/>
      <c r="AC2515" s="23"/>
      <c r="AD2515" s="23"/>
      <c r="AE2515" s="23"/>
      <c r="AF2515" s="23"/>
      <c r="AG2515" s="23"/>
      <c r="AH2515" s="23"/>
      <c r="AI2515" s="23"/>
      <c r="AJ2515" s="23"/>
      <c r="AK2515" s="23"/>
      <c r="AL2515" s="23"/>
      <c r="AM2515" s="23"/>
      <c r="AN2515" s="23"/>
      <c r="AO2515" s="23"/>
      <c r="AP2515" s="23"/>
      <c r="AQ2515" s="23"/>
      <c r="AR2515" s="23"/>
      <c r="AS2515" s="23"/>
      <c r="AT2515" s="23"/>
      <c r="AU2515" s="23"/>
      <c r="AV2515" s="23"/>
      <c r="AW2515" s="23"/>
      <c r="AX2515" s="23"/>
      <c r="AY2515" s="23"/>
      <c r="AZ2515" s="23"/>
      <c r="BA2515" s="23"/>
      <c r="BB2515" s="23"/>
    </row>
    <row r="2516" spans="5:54" x14ac:dyDescent="0.35"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  <c r="AA2516" s="23"/>
      <c r="AB2516" s="23"/>
      <c r="AC2516" s="23"/>
      <c r="AD2516" s="23"/>
      <c r="AE2516" s="23"/>
      <c r="AF2516" s="23"/>
      <c r="AG2516" s="23"/>
      <c r="AH2516" s="23"/>
      <c r="AI2516" s="23"/>
      <c r="AJ2516" s="23"/>
      <c r="AK2516" s="23"/>
      <c r="AL2516" s="23"/>
      <c r="AM2516" s="23"/>
      <c r="AN2516" s="23"/>
      <c r="AO2516" s="23"/>
      <c r="AP2516" s="23"/>
      <c r="AQ2516" s="23"/>
      <c r="AR2516" s="23"/>
      <c r="AS2516" s="23"/>
      <c r="AT2516" s="23"/>
      <c r="AU2516" s="23"/>
      <c r="AV2516" s="23"/>
      <c r="AW2516" s="23"/>
      <c r="AX2516" s="23"/>
      <c r="AY2516" s="23"/>
      <c r="AZ2516" s="23"/>
      <c r="BA2516" s="23"/>
      <c r="BB2516" s="23"/>
    </row>
    <row r="2517" spans="5:54" x14ac:dyDescent="0.35"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  <c r="AA2517" s="23"/>
      <c r="AB2517" s="23"/>
      <c r="AC2517" s="23"/>
      <c r="AD2517" s="23"/>
      <c r="AE2517" s="23"/>
      <c r="AF2517" s="23"/>
      <c r="AG2517" s="23"/>
      <c r="AH2517" s="23"/>
      <c r="AI2517" s="23"/>
      <c r="AJ2517" s="23"/>
      <c r="AK2517" s="23"/>
      <c r="AL2517" s="23"/>
      <c r="AM2517" s="23"/>
      <c r="AN2517" s="23"/>
      <c r="AO2517" s="23"/>
      <c r="AP2517" s="23"/>
      <c r="AQ2517" s="23"/>
      <c r="AR2517" s="23"/>
      <c r="AS2517" s="23"/>
      <c r="AT2517" s="23"/>
      <c r="AU2517" s="23"/>
      <c r="AV2517" s="23"/>
      <c r="AW2517" s="23"/>
      <c r="AX2517" s="23"/>
      <c r="AY2517" s="23"/>
      <c r="AZ2517" s="23"/>
      <c r="BA2517" s="23"/>
      <c r="BB2517" s="23"/>
    </row>
    <row r="2518" spans="5:54" x14ac:dyDescent="0.35"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  <c r="AA2518" s="23"/>
      <c r="AB2518" s="23"/>
      <c r="AC2518" s="23"/>
      <c r="AD2518" s="23"/>
      <c r="AE2518" s="23"/>
      <c r="AF2518" s="23"/>
      <c r="AG2518" s="23"/>
      <c r="AH2518" s="23"/>
      <c r="AI2518" s="23"/>
      <c r="AJ2518" s="23"/>
      <c r="AK2518" s="23"/>
      <c r="AL2518" s="23"/>
      <c r="AM2518" s="23"/>
      <c r="AN2518" s="23"/>
      <c r="AO2518" s="23"/>
      <c r="AP2518" s="23"/>
      <c r="AQ2518" s="23"/>
      <c r="AR2518" s="23"/>
      <c r="AS2518" s="23"/>
      <c r="AT2518" s="23"/>
      <c r="AU2518" s="23"/>
      <c r="AV2518" s="23"/>
      <c r="AW2518" s="23"/>
      <c r="AX2518" s="23"/>
      <c r="AY2518" s="23"/>
      <c r="AZ2518" s="23"/>
      <c r="BA2518" s="23"/>
      <c r="BB2518" s="23"/>
    </row>
    <row r="2519" spans="5:54" x14ac:dyDescent="0.35"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  <c r="AA2519" s="23"/>
      <c r="AB2519" s="23"/>
      <c r="AC2519" s="23"/>
      <c r="AD2519" s="23"/>
      <c r="AE2519" s="23"/>
      <c r="AF2519" s="23"/>
      <c r="AG2519" s="23"/>
      <c r="AH2519" s="23"/>
      <c r="AI2519" s="23"/>
      <c r="AJ2519" s="23"/>
      <c r="AK2519" s="23"/>
      <c r="AL2519" s="23"/>
      <c r="AM2519" s="23"/>
      <c r="AN2519" s="23"/>
      <c r="AO2519" s="23"/>
      <c r="AP2519" s="23"/>
      <c r="AQ2519" s="23"/>
      <c r="AR2519" s="23"/>
      <c r="AS2519" s="23"/>
      <c r="AT2519" s="23"/>
      <c r="AU2519" s="23"/>
      <c r="AV2519" s="23"/>
      <c r="AW2519" s="23"/>
      <c r="AX2519" s="23"/>
      <c r="AY2519" s="23"/>
      <c r="AZ2519" s="23"/>
      <c r="BA2519" s="23"/>
      <c r="BB2519" s="23"/>
    </row>
    <row r="2520" spans="5:54" x14ac:dyDescent="0.35"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  <c r="AA2520" s="23"/>
      <c r="AB2520" s="23"/>
      <c r="AC2520" s="23"/>
      <c r="AD2520" s="23"/>
      <c r="AE2520" s="23"/>
      <c r="AF2520" s="23"/>
      <c r="AG2520" s="23"/>
      <c r="AH2520" s="23"/>
      <c r="AI2520" s="23"/>
      <c r="AJ2520" s="23"/>
      <c r="AK2520" s="23"/>
      <c r="AL2520" s="23"/>
      <c r="AM2520" s="23"/>
      <c r="AN2520" s="23"/>
      <c r="AO2520" s="23"/>
      <c r="AP2520" s="23"/>
      <c r="AQ2520" s="23"/>
      <c r="AR2520" s="23"/>
      <c r="AS2520" s="23"/>
      <c r="AT2520" s="23"/>
      <c r="AU2520" s="23"/>
      <c r="AV2520" s="23"/>
      <c r="AW2520" s="23"/>
      <c r="AX2520" s="23"/>
      <c r="AY2520" s="23"/>
      <c r="AZ2520" s="23"/>
      <c r="BA2520" s="23"/>
      <c r="BB2520" s="23"/>
    </row>
    <row r="2521" spans="5:54" x14ac:dyDescent="0.35"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  <c r="AA2521" s="23"/>
      <c r="AB2521" s="23"/>
      <c r="AC2521" s="23"/>
      <c r="AD2521" s="23"/>
      <c r="AE2521" s="23"/>
      <c r="AF2521" s="23"/>
      <c r="AG2521" s="23"/>
      <c r="AH2521" s="23"/>
      <c r="AI2521" s="23"/>
      <c r="AJ2521" s="23"/>
      <c r="AK2521" s="23"/>
      <c r="AL2521" s="23"/>
      <c r="AM2521" s="23"/>
      <c r="AN2521" s="23"/>
      <c r="AO2521" s="23"/>
      <c r="AP2521" s="23"/>
      <c r="AQ2521" s="23"/>
      <c r="AR2521" s="23"/>
      <c r="AS2521" s="23"/>
      <c r="AT2521" s="23"/>
      <c r="AU2521" s="23"/>
      <c r="AV2521" s="23"/>
      <c r="AW2521" s="23"/>
      <c r="AX2521" s="23"/>
      <c r="AY2521" s="23"/>
      <c r="AZ2521" s="23"/>
      <c r="BA2521" s="23"/>
      <c r="BB2521" s="23"/>
    </row>
    <row r="2522" spans="5:54" x14ac:dyDescent="0.35"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  <c r="AA2522" s="23"/>
      <c r="AB2522" s="23"/>
      <c r="AC2522" s="23"/>
      <c r="AD2522" s="23"/>
      <c r="AE2522" s="23"/>
      <c r="AF2522" s="23"/>
      <c r="AG2522" s="23"/>
      <c r="AH2522" s="23"/>
      <c r="AI2522" s="23"/>
      <c r="AJ2522" s="23"/>
      <c r="AK2522" s="23"/>
      <c r="AL2522" s="23"/>
      <c r="AM2522" s="23"/>
      <c r="AN2522" s="23"/>
      <c r="AO2522" s="23"/>
      <c r="AP2522" s="23"/>
      <c r="AQ2522" s="23"/>
      <c r="AR2522" s="23"/>
      <c r="AS2522" s="23"/>
      <c r="AT2522" s="23"/>
      <c r="AU2522" s="23"/>
      <c r="AV2522" s="23"/>
      <c r="AW2522" s="23"/>
      <c r="AX2522" s="23"/>
      <c r="AY2522" s="23"/>
      <c r="AZ2522" s="23"/>
      <c r="BA2522" s="23"/>
      <c r="BB2522" s="23"/>
    </row>
    <row r="2523" spans="5:54" x14ac:dyDescent="0.35"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  <c r="AA2523" s="23"/>
      <c r="AB2523" s="23"/>
      <c r="AC2523" s="23"/>
      <c r="AD2523" s="23"/>
      <c r="AE2523" s="23"/>
      <c r="AF2523" s="23"/>
      <c r="AG2523" s="23"/>
      <c r="AH2523" s="23"/>
      <c r="AI2523" s="23"/>
      <c r="AJ2523" s="23"/>
      <c r="AK2523" s="23"/>
      <c r="AL2523" s="23"/>
      <c r="AM2523" s="23"/>
      <c r="AN2523" s="23"/>
      <c r="AO2523" s="23"/>
      <c r="AP2523" s="23"/>
      <c r="AQ2523" s="23"/>
      <c r="AR2523" s="23"/>
      <c r="AS2523" s="23"/>
      <c r="AT2523" s="23"/>
      <c r="AU2523" s="23"/>
      <c r="AV2523" s="23"/>
      <c r="AW2523" s="23"/>
      <c r="AX2523" s="23"/>
      <c r="AY2523" s="23"/>
      <c r="AZ2523" s="23"/>
      <c r="BA2523" s="23"/>
      <c r="BB2523" s="23"/>
    </row>
    <row r="2524" spans="5:54" x14ac:dyDescent="0.35"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  <c r="AA2524" s="23"/>
      <c r="AB2524" s="23"/>
      <c r="AC2524" s="23"/>
      <c r="AD2524" s="23"/>
      <c r="AE2524" s="23"/>
      <c r="AF2524" s="23"/>
      <c r="AG2524" s="23"/>
      <c r="AH2524" s="23"/>
      <c r="AI2524" s="23"/>
      <c r="AJ2524" s="23"/>
      <c r="AK2524" s="23"/>
      <c r="AL2524" s="23"/>
      <c r="AM2524" s="23"/>
      <c r="AN2524" s="23"/>
      <c r="AO2524" s="23"/>
      <c r="AP2524" s="23"/>
      <c r="AQ2524" s="23"/>
      <c r="AR2524" s="23"/>
      <c r="AS2524" s="23"/>
      <c r="AT2524" s="23"/>
      <c r="AU2524" s="23"/>
      <c r="AV2524" s="23"/>
      <c r="AW2524" s="23"/>
      <c r="AX2524" s="23"/>
      <c r="AY2524" s="23"/>
      <c r="AZ2524" s="23"/>
      <c r="BA2524" s="23"/>
      <c r="BB2524" s="23"/>
    </row>
    <row r="2525" spans="5:54" x14ac:dyDescent="0.35"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  <c r="AA2525" s="23"/>
      <c r="AB2525" s="23"/>
      <c r="AC2525" s="23"/>
      <c r="AD2525" s="23"/>
      <c r="AE2525" s="23"/>
      <c r="AF2525" s="23"/>
      <c r="AG2525" s="23"/>
      <c r="AH2525" s="23"/>
      <c r="AI2525" s="23"/>
      <c r="AJ2525" s="23"/>
      <c r="AK2525" s="23"/>
      <c r="AL2525" s="23"/>
      <c r="AM2525" s="23"/>
      <c r="AN2525" s="23"/>
      <c r="AO2525" s="23"/>
      <c r="AP2525" s="23"/>
      <c r="AQ2525" s="23"/>
      <c r="AR2525" s="23"/>
      <c r="AS2525" s="23"/>
      <c r="AT2525" s="23"/>
      <c r="AU2525" s="23"/>
      <c r="AV2525" s="23"/>
      <c r="AW2525" s="23"/>
      <c r="AX2525" s="23"/>
      <c r="AY2525" s="23"/>
      <c r="AZ2525" s="23"/>
      <c r="BA2525" s="23"/>
      <c r="BB2525" s="23"/>
    </row>
    <row r="2526" spans="5:54" x14ac:dyDescent="0.35"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  <c r="AA2526" s="23"/>
      <c r="AB2526" s="23"/>
      <c r="AC2526" s="23"/>
      <c r="AD2526" s="23"/>
      <c r="AE2526" s="23"/>
      <c r="AF2526" s="23"/>
      <c r="AG2526" s="23"/>
      <c r="AH2526" s="23"/>
      <c r="AI2526" s="23"/>
      <c r="AJ2526" s="23"/>
      <c r="AK2526" s="23"/>
      <c r="AL2526" s="23"/>
      <c r="AM2526" s="23"/>
      <c r="AN2526" s="23"/>
      <c r="AO2526" s="23"/>
      <c r="AP2526" s="23"/>
      <c r="AQ2526" s="23"/>
      <c r="AR2526" s="23"/>
      <c r="AS2526" s="23"/>
      <c r="AT2526" s="23"/>
      <c r="AU2526" s="23"/>
      <c r="AV2526" s="23"/>
      <c r="AW2526" s="23"/>
      <c r="AX2526" s="23"/>
      <c r="AY2526" s="23"/>
      <c r="AZ2526" s="23"/>
      <c r="BA2526" s="23"/>
      <c r="BB2526" s="23"/>
    </row>
    <row r="2527" spans="5:54" x14ac:dyDescent="0.35"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  <c r="AA2527" s="23"/>
      <c r="AB2527" s="23"/>
      <c r="AC2527" s="23"/>
      <c r="AD2527" s="23"/>
      <c r="AE2527" s="23"/>
      <c r="AF2527" s="23"/>
      <c r="AG2527" s="23"/>
      <c r="AH2527" s="23"/>
      <c r="AI2527" s="23"/>
      <c r="AJ2527" s="23"/>
      <c r="AK2527" s="23"/>
      <c r="AL2527" s="23"/>
      <c r="AM2527" s="23"/>
      <c r="AN2527" s="23"/>
      <c r="AO2527" s="23"/>
      <c r="AP2527" s="23"/>
      <c r="AQ2527" s="23"/>
      <c r="AR2527" s="23"/>
      <c r="AS2527" s="23"/>
      <c r="AT2527" s="23"/>
      <c r="AU2527" s="23"/>
      <c r="AV2527" s="23"/>
      <c r="AW2527" s="23"/>
      <c r="AX2527" s="23"/>
      <c r="AY2527" s="23"/>
      <c r="AZ2527" s="23"/>
      <c r="BA2527" s="23"/>
      <c r="BB2527" s="23"/>
    </row>
    <row r="2528" spans="5:54" x14ac:dyDescent="0.35"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  <c r="AA2528" s="23"/>
      <c r="AB2528" s="23"/>
      <c r="AC2528" s="23"/>
      <c r="AD2528" s="23"/>
      <c r="AE2528" s="23"/>
      <c r="AF2528" s="23"/>
      <c r="AG2528" s="23"/>
      <c r="AH2528" s="23"/>
      <c r="AI2528" s="23"/>
      <c r="AJ2528" s="23"/>
      <c r="AK2528" s="23"/>
      <c r="AL2528" s="23"/>
      <c r="AM2528" s="23"/>
      <c r="AN2528" s="23"/>
      <c r="AO2528" s="23"/>
      <c r="AP2528" s="23"/>
      <c r="AQ2528" s="23"/>
      <c r="AR2528" s="23"/>
      <c r="AS2528" s="23"/>
      <c r="AT2528" s="23"/>
      <c r="AU2528" s="23"/>
      <c r="AV2528" s="23"/>
      <c r="AW2528" s="23"/>
      <c r="AX2528" s="23"/>
      <c r="AY2528" s="23"/>
      <c r="AZ2528" s="23"/>
      <c r="BA2528" s="23"/>
      <c r="BB2528" s="23"/>
    </row>
    <row r="2529" spans="5:54" x14ac:dyDescent="0.35"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  <c r="AA2529" s="23"/>
      <c r="AB2529" s="23"/>
      <c r="AC2529" s="23"/>
      <c r="AD2529" s="23"/>
      <c r="AE2529" s="23"/>
      <c r="AF2529" s="23"/>
      <c r="AG2529" s="23"/>
      <c r="AH2529" s="23"/>
      <c r="AI2529" s="23"/>
      <c r="AJ2529" s="23"/>
      <c r="AK2529" s="23"/>
      <c r="AL2529" s="23"/>
      <c r="AM2529" s="23"/>
      <c r="AN2529" s="23"/>
      <c r="AO2529" s="23"/>
      <c r="AP2529" s="23"/>
      <c r="AQ2529" s="23"/>
      <c r="AR2529" s="23"/>
      <c r="AS2529" s="23"/>
      <c r="AT2529" s="23"/>
      <c r="AU2529" s="23"/>
      <c r="AV2529" s="23"/>
      <c r="AW2529" s="23"/>
      <c r="AX2529" s="23"/>
      <c r="AY2529" s="23"/>
      <c r="AZ2529" s="23"/>
      <c r="BA2529" s="23"/>
      <c r="BB2529" s="23"/>
    </row>
    <row r="2530" spans="5:54" x14ac:dyDescent="0.35"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  <c r="AA2530" s="23"/>
      <c r="AB2530" s="23"/>
      <c r="AC2530" s="23"/>
      <c r="AD2530" s="23"/>
      <c r="AE2530" s="23"/>
      <c r="AF2530" s="23"/>
      <c r="AG2530" s="23"/>
      <c r="AH2530" s="23"/>
      <c r="AI2530" s="23"/>
      <c r="AJ2530" s="23"/>
      <c r="AK2530" s="23"/>
      <c r="AL2530" s="23"/>
      <c r="AM2530" s="23"/>
      <c r="AN2530" s="23"/>
      <c r="AO2530" s="23"/>
      <c r="AP2530" s="23"/>
      <c r="AQ2530" s="23"/>
      <c r="AR2530" s="23"/>
      <c r="AS2530" s="23"/>
      <c r="AT2530" s="23"/>
      <c r="AU2530" s="23"/>
      <c r="AV2530" s="23"/>
      <c r="AW2530" s="23"/>
      <c r="AX2530" s="23"/>
      <c r="AY2530" s="23"/>
      <c r="AZ2530" s="23"/>
      <c r="BA2530" s="23"/>
      <c r="BB2530" s="23"/>
    </row>
    <row r="2531" spans="5:54" x14ac:dyDescent="0.35"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  <c r="AA2531" s="23"/>
      <c r="AB2531" s="23"/>
      <c r="AC2531" s="23"/>
      <c r="AD2531" s="23"/>
      <c r="AE2531" s="23"/>
      <c r="AF2531" s="23"/>
      <c r="AG2531" s="23"/>
      <c r="AH2531" s="23"/>
      <c r="AI2531" s="23"/>
      <c r="AJ2531" s="23"/>
      <c r="AK2531" s="23"/>
      <c r="AL2531" s="23"/>
      <c r="AM2531" s="23"/>
      <c r="AN2531" s="23"/>
      <c r="AO2531" s="23"/>
      <c r="AP2531" s="23"/>
      <c r="AQ2531" s="23"/>
      <c r="AR2531" s="23"/>
      <c r="AS2531" s="23"/>
      <c r="AT2531" s="23"/>
      <c r="AU2531" s="23"/>
      <c r="AV2531" s="23"/>
      <c r="AW2531" s="23"/>
      <c r="AX2531" s="23"/>
      <c r="AY2531" s="23"/>
      <c r="AZ2531" s="23"/>
      <c r="BA2531" s="23"/>
      <c r="BB2531" s="23"/>
    </row>
    <row r="2532" spans="5:54" x14ac:dyDescent="0.35"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  <c r="AA2532" s="23"/>
      <c r="AB2532" s="23"/>
      <c r="AC2532" s="23"/>
      <c r="AD2532" s="23"/>
      <c r="AE2532" s="23"/>
      <c r="AF2532" s="23"/>
      <c r="AG2532" s="23"/>
      <c r="AH2532" s="23"/>
      <c r="AI2532" s="23"/>
      <c r="AJ2532" s="23"/>
      <c r="AK2532" s="23"/>
      <c r="AL2532" s="23"/>
      <c r="AM2532" s="23"/>
      <c r="AN2532" s="23"/>
      <c r="AO2532" s="23"/>
      <c r="AP2532" s="23"/>
      <c r="AQ2532" s="23"/>
      <c r="AR2532" s="23"/>
      <c r="AS2532" s="23"/>
      <c r="AT2532" s="23"/>
      <c r="AU2532" s="23"/>
      <c r="AV2532" s="23"/>
      <c r="AW2532" s="23"/>
      <c r="AX2532" s="23"/>
      <c r="AY2532" s="23"/>
      <c r="AZ2532" s="23"/>
      <c r="BA2532" s="23"/>
      <c r="BB2532" s="23"/>
    </row>
    <row r="2533" spans="5:54" x14ac:dyDescent="0.35"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  <c r="AA2533" s="23"/>
      <c r="AB2533" s="23"/>
      <c r="AC2533" s="23"/>
      <c r="AD2533" s="23"/>
      <c r="AE2533" s="23"/>
      <c r="AF2533" s="23"/>
      <c r="AG2533" s="23"/>
      <c r="AH2533" s="23"/>
      <c r="AI2533" s="23"/>
      <c r="AJ2533" s="23"/>
      <c r="AK2533" s="23"/>
      <c r="AL2533" s="23"/>
      <c r="AM2533" s="23"/>
      <c r="AN2533" s="23"/>
      <c r="AO2533" s="23"/>
      <c r="AP2533" s="23"/>
      <c r="AQ2533" s="23"/>
      <c r="AR2533" s="23"/>
      <c r="AS2533" s="23"/>
      <c r="AT2533" s="23"/>
      <c r="AU2533" s="23"/>
      <c r="AV2533" s="23"/>
      <c r="AW2533" s="23"/>
      <c r="AX2533" s="23"/>
      <c r="AY2533" s="23"/>
      <c r="AZ2533" s="23"/>
      <c r="BA2533" s="23"/>
      <c r="BB2533" s="23"/>
    </row>
    <row r="2534" spans="5:54" x14ac:dyDescent="0.35"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  <c r="AA2534" s="23"/>
      <c r="AB2534" s="23"/>
      <c r="AC2534" s="23"/>
      <c r="AD2534" s="23"/>
      <c r="AE2534" s="23"/>
      <c r="AF2534" s="23"/>
      <c r="AG2534" s="23"/>
      <c r="AH2534" s="23"/>
      <c r="AI2534" s="23"/>
      <c r="AJ2534" s="23"/>
      <c r="AK2534" s="23"/>
      <c r="AL2534" s="23"/>
      <c r="AM2534" s="23"/>
      <c r="AN2534" s="23"/>
      <c r="AO2534" s="23"/>
      <c r="AP2534" s="23"/>
      <c r="AQ2534" s="23"/>
      <c r="AR2534" s="23"/>
      <c r="AS2534" s="23"/>
      <c r="AT2534" s="23"/>
      <c r="AU2534" s="23"/>
      <c r="AV2534" s="23"/>
      <c r="AW2534" s="23"/>
      <c r="AX2534" s="23"/>
      <c r="AY2534" s="23"/>
      <c r="AZ2534" s="23"/>
      <c r="BA2534" s="23"/>
      <c r="BB2534" s="23"/>
    </row>
    <row r="2535" spans="5:54" x14ac:dyDescent="0.35"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  <c r="AA2535" s="23"/>
      <c r="AB2535" s="23"/>
      <c r="AC2535" s="23"/>
      <c r="AD2535" s="23"/>
      <c r="AE2535" s="23"/>
      <c r="AF2535" s="23"/>
      <c r="AG2535" s="23"/>
      <c r="AH2535" s="23"/>
      <c r="AI2535" s="23"/>
      <c r="AJ2535" s="23"/>
      <c r="AK2535" s="23"/>
      <c r="AL2535" s="23"/>
      <c r="AM2535" s="23"/>
      <c r="AN2535" s="23"/>
      <c r="AO2535" s="23"/>
      <c r="AP2535" s="23"/>
      <c r="AQ2535" s="23"/>
      <c r="AR2535" s="23"/>
      <c r="AS2535" s="23"/>
      <c r="AT2535" s="23"/>
      <c r="AU2535" s="23"/>
      <c r="AV2535" s="23"/>
      <c r="AW2535" s="23"/>
      <c r="AX2535" s="23"/>
      <c r="AY2535" s="23"/>
      <c r="AZ2535" s="23"/>
      <c r="BA2535" s="23"/>
      <c r="BB2535" s="23"/>
    </row>
    <row r="2536" spans="5:54" x14ac:dyDescent="0.35"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  <c r="AA2536" s="23"/>
      <c r="AB2536" s="23"/>
      <c r="AC2536" s="23"/>
      <c r="AD2536" s="23"/>
      <c r="AE2536" s="23"/>
      <c r="AF2536" s="23"/>
      <c r="AG2536" s="23"/>
      <c r="AH2536" s="23"/>
      <c r="AI2536" s="23"/>
      <c r="AJ2536" s="23"/>
      <c r="AK2536" s="23"/>
      <c r="AL2536" s="23"/>
      <c r="AM2536" s="23"/>
      <c r="AN2536" s="23"/>
      <c r="AO2536" s="23"/>
      <c r="AP2536" s="23"/>
      <c r="AQ2536" s="23"/>
      <c r="AR2536" s="23"/>
      <c r="AS2536" s="23"/>
      <c r="AT2536" s="23"/>
      <c r="AU2536" s="23"/>
      <c r="AV2536" s="23"/>
      <c r="AW2536" s="23"/>
      <c r="AX2536" s="23"/>
      <c r="AY2536" s="23"/>
      <c r="AZ2536" s="23"/>
      <c r="BA2536" s="23"/>
      <c r="BB2536" s="23"/>
    </row>
    <row r="2537" spans="5:54" x14ac:dyDescent="0.35"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  <c r="AA2537" s="23"/>
      <c r="AB2537" s="23"/>
      <c r="AC2537" s="23"/>
      <c r="AD2537" s="23"/>
      <c r="AE2537" s="23"/>
      <c r="AF2537" s="23"/>
      <c r="AG2537" s="23"/>
      <c r="AH2537" s="23"/>
      <c r="AI2537" s="23"/>
      <c r="AJ2537" s="23"/>
      <c r="AK2537" s="23"/>
      <c r="AL2537" s="23"/>
      <c r="AM2537" s="23"/>
      <c r="AN2537" s="23"/>
      <c r="AO2537" s="23"/>
      <c r="AP2537" s="23"/>
      <c r="AQ2537" s="23"/>
      <c r="AR2537" s="23"/>
      <c r="AS2537" s="23"/>
      <c r="AT2537" s="23"/>
      <c r="AU2537" s="23"/>
      <c r="AV2537" s="23"/>
      <c r="AW2537" s="23"/>
      <c r="AX2537" s="23"/>
      <c r="AY2537" s="23"/>
      <c r="AZ2537" s="23"/>
      <c r="BA2537" s="23"/>
      <c r="BB2537" s="23"/>
    </row>
    <row r="2538" spans="5:54" x14ac:dyDescent="0.35"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  <c r="AA2538" s="23"/>
      <c r="AB2538" s="23"/>
      <c r="AC2538" s="23"/>
      <c r="AD2538" s="23"/>
      <c r="AE2538" s="23"/>
      <c r="AF2538" s="23"/>
      <c r="AG2538" s="23"/>
      <c r="AH2538" s="23"/>
      <c r="AI2538" s="23"/>
      <c r="AJ2538" s="23"/>
      <c r="AK2538" s="23"/>
      <c r="AL2538" s="23"/>
      <c r="AM2538" s="23"/>
      <c r="AN2538" s="23"/>
      <c r="AO2538" s="23"/>
      <c r="AP2538" s="23"/>
      <c r="AQ2538" s="23"/>
      <c r="AR2538" s="23"/>
      <c r="AS2538" s="23"/>
      <c r="AT2538" s="23"/>
      <c r="AU2538" s="23"/>
      <c r="AV2538" s="23"/>
      <c r="AW2538" s="23"/>
      <c r="AX2538" s="23"/>
      <c r="AY2538" s="23"/>
      <c r="AZ2538" s="23"/>
      <c r="BA2538" s="23"/>
      <c r="BB2538" s="23"/>
    </row>
    <row r="2539" spans="5:54" x14ac:dyDescent="0.35"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  <c r="AA2539" s="23"/>
      <c r="AB2539" s="23"/>
      <c r="AC2539" s="23"/>
      <c r="AD2539" s="23"/>
      <c r="AE2539" s="23"/>
      <c r="AF2539" s="23"/>
      <c r="AG2539" s="23"/>
      <c r="AH2539" s="23"/>
      <c r="AI2539" s="23"/>
      <c r="AJ2539" s="23"/>
      <c r="AK2539" s="23"/>
      <c r="AL2539" s="23"/>
      <c r="AM2539" s="23"/>
      <c r="AN2539" s="23"/>
      <c r="AO2539" s="23"/>
      <c r="AP2539" s="23"/>
      <c r="AQ2539" s="23"/>
      <c r="AR2539" s="23"/>
      <c r="AS2539" s="23"/>
      <c r="AT2539" s="23"/>
      <c r="AU2539" s="23"/>
      <c r="AV2539" s="23"/>
      <c r="AW2539" s="23"/>
      <c r="AX2539" s="23"/>
      <c r="AY2539" s="23"/>
      <c r="AZ2539" s="23"/>
      <c r="BA2539" s="23"/>
      <c r="BB2539" s="23"/>
    </row>
    <row r="2540" spans="5:54" x14ac:dyDescent="0.35"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  <c r="AA2540" s="23"/>
      <c r="AB2540" s="23"/>
      <c r="AC2540" s="23"/>
      <c r="AD2540" s="23"/>
      <c r="AE2540" s="23"/>
      <c r="AF2540" s="23"/>
      <c r="AG2540" s="23"/>
      <c r="AH2540" s="23"/>
      <c r="AI2540" s="23"/>
      <c r="AJ2540" s="23"/>
      <c r="AK2540" s="23"/>
      <c r="AL2540" s="23"/>
      <c r="AM2540" s="23"/>
      <c r="AN2540" s="23"/>
      <c r="AO2540" s="23"/>
      <c r="AP2540" s="23"/>
      <c r="AQ2540" s="23"/>
      <c r="AR2540" s="23"/>
      <c r="AS2540" s="23"/>
      <c r="AT2540" s="23"/>
      <c r="AU2540" s="23"/>
      <c r="AV2540" s="23"/>
      <c r="AW2540" s="23"/>
      <c r="AX2540" s="23"/>
      <c r="AY2540" s="23"/>
      <c r="AZ2540" s="23"/>
      <c r="BA2540" s="23"/>
      <c r="BB2540" s="23"/>
    </row>
    <row r="2541" spans="5:54" x14ac:dyDescent="0.35"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  <c r="AA2541" s="23"/>
      <c r="AB2541" s="23"/>
      <c r="AC2541" s="23"/>
      <c r="AD2541" s="23"/>
      <c r="AE2541" s="23"/>
      <c r="AF2541" s="23"/>
      <c r="AG2541" s="23"/>
      <c r="AH2541" s="23"/>
      <c r="AI2541" s="23"/>
      <c r="AJ2541" s="23"/>
      <c r="AK2541" s="23"/>
      <c r="AL2541" s="23"/>
      <c r="AM2541" s="23"/>
      <c r="AN2541" s="23"/>
      <c r="AO2541" s="23"/>
      <c r="AP2541" s="23"/>
      <c r="AQ2541" s="23"/>
      <c r="AR2541" s="23"/>
      <c r="AS2541" s="23"/>
      <c r="AT2541" s="23"/>
      <c r="AU2541" s="23"/>
      <c r="AV2541" s="23"/>
      <c r="AW2541" s="23"/>
      <c r="AX2541" s="23"/>
      <c r="AY2541" s="23"/>
      <c r="AZ2541" s="23"/>
      <c r="BA2541" s="23"/>
      <c r="BB2541" s="23"/>
    </row>
    <row r="2542" spans="5:54" x14ac:dyDescent="0.35"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  <c r="AA2542" s="23"/>
      <c r="AB2542" s="23"/>
      <c r="AC2542" s="23"/>
      <c r="AD2542" s="23"/>
      <c r="AE2542" s="23"/>
      <c r="AF2542" s="23"/>
      <c r="AG2542" s="23"/>
      <c r="AH2542" s="23"/>
      <c r="AI2542" s="23"/>
      <c r="AJ2542" s="23"/>
      <c r="AK2542" s="23"/>
      <c r="AL2542" s="23"/>
      <c r="AM2542" s="23"/>
      <c r="AN2542" s="23"/>
      <c r="AO2542" s="23"/>
      <c r="AP2542" s="23"/>
      <c r="AQ2542" s="23"/>
      <c r="AR2542" s="23"/>
      <c r="AS2542" s="23"/>
      <c r="AT2542" s="23"/>
      <c r="AU2542" s="23"/>
      <c r="AV2542" s="23"/>
      <c r="AW2542" s="23"/>
      <c r="AX2542" s="23"/>
      <c r="AY2542" s="23"/>
      <c r="AZ2542" s="23"/>
      <c r="BA2542" s="23"/>
      <c r="BB2542" s="23"/>
    </row>
    <row r="2543" spans="5:54" x14ac:dyDescent="0.35"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  <c r="AA2543" s="23"/>
      <c r="AB2543" s="23"/>
      <c r="AC2543" s="23"/>
      <c r="AD2543" s="23"/>
      <c r="AE2543" s="23"/>
      <c r="AF2543" s="23"/>
      <c r="AG2543" s="23"/>
      <c r="AH2543" s="23"/>
      <c r="AI2543" s="23"/>
      <c r="AJ2543" s="23"/>
      <c r="AK2543" s="23"/>
      <c r="AL2543" s="23"/>
      <c r="AM2543" s="23"/>
      <c r="AN2543" s="23"/>
      <c r="AO2543" s="23"/>
      <c r="AP2543" s="23"/>
      <c r="AQ2543" s="23"/>
      <c r="AR2543" s="23"/>
      <c r="AS2543" s="23"/>
      <c r="AT2543" s="23"/>
      <c r="AU2543" s="23"/>
      <c r="AV2543" s="23"/>
      <c r="AW2543" s="23"/>
      <c r="AX2543" s="23"/>
      <c r="AY2543" s="23"/>
      <c r="AZ2543" s="23"/>
      <c r="BA2543" s="23"/>
      <c r="BB2543" s="23"/>
    </row>
    <row r="2544" spans="5:54" x14ac:dyDescent="0.35"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  <c r="AA2544" s="23"/>
      <c r="AB2544" s="23"/>
      <c r="AC2544" s="23"/>
      <c r="AD2544" s="23"/>
      <c r="AE2544" s="23"/>
      <c r="AF2544" s="23"/>
      <c r="AG2544" s="23"/>
      <c r="AH2544" s="23"/>
      <c r="AI2544" s="23"/>
      <c r="AJ2544" s="23"/>
      <c r="AK2544" s="23"/>
      <c r="AL2544" s="23"/>
      <c r="AM2544" s="23"/>
      <c r="AN2544" s="23"/>
      <c r="AO2544" s="23"/>
      <c r="AP2544" s="23"/>
      <c r="AQ2544" s="23"/>
      <c r="AR2544" s="23"/>
      <c r="AS2544" s="23"/>
      <c r="AT2544" s="23"/>
      <c r="AU2544" s="23"/>
      <c r="AV2544" s="23"/>
      <c r="AW2544" s="23"/>
      <c r="AX2544" s="23"/>
      <c r="AY2544" s="23"/>
      <c r="AZ2544" s="23"/>
      <c r="BA2544" s="23"/>
      <c r="BB2544" s="23"/>
    </row>
    <row r="2545" spans="5:54" x14ac:dyDescent="0.35"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  <c r="AA2545" s="23"/>
      <c r="AB2545" s="23"/>
      <c r="AC2545" s="23"/>
      <c r="AD2545" s="23"/>
      <c r="AE2545" s="23"/>
      <c r="AF2545" s="23"/>
      <c r="AG2545" s="23"/>
      <c r="AH2545" s="23"/>
      <c r="AI2545" s="23"/>
      <c r="AJ2545" s="23"/>
      <c r="AK2545" s="23"/>
      <c r="AL2545" s="23"/>
      <c r="AM2545" s="23"/>
      <c r="AN2545" s="23"/>
      <c r="AO2545" s="23"/>
      <c r="AP2545" s="23"/>
      <c r="AQ2545" s="23"/>
      <c r="AR2545" s="23"/>
      <c r="AS2545" s="23"/>
      <c r="AT2545" s="23"/>
      <c r="AU2545" s="23"/>
      <c r="AV2545" s="23"/>
      <c r="AW2545" s="23"/>
      <c r="AX2545" s="23"/>
      <c r="AY2545" s="23"/>
      <c r="AZ2545" s="23"/>
      <c r="BA2545" s="23"/>
      <c r="BB2545" s="23"/>
    </row>
    <row r="2546" spans="5:54" x14ac:dyDescent="0.35"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  <c r="AA2546" s="23"/>
      <c r="AB2546" s="23"/>
      <c r="AC2546" s="23"/>
      <c r="AD2546" s="23"/>
      <c r="AE2546" s="23"/>
      <c r="AF2546" s="23"/>
      <c r="AG2546" s="23"/>
      <c r="AH2546" s="23"/>
      <c r="AI2546" s="23"/>
      <c r="AJ2546" s="23"/>
      <c r="AK2546" s="23"/>
      <c r="AL2546" s="23"/>
      <c r="AM2546" s="23"/>
      <c r="AN2546" s="23"/>
      <c r="AO2546" s="23"/>
      <c r="AP2546" s="23"/>
      <c r="AQ2546" s="23"/>
      <c r="AR2546" s="23"/>
      <c r="AS2546" s="23"/>
      <c r="AT2546" s="23"/>
      <c r="AU2546" s="23"/>
      <c r="AV2546" s="23"/>
      <c r="AW2546" s="23"/>
      <c r="AX2546" s="23"/>
      <c r="AY2546" s="23"/>
      <c r="AZ2546" s="23"/>
      <c r="BA2546" s="23"/>
      <c r="BB2546" s="23"/>
    </row>
    <row r="2547" spans="5:54" x14ac:dyDescent="0.35"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  <c r="AA2547" s="23"/>
      <c r="AB2547" s="23"/>
      <c r="AC2547" s="23"/>
      <c r="AD2547" s="23"/>
      <c r="AE2547" s="23"/>
      <c r="AF2547" s="23"/>
      <c r="AG2547" s="23"/>
      <c r="AH2547" s="23"/>
      <c r="AI2547" s="23"/>
      <c r="AJ2547" s="23"/>
      <c r="AK2547" s="23"/>
      <c r="AL2547" s="23"/>
      <c r="AM2547" s="23"/>
      <c r="AN2547" s="23"/>
      <c r="AO2547" s="23"/>
      <c r="AP2547" s="23"/>
      <c r="AQ2547" s="23"/>
      <c r="AR2547" s="23"/>
      <c r="AS2547" s="23"/>
      <c r="AT2547" s="23"/>
      <c r="AU2547" s="23"/>
      <c r="AV2547" s="23"/>
      <c r="AW2547" s="23"/>
      <c r="AX2547" s="23"/>
      <c r="AY2547" s="23"/>
      <c r="AZ2547" s="23"/>
      <c r="BA2547" s="23"/>
      <c r="BB2547" s="23"/>
    </row>
    <row r="2548" spans="5:54" x14ac:dyDescent="0.35"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  <c r="AA2548" s="23"/>
      <c r="AB2548" s="23"/>
      <c r="AC2548" s="23"/>
      <c r="AD2548" s="23"/>
      <c r="AE2548" s="23"/>
      <c r="AF2548" s="23"/>
      <c r="AG2548" s="23"/>
      <c r="AH2548" s="23"/>
      <c r="AI2548" s="23"/>
      <c r="AJ2548" s="23"/>
      <c r="AK2548" s="23"/>
      <c r="AL2548" s="23"/>
      <c r="AM2548" s="23"/>
      <c r="AN2548" s="23"/>
      <c r="AO2548" s="23"/>
      <c r="AP2548" s="23"/>
      <c r="AQ2548" s="23"/>
      <c r="AR2548" s="23"/>
      <c r="AS2548" s="23"/>
      <c r="AT2548" s="23"/>
      <c r="AU2548" s="23"/>
      <c r="AV2548" s="23"/>
      <c r="AW2548" s="23"/>
      <c r="AX2548" s="23"/>
      <c r="AY2548" s="23"/>
      <c r="AZ2548" s="23"/>
      <c r="BA2548" s="23"/>
      <c r="BB2548" s="23"/>
    </row>
    <row r="2549" spans="5:54" x14ac:dyDescent="0.35"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  <c r="AA2549" s="23"/>
      <c r="AB2549" s="23"/>
      <c r="AC2549" s="23"/>
      <c r="AD2549" s="23"/>
      <c r="AE2549" s="23"/>
      <c r="AF2549" s="23"/>
      <c r="AG2549" s="23"/>
      <c r="AH2549" s="23"/>
      <c r="AI2549" s="23"/>
      <c r="AJ2549" s="23"/>
      <c r="AK2549" s="23"/>
      <c r="AL2549" s="23"/>
      <c r="AM2549" s="23"/>
      <c r="AN2549" s="23"/>
      <c r="AO2549" s="23"/>
      <c r="AP2549" s="23"/>
      <c r="AQ2549" s="23"/>
      <c r="AR2549" s="23"/>
      <c r="AS2549" s="23"/>
      <c r="AT2549" s="23"/>
      <c r="AU2549" s="23"/>
      <c r="AV2549" s="23"/>
      <c r="AW2549" s="23"/>
      <c r="AX2549" s="23"/>
      <c r="AY2549" s="23"/>
      <c r="AZ2549" s="23"/>
      <c r="BA2549" s="23"/>
      <c r="BB2549" s="23"/>
    </row>
    <row r="2550" spans="5:54" x14ac:dyDescent="0.35"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  <c r="AA2550" s="23"/>
      <c r="AB2550" s="23"/>
      <c r="AC2550" s="23"/>
      <c r="AD2550" s="23"/>
      <c r="AE2550" s="23"/>
      <c r="AF2550" s="23"/>
      <c r="AG2550" s="23"/>
      <c r="AH2550" s="23"/>
      <c r="AI2550" s="23"/>
      <c r="AJ2550" s="23"/>
      <c r="AK2550" s="23"/>
      <c r="AL2550" s="23"/>
      <c r="AM2550" s="23"/>
      <c r="AN2550" s="23"/>
      <c r="AO2550" s="23"/>
      <c r="AP2550" s="23"/>
      <c r="AQ2550" s="23"/>
      <c r="AR2550" s="23"/>
      <c r="AS2550" s="23"/>
      <c r="AT2550" s="23"/>
      <c r="AU2550" s="23"/>
      <c r="AV2550" s="23"/>
      <c r="AW2550" s="23"/>
      <c r="AX2550" s="23"/>
      <c r="AY2550" s="23"/>
      <c r="AZ2550" s="23"/>
      <c r="BA2550" s="23"/>
      <c r="BB2550" s="23"/>
    </row>
    <row r="2551" spans="5:54" x14ac:dyDescent="0.35"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  <c r="AA2551" s="23"/>
      <c r="AB2551" s="23"/>
      <c r="AC2551" s="23"/>
      <c r="AD2551" s="23"/>
      <c r="AE2551" s="23"/>
      <c r="AF2551" s="23"/>
      <c r="AG2551" s="23"/>
      <c r="AH2551" s="23"/>
      <c r="AI2551" s="23"/>
      <c r="AJ2551" s="23"/>
      <c r="AK2551" s="23"/>
      <c r="AL2551" s="23"/>
      <c r="AM2551" s="23"/>
      <c r="AN2551" s="23"/>
      <c r="AO2551" s="23"/>
      <c r="AP2551" s="23"/>
      <c r="AQ2551" s="23"/>
      <c r="AR2551" s="23"/>
      <c r="AS2551" s="23"/>
      <c r="AT2551" s="23"/>
      <c r="AU2551" s="23"/>
      <c r="AV2551" s="23"/>
      <c r="AW2551" s="23"/>
      <c r="AX2551" s="23"/>
      <c r="AY2551" s="23"/>
      <c r="AZ2551" s="23"/>
      <c r="BA2551" s="23"/>
      <c r="BB2551" s="23"/>
    </row>
    <row r="2552" spans="5:54" x14ac:dyDescent="0.35"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  <c r="AA2552" s="23"/>
      <c r="AB2552" s="23"/>
      <c r="AC2552" s="23"/>
      <c r="AD2552" s="23"/>
      <c r="AE2552" s="23"/>
      <c r="AF2552" s="23"/>
      <c r="AG2552" s="23"/>
      <c r="AH2552" s="23"/>
      <c r="AI2552" s="23"/>
      <c r="AJ2552" s="23"/>
      <c r="AK2552" s="23"/>
      <c r="AL2552" s="23"/>
      <c r="AM2552" s="23"/>
      <c r="AN2552" s="23"/>
      <c r="AO2552" s="23"/>
      <c r="AP2552" s="23"/>
      <c r="AQ2552" s="23"/>
      <c r="AR2552" s="23"/>
      <c r="AS2552" s="23"/>
      <c r="AT2552" s="23"/>
      <c r="AU2552" s="23"/>
      <c r="AV2552" s="23"/>
      <c r="AW2552" s="23"/>
      <c r="AX2552" s="23"/>
      <c r="AY2552" s="23"/>
      <c r="AZ2552" s="23"/>
      <c r="BA2552" s="23"/>
      <c r="BB2552" s="23"/>
    </row>
    <row r="2553" spans="5:54" x14ac:dyDescent="0.35"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  <c r="AA2553" s="23"/>
      <c r="AB2553" s="23"/>
      <c r="AC2553" s="23"/>
      <c r="AD2553" s="23"/>
      <c r="AE2553" s="23"/>
      <c r="AF2553" s="23"/>
      <c r="AG2553" s="23"/>
      <c r="AH2553" s="23"/>
      <c r="AI2553" s="23"/>
      <c r="AJ2553" s="23"/>
      <c r="AK2553" s="23"/>
      <c r="AL2553" s="23"/>
      <c r="AM2553" s="23"/>
      <c r="AN2553" s="23"/>
      <c r="AO2553" s="23"/>
      <c r="AP2553" s="23"/>
      <c r="AQ2553" s="23"/>
      <c r="AR2553" s="23"/>
      <c r="AS2553" s="23"/>
      <c r="AT2553" s="23"/>
      <c r="AU2553" s="23"/>
      <c r="AV2553" s="23"/>
      <c r="AW2553" s="23"/>
      <c r="AX2553" s="23"/>
      <c r="AY2553" s="23"/>
      <c r="AZ2553" s="23"/>
      <c r="BA2553" s="23"/>
      <c r="BB2553" s="23"/>
    </row>
    <row r="2554" spans="5:54" x14ac:dyDescent="0.35"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  <c r="AA2554" s="23"/>
      <c r="AB2554" s="23"/>
      <c r="AC2554" s="23"/>
      <c r="AD2554" s="23"/>
      <c r="AE2554" s="23"/>
      <c r="AF2554" s="23"/>
      <c r="AG2554" s="23"/>
      <c r="AH2554" s="23"/>
      <c r="AI2554" s="23"/>
      <c r="AJ2554" s="23"/>
      <c r="AK2554" s="23"/>
      <c r="AL2554" s="23"/>
      <c r="AM2554" s="23"/>
      <c r="AN2554" s="23"/>
      <c r="AO2554" s="23"/>
      <c r="AP2554" s="23"/>
      <c r="AQ2554" s="23"/>
      <c r="AR2554" s="23"/>
      <c r="AS2554" s="23"/>
      <c r="AT2554" s="23"/>
      <c r="AU2554" s="23"/>
      <c r="AV2554" s="23"/>
      <c r="AW2554" s="23"/>
      <c r="AX2554" s="23"/>
      <c r="AY2554" s="23"/>
      <c r="AZ2554" s="23"/>
      <c r="BA2554" s="23"/>
      <c r="BB2554" s="23"/>
    </row>
    <row r="2555" spans="5:54" x14ac:dyDescent="0.35"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  <c r="AA2555" s="23"/>
      <c r="AB2555" s="23"/>
      <c r="AC2555" s="23"/>
      <c r="AD2555" s="23"/>
      <c r="AE2555" s="23"/>
      <c r="AF2555" s="23"/>
      <c r="AG2555" s="23"/>
      <c r="AH2555" s="23"/>
      <c r="AI2555" s="23"/>
      <c r="AJ2555" s="23"/>
      <c r="AK2555" s="23"/>
      <c r="AL2555" s="23"/>
      <c r="AM2555" s="23"/>
      <c r="AN2555" s="23"/>
      <c r="AO2555" s="23"/>
      <c r="AP2555" s="23"/>
      <c r="AQ2555" s="23"/>
      <c r="AR2555" s="23"/>
      <c r="AS2555" s="23"/>
      <c r="AT2555" s="23"/>
      <c r="AU2555" s="23"/>
      <c r="AV2555" s="23"/>
      <c r="AW2555" s="23"/>
      <c r="AX2555" s="23"/>
      <c r="AY2555" s="23"/>
      <c r="AZ2555" s="23"/>
      <c r="BA2555" s="23"/>
      <c r="BB2555" s="23"/>
    </row>
    <row r="2556" spans="5:54" x14ac:dyDescent="0.35"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  <c r="AA2556" s="23"/>
      <c r="AB2556" s="23"/>
      <c r="AC2556" s="23"/>
      <c r="AD2556" s="23"/>
      <c r="AE2556" s="23"/>
      <c r="AF2556" s="23"/>
      <c r="AG2556" s="23"/>
      <c r="AH2556" s="23"/>
      <c r="AI2556" s="23"/>
      <c r="AJ2556" s="23"/>
      <c r="AK2556" s="23"/>
      <c r="AL2556" s="23"/>
      <c r="AM2556" s="23"/>
      <c r="AN2556" s="23"/>
      <c r="AO2556" s="23"/>
      <c r="AP2556" s="23"/>
      <c r="AQ2556" s="23"/>
      <c r="AR2556" s="23"/>
      <c r="AS2556" s="23"/>
      <c r="AT2556" s="23"/>
      <c r="AU2556" s="23"/>
      <c r="AV2556" s="23"/>
      <c r="AW2556" s="23"/>
      <c r="AX2556" s="23"/>
      <c r="AY2556" s="23"/>
      <c r="AZ2556" s="23"/>
      <c r="BA2556" s="23"/>
      <c r="BB2556" s="23"/>
    </row>
    <row r="2557" spans="5:54" x14ac:dyDescent="0.35"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  <c r="AA2557" s="23"/>
      <c r="AB2557" s="23"/>
      <c r="AC2557" s="23"/>
      <c r="AD2557" s="23"/>
      <c r="AE2557" s="23"/>
      <c r="AF2557" s="23"/>
      <c r="AG2557" s="23"/>
      <c r="AH2557" s="23"/>
      <c r="AI2557" s="23"/>
      <c r="AJ2557" s="23"/>
      <c r="AK2557" s="23"/>
      <c r="AL2557" s="23"/>
      <c r="AM2557" s="23"/>
      <c r="AN2557" s="23"/>
      <c r="AO2557" s="23"/>
      <c r="AP2557" s="23"/>
      <c r="AQ2557" s="23"/>
      <c r="AR2557" s="23"/>
      <c r="AS2557" s="23"/>
      <c r="AT2557" s="23"/>
      <c r="AU2557" s="23"/>
      <c r="AV2557" s="23"/>
      <c r="AW2557" s="23"/>
      <c r="AX2557" s="23"/>
      <c r="AY2557" s="23"/>
      <c r="AZ2557" s="23"/>
      <c r="BA2557" s="23"/>
      <c r="BB2557" s="23"/>
    </row>
    <row r="2558" spans="5:54" x14ac:dyDescent="0.35"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  <c r="AA2558" s="23"/>
      <c r="AB2558" s="23"/>
      <c r="AC2558" s="23"/>
      <c r="AD2558" s="23"/>
      <c r="AE2558" s="23"/>
      <c r="AF2558" s="23"/>
      <c r="AG2558" s="23"/>
      <c r="AH2558" s="23"/>
      <c r="AI2558" s="23"/>
      <c r="AJ2558" s="23"/>
      <c r="AK2558" s="23"/>
      <c r="AL2558" s="23"/>
      <c r="AM2558" s="23"/>
      <c r="AN2558" s="23"/>
      <c r="AO2558" s="23"/>
      <c r="AP2558" s="23"/>
      <c r="AQ2558" s="23"/>
      <c r="AR2558" s="23"/>
      <c r="AS2558" s="23"/>
      <c r="AT2558" s="23"/>
      <c r="AU2558" s="23"/>
      <c r="AV2558" s="23"/>
      <c r="AW2558" s="23"/>
      <c r="AX2558" s="23"/>
      <c r="AY2558" s="23"/>
      <c r="AZ2558" s="23"/>
      <c r="BA2558" s="23"/>
      <c r="BB2558" s="23"/>
    </row>
    <row r="2559" spans="5:54" x14ac:dyDescent="0.35"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  <c r="AA2559" s="23"/>
      <c r="AB2559" s="23"/>
      <c r="AC2559" s="23"/>
      <c r="AD2559" s="23"/>
      <c r="AE2559" s="23"/>
      <c r="AF2559" s="23"/>
      <c r="AG2559" s="23"/>
      <c r="AH2559" s="23"/>
      <c r="AI2559" s="23"/>
      <c r="AJ2559" s="23"/>
      <c r="AK2559" s="23"/>
      <c r="AL2559" s="23"/>
      <c r="AM2559" s="23"/>
      <c r="AN2559" s="23"/>
      <c r="AO2559" s="23"/>
      <c r="AP2559" s="23"/>
      <c r="AQ2559" s="23"/>
      <c r="AR2559" s="23"/>
      <c r="AS2559" s="23"/>
      <c r="AT2559" s="23"/>
      <c r="AU2559" s="23"/>
      <c r="AV2559" s="23"/>
      <c r="AW2559" s="23"/>
      <c r="AX2559" s="23"/>
      <c r="AY2559" s="23"/>
      <c r="AZ2559" s="23"/>
      <c r="BA2559" s="23"/>
      <c r="BB2559" s="23"/>
    </row>
    <row r="2560" spans="5:54" x14ac:dyDescent="0.35"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  <c r="AA2560" s="23"/>
      <c r="AB2560" s="23"/>
      <c r="AC2560" s="23"/>
      <c r="AD2560" s="23"/>
      <c r="AE2560" s="23"/>
      <c r="AF2560" s="23"/>
      <c r="AG2560" s="23"/>
      <c r="AH2560" s="23"/>
      <c r="AI2560" s="23"/>
      <c r="AJ2560" s="23"/>
      <c r="AK2560" s="23"/>
      <c r="AL2560" s="23"/>
      <c r="AM2560" s="23"/>
      <c r="AN2560" s="23"/>
      <c r="AO2560" s="23"/>
      <c r="AP2560" s="23"/>
      <c r="AQ2560" s="23"/>
      <c r="AR2560" s="23"/>
      <c r="AS2560" s="23"/>
      <c r="AT2560" s="23"/>
      <c r="AU2560" s="23"/>
      <c r="AV2560" s="23"/>
      <c r="AW2560" s="23"/>
      <c r="AX2560" s="23"/>
      <c r="AY2560" s="23"/>
      <c r="AZ2560" s="23"/>
      <c r="BA2560" s="23"/>
      <c r="BB2560" s="23"/>
    </row>
    <row r="2561" spans="5:54" x14ac:dyDescent="0.35"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  <c r="AA2561" s="23"/>
      <c r="AB2561" s="23"/>
      <c r="AC2561" s="23"/>
      <c r="AD2561" s="23"/>
      <c r="AE2561" s="23"/>
      <c r="AF2561" s="23"/>
      <c r="AG2561" s="23"/>
      <c r="AH2561" s="23"/>
      <c r="AI2561" s="23"/>
      <c r="AJ2561" s="23"/>
      <c r="AK2561" s="23"/>
      <c r="AL2561" s="23"/>
      <c r="AM2561" s="23"/>
      <c r="AN2561" s="23"/>
      <c r="AO2561" s="23"/>
      <c r="AP2561" s="23"/>
      <c r="AQ2561" s="23"/>
      <c r="AR2561" s="23"/>
      <c r="AS2561" s="23"/>
      <c r="AT2561" s="23"/>
      <c r="AU2561" s="23"/>
      <c r="AV2561" s="23"/>
      <c r="AW2561" s="23"/>
      <c r="AX2561" s="23"/>
      <c r="AY2561" s="23"/>
      <c r="AZ2561" s="23"/>
      <c r="BA2561" s="23"/>
      <c r="BB2561" s="23"/>
    </row>
    <row r="2562" spans="5:54" x14ac:dyDescent="0.35"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  <c r="AA2562" s="23"/>
      <c r="AB2562" s="23"/>
      <c r="AC2562" s="23"/>
      <c r="AD2562" s="23"/>
      <c r="AE2562" s="23"/>
      <c r="AF2562" s="23"/>
      <c r="AG2562" s="23"/>
      <c r="AH2562" s="23"/>
      <c r="AI2562" s="23"/>
      <c r="AJ2562" s="23"/>
      <c r="AK2562" s="23"/>
      <c r="AL2562" s="23"/>
      <c r="AM2562" s="23"/>
      <c r="AN2562" s="23"/>
      <c r="AO2562" s="23"/>
      <c r="AP2562" s="23"/>
      <c r="AQ2562" s="23"/>
      <c r="AR2562" s="23"/>
      <c r="AS2562" s="23"/>
      <c r="AT2562" s="23"/>
      <c r="AU2562" s="23"/>
      <c r="AV2562" s="23"/>
      <c r="AW2562" s="23"/>
      <c r="AX2562" s="23"/>
      <c r="AY2562" s="23"/>
      <c r="AZ2562" s="23"/>
      <c r="BA2562" s="23"/>
      <c r="BB2562" s="23"/>
    </row>
    <row r="2563" spans="5:54" x14ac:dyDescent="0.35"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  <c r="AA2563" s="23"/>
      <c r="AB2563" s="23"/>
      <c r="AC2563" s="23"/>
      <c r="AD2563" s="23"/>
      <c r="AE2563" s="23"/>
      <c r="AF2563" s="23"/>
      <c r="AG2563" s="23"/>
      <c r="AH2563" s="23"/>
      <c r="AI2563" s="23"/>
      <c r="AJ2563" s="23"/>
      <c r="AK2563" s="23"/>
      <c r="AL2563" s="23"/>
      <c r="AM2563" s="23"/>
      <c r="AN2563" s="23"/>
      <c r="AO2563" s="23"/>
      <c r="AP2563" s="23"/>
      <c r="AQ2563" s="23"/>
      <c r="AR2563" s="23"/>
      <c r="AS2563" s="23"/>
      <c r="AT2563" s="23"/>
      <c r="AU2563" s="23"/>
      <c r="AV2563" s="23"/>
      <c r="AW2563" s="23"/>
      <c r="AX2563" s="23"/>
      <c r="AY2563" s="23"/>
      <c r="AZ2563" s="23"/>
      <c r="BA2563" s="23"/>
      <c r="BB2563" s="23"/>
    </row>
    <row r="2564" spans="5:54" x14ac:dyDescent="0.35"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  <c r="AA2564" s="23"/>
      <c r="AB2564" s="23"/>
      <c r="AC2564" s="23"/>
      <c r="AD2564" s="23"/>
      <c r="AE2564" s="23"/>
      <c r="AF2564" s="23"/>
      <c r="AG2564" s="23"/>
      <c r="AH2564" s="23"/>
      <c r="AI2564" s="23"/>
      <c r="AJ2564" s="23"/>
      <c r="AK2564" s="23"/>
      <c r="AL2564" s="23"/>
      <c r="AM2564" s="23"/>
      <c r="AN2564" s="23"/>
      <c r="AO2564" s="23"/>
      <c r="AP2564" s="23"/>
      <c r="AQ2564" s="23"/>
      <c r="AR2564" s="23"/>
      <c r="AS2564" s="23"/>
      <c r="AT2564" s="23"/>
      <c r="AU2564" s="23"/>
      <c r="AV2564" s="23"/>
      <c r="AW2564" s="23"/>
      <c r="AX2564" s="23"/>
      <c r="AY2564" s="23"/>
      <c r="AZ2564" s="23"/>
      <c r="BA2564" s="23"/>
      <c r="BB2564" s="23"/>
    </row>
    <row r="2565" spans="5:54" x14ac:dyDescent="0.35"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  <c r="AA2565" s="23"/>
      <c r="AB2565" s="23"/>
      <c r="AC2565" s="23"/>
      <c r="AD2565" s="23"/>
      <c r="AE2565" s="23"/>
      <c r="AF2565" s="23"/>
      <c r="AG2565" s="23"/>
      <c r="AH2565" s="23"/>
      <c r="AI2565" s="23"/>
      <c r="AJ2565" s="23"/>
      <c r="AK2565" s="23"/>
      <c r="AL2565" s="23"/>
      <c r="AM2565" s="23"/>
      <c r="AN2565" s="23"/>
      <c r="AO2565" s="23"/>
      <c r="AP2565" s="23"/>
      <c r="AQ2565" s="23"/>
      <c r="AR2565" s="23"/>
      <c r="AS2565" s="23"/>
      <c r="AT2565" s="23"/>
      <c r="AU2565" s="23"/>
      <c r="AV2565" s="23"/>
      <c r="AW2565" s="23"/>
      <c r="AX2565" s="23"/>
      <c r="AY2565" s="23"/>
      <c r="AZ2565" s="23"/>
      <c r="BA2565" s="23"/>
      <c r="BB2565" s="23"/>
    </row>
    <row r="2566" spans="5:54" x14ac:dyDescent="0.35"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  <c r="AA2566" s="23"/>
      <c r="AB2566" s="23"/>
      <c r="AC2566" s="23"/>
      <c r="AD2566" s="23"/>
      <c r="AE2566" s="23"/>
      <c r="AF2566" s="23"/>
      <c r="AG2566" s="23"/>
      <c r="AH2566" s="23"/>
      <c r="AI2566" s="23"/>
      <c r="AJ2566" s="23"/>
      <c r="AK2566" s="23"/>
      <c r="AL2566" s="23"/>
      <c r="AM2566" s="23"/>
      <c r="AN2566" s="23"/>
      <c r="AO2566" s="23"/>
      <c r="AP2566" s="23"/>
      <c r="AQ2566" s="23"/>
      <c r="AR2566" s="23"/>
      <c r="AS2566" s="23"/>
      <c r="AT2566" s="23"/>
      <c r="AU2566" s="23"/>
      <c r="AV2566" s="23"/>
      <c r="AW2566" s="23"/>
      <c r="AX2566" s="23"/>
      <c r="AY2566" s="23"/>
      <c r="AZ2566" s="23"/>
      <c r="BA2566" s="23"/>
      <c r="BB2566" s="23"/>
    </row>
    <row r="2567" spans="5:54" x14ac:dyDescent="0.35"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  <c r="AA2567" s="23"/>
      <c r="AB2567" s="23"/>
      <c r="AC2567" s="23"/>
      <c r="AD2567" s="23"/>
      <c r="AE2567" s="23"/>
      <c r="AF2567" s="23"/>
      <c r="AG2567" s="23"/>
      <c r="AH2567" s="23"/>
      <c r="AI2567" s="23"/>
      <c r="AJ2567" s="23"/>
      <c r="AK2567" s="23"/>
      <c r="AL2567" s="23"/>
      <c r="AM2567" s="23"/>
      <c r="AN2567" s="23"/>
      <c r="AO2567" s="23"/>
      <c r="AP2567" s="23"/>
      <c r="AQ2567" s="23"/>
      <c r="AR2567" s="23"/>
      <c r="AS2567" s="23"/>
      <c r="AT2567" s="23"/>
      <c r="AU2567" s="23"/>
      <c r="AV2567" s="23"/>
      <c r="AW2567" s="23"/>
      <c r="AX2567" s="23"/>
      <c r="AY2567" s="23"/>
      <c r="AZ2567" s="23"/>
      <c r="BA2567" s="23"/>
      <c r="BB2567" s="23"/>
    </row>
    <row r="2568" spans="5:54" x14ac:dyDescent="0.35"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  <c r="AA2568" s="23"/>
      <c r="AB2568" s="23"/>
      <c r="AC2568" s="23"/>
      <c r="AD2568" s="23"/>
      <c r="AE2568" s="23"/>
      <c r="AF2568" s="23"/>
      <c r="AG2568" s="23"/>
      <c r="AH2568" s="23"/>
      <c r="AI2568" s="23"/>
      <c r="AJ2568" s="23"/>
      <c r="AK2568" s="23"/>
      <c r="AL2568" s="23"/>
      <c r="AM2568" s="23"/>
      <c r="AN2568" s="23"/>
      <c r="AO2568" s="23"/>
      <c r="AP2568" s="23"/>
      <c r="AQ2568" s="23"/>
      <c r="AR2568" s="23"/>
      <c r="AS2568" s="23"/>
      <c r="AT2568" s="23"/>
      <c r="AU2568" s="23"/>
      <c r="AV2568" s="23"/>
      <c r="AW2568" s="23"/>
      <c r="AX2568" s="23"/>
      <c r="AY2568" s="23"/>
      <c r="AZ2568" s="23"/>
      <c r="BA2568" s="23"/>
      <c r="BB2568" s="23"/>
    </row>
    <row r="2569" spans="5:54" x14ac:dyDescent="0.35"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  <c r="AA2569" s="23"/>
      <c r="AB2569" s="23"/>
      <c r="AC2569" s="23"/>
      <c r="AD2569" s="23"/>
      <c r="AE2569" s="23"/>
      <c r="AF2569" s="23"/>
      <c r="AG2569" s="23"/>
      <c r="AH2569" s="23"/>
      <c r="AI2569" s="23"/>
      <c r="AJ2569" s="23"/>
      <c r="AK2569" s="23"/>
      <c r="AL2569" s="23"/>
      <c r="AM2569" s="23"/>
      <c r="AN2569" s="23"/>
      <c r="AO2569" s="23"/>
      <c r="AP2569" s="23"/>
      <c r="AQ2569" s="23"/>
      <c r="AR2569" s="23"/>
      <c r="AS2569" s="23"/>
      <c r="AT2569" s="23"/>
      <c r="AU2569" s="23"/>
      <c r="AV2569" s="23"/>
      <c r="AW2569" s="23"/>
      <c r="AX2569" s="23"/>
      <c r="AY2569" s="23"/>
      <c r="AZ2569" s="23"/>
      <c r="BA2569" s="23"/>
      <c r="BB2569" s="23"/>
    </row>
    <row r="2570" spans="5:54" x14ac:dyDescent="0.35"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  <c r="AA2570" s="23"/>
      <c r="AB2570" s="23"/>
      <c r="AC2570" s="23"/>
      <c r="AD2570" s="23"/>
      <c r="AE2570" s="23"/>
      <c r="AF2570" s="23"/>
      <c r="AG2570" s="23"/>
      <c r="AH2570" s="23"/>
      <c r="AI2570" s="23"/>
      <c r="AJ2570" s="23"/>
      <c r="AK2570" s="23"/>
      <c r="AL2570" s="23"/>
      <c r="AM2570" s="23"/>
      <c r="AN2570" s="23"/>
      <c r="AO2570" s="23"/>
      <c r="AP2570" s="23"/>
      <c r="AQ2570" s="23"/>
      <c r="AR2570" s="23"/>
      <c r="AS2570" s="23"/>
      <c r="AT2570" s="23"/>
      <c r="AU2570" s="23"/>
      <c r="AV2570" s="23"/>
      <c r="AW2570" s="23"/>
      <c r="AX2570" s="23"/>
      <c r="AY2570" s="23"/>
      <c r="AZ2570" s="23"/>
      <c r="BA2570" s="23"/>
      <c r="BB2570" s="23"/>
    </row>
    <row r="2571" spans="5:54" x14ac:dyDescent="0.35"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  <c r="AA2571" s="23"/>
      <c r="AB2571" s="23"/>
      <c r="AC2571" s="23"/>
      <c r="AD2571" s="23"/>
      <c r="AE2571" s="23"/>
      <c r="AF2571" s="23"/>
      <c r="AG2571" s="23"/>
      <c r="AH2571" s="23"/>
      <c r="AI2571" s="23"/>
      <c r="AJ2571" s="23"/>
      <c r="AK2571" s="23"/>
      <c r="AL2571" s="23"/>
      <c r="AM2571" s="23"/>
      <c r="AN2571" s="23"/>
      <c r="AO2571" s="23"/>
      <c r="AP2571" s="23"/>
      <c r="AQ2571" s="23"/>
      <c r="AR2571" s="23"/>
      <c r="AS2571" s="23"/>
      <c r="AT2571" s="23"/>
      <c r="AU2571" s="23"/>
      <c r="AV2571" s="23"/>
      <c r="AW2571" s="23"/>
      <c r="AX2571" s="23"/>
      <c r="AY2571" s="23"/>
      <c r="AZ2571" s="23"/>
      <c r="BA2571" s="23"/>
      <c r="BB2571" s="23"/>
    </row>
    <row r="2572" spans="5:54" x14ac:dyDescent="0.35"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  <c r="AA2572" s="23"/>
      <c r="AB2572" s="23"/>
      <c r="AC2572" s="23"/>
      <c r="AD2572" s="23"/>
      <c r="AE2572" s="23"/>
      <c r="AF2572" s="23"/>
      <c r="AG2572" s="23"/>
      <c r="AH2572" s="23"/>
      <c r="AI2572" s="23"/>
      <c r="AJ2572" s="23"/>
      <c r="AK2572" s="23"/>
      <c r="AL2572" s="23"/>
      <c r="AM2572" s="23"/>
      <c r="AN2572" s="23"/>
      <c r="AO2572" s="23"/>
      <c r="AP2572" s="23"/>
      <c r="AQ2572" s="23"/>
      <c r="AR2572" s="23"/>
      <c r="AS2572" s="23"/>
      <c r="AT2572" s="23"/>
      <c r="AU2572" s="23"/>
      <c r="AV2572" s="23"/>
      <c r="AW2572" s="23"/>
      <c r="AX2572" s="23"/>
      <c r="AY2572" s="23"/>
      <c r="AZ2572" s="23"/>
      <c r="BA2572" s="23"/>
      <c r="BB2572" s="23"/>
    </row>
    <row r="2573" spans="5:54" x14ac:dyDescent="0.35"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  <c r="AA2573" s="23"/>
      <c r="AB2573" s="23"/>
      <c r="AC2573" s="23"/>
      <c r="AD2573" s="23"/>
      <c r="AE2573" s="23"/>
      <c r="AF2573" s="23"/>
      <c r="AG2573" s="23"/>
      <c r="AH2573" s="23"/>
      <c r="AI2573" s="23"/>
      <c r="AJ2573" s="23"/>
      <c r="AK2573" s="23"/>
      <c r="AL2573" s="23"/>
      <c r="AM2573" s="23"/>
      <c r="AN2573" s="23"/>
      <c r="AO2573" s="23"/>
      <c r="AP2573" s="23"/>
      <c r="AQ2573" s="23"/>
      <c r="AR2573" s="23"/>
      <c r="AS2573" s="23"/>
      <c r="AT2573" s="23"/>
      <c r="AU2573" s="23"/>
      <c r="AV2573" s="23"/>
      <c r="AW2573" s="23"/>
      <c r="AX2573" s="23"/>
      <c r="AY2573" s="23"/>
      <c r="AZ2573" s="23"/>
      <c r="BA2573" s="23"/>
      <c r="BB2573" s="23"/>
    </row>
    <row r="2574" spans="5:54" x14ac:dyDescent="0.35"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  <c r="AA2574" s="23"/>
      <c r="AB2574" s="23"/>
      <c r="AC2574" s="23"/>
      <c r="AD2574" s="23"/>
      <c r="AE2574" s="23"/>
      <c r="AF2574" s="23"/>
      <c r="AG2574" s="23"/>
      <c r="AH2574" s="23"/>
      <c r="AI2574" s="23"/>
      <c r="AJ2574" s="23"/>
      <c r="AK2574" s="23"/>
      <c r="AL2574" s="23"/>
      <c r="AM2574" s="23"/>
      <c r="AN2574" s="23"/>
      <c r="AO2574" s="23"/>
      <c r="AP2574" s="23"/>
      <c r="AQ2574" s="23"/>
      <c r="AR2574" s="23"/>
      <c r="AS2574" s="23"/>
      <c r="AT2574" s="23"/>
      <c r="AU2574" s="23"/>
      <c r="AV2574" s="23"/>
      <c r="AW2574" s="23"/>
      <c r="AX2574" s="23"/>
      <c r="AY2574" s="23"/>
      <c r="AZ2574" s="23"/>
      <c r="BA2574" s="23"/>
      <c r="BB2574" s="23"/>
    </row>
    <row r="2575" spans="5:54" x14ac:dyDescent="0.35"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  <c r="AA2575" s="23"/>
      <c r="AB2575" s="23"/>
      <c r="AC2575" s="23"/>
      <c r="AD2575" s="23"/>
      <c r="AE2575" s="23"/>
      <c r="AF2575" s="23"/>
      <c r="AG2575" s="23"/>
      <c r="AH2575" s="23"/>
      <c r="AI2575" s="23"/>
      <c r="AJ2575" s="23"/>
      <c r="AK2575" s="23"/>
      <c r="AL2575" s="23"/>
      <c r="AM2575" s="23"/>
      <c r="AN2575" s="23"/>
      <c r="AO2575" s="23"/>
      <c r="AP2575" s="23"/>
      <c r="AQ2575" s="23"/>
      <c r="AR2575" s="23"/>
      <c r="AS2575" s="23"/>
      <c r="AT2575" s="23"/>
      <c r="AU2575" s="23"/>
      <c r="AV2575" s="23"/>
      <c r="AW2575" s="23"/>
      <c r="AX2575" s="23"/>
      <c r="AY2575" s="23"/>
      <c r="AZ2575" s="23"/>
      <c r="BA2575" s="23"/>
      <c r="BB2575" s="23"/>
    </row>
    <row r="2576" spans="5:54" x14ac:dyDescent="0.35"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  <c r="AA2576" s="23"/>
      <c r="AB2576" s="23"/>
      <c r="AC2576" s="23"/>
      <c r="AD2576" s="23"/>
      <c r="AE2576" s="23"/>
      <c r="AF2576" s="23"/>
      <c r="AG2576" s="23"/>
      <c r="AH2576" s="23"/>
      <c r="AI2576" s="23"/>
      <c r="AJ2576" s="23"/>
      <c r="AK2576" s="23"/>
      <c r="AL2576" s="23"/>
      <c r="AM2576" s="23"/>
      <c r="AN2576" s="23"/>
      <c r="AO2576" s="23"/>
      <c r="AP2576" s="23"/>
      <c r="AQ2576" s="23"/>
      <c r="AR2576" s="23"/>
      <c r="AS2576" s="23"/>
      <c r="AT2576" s="23"/>
      <c r="AU2576" s="23"/>
      <c r="AV2576" s="23"/>
      <c r="AW2576" s="23"/>
      <c r="AX2576" s="23"/>
      <c r="AY2576" s="23"/>
      <c r="AZ2576" s="23"/>
      <c r="BA2576" s="23"/>
      <c r="BB2576" s="23"/>
    </row>
    <row r="2577" spans="5:54" x14ac:dyDescent="0.35"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  <c r="AA2577" s="23"/>
      <c r="AB2577" s="23"/>
      <c r="AC2577" s="23"/>
      <c r="AD2577" s="23"/>
      <c r="AE2577" s="23"/>
      <c r="AF2577" s="23"/>
      <c r="AG2577" s="23"/>
      <c r="AH2577" s="23"/>
      <c r="AI2577" s="23"/>
      <c r="AJ2577" s="23"/>
      <c r="AK2577" s="23"/>
      <c r="AL2577" s="23"/>
      <c r="AM2577" s="23"/>
      <c r="AN2577" s="23"/>
      <c r="AO2577" s="23"/>
      <c r="AP2577" s="23"/>
      <c r="AQ2577" s="23"/>
      <c r="AR2577" s="23"/>
      <c r="AS2577" s="23"/>
      <c r="AT2577" s="23"/>
      <c r="AU2577" s="23"/>
      <c r="AV2577" s="23"/>
      <c r="AW2577" s="23"/>
      <c r="AX2577" s="23"/>
      <c r="AY2577" s="23"/>
      <c r="AZ2577" s="23"/>
      <c r="BA2577" s="23"/>
      <c r="BB2577" s="23"/>
    </row>
    <row r="2578" spans="5:54" x14ac:dyDescent="0.35"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  <c r="AA2578" s="23"/>
      <c r="AB2578" s="23"/>
      <c r="AC2578" s="23"/>
      <c r="AD2578" s="23"/>
      <c r="AE2578" s="23"/>
      <c r="AF2578" s="23"/>
      <c r="AG2578" s="23"/>
      <c r="AH2578" s="23"/>
      <c r="AI2578" s="23"/>
      <c r="AJ2578" s="23"/>
      <c r="AK2578" s="23"/>
      <c r="AL2578" s="23"/>
      <c r="AM2578" s="23"/>
      <c r="AN2578" s="23"/>
      <c r="AO2578" s="23"/>
      <c r="AP2578" s="23"/>
      <c r="AQ2578" s="23"/>
      <c r="AR2578" s="23"/>
      <c r="AS2578" s="23"/>
      <c r="AT2578" s="23"/>
      <c r="AU2578" s="23"/>
      <c r="AV2578" s="23"/>
      <c r="AW2578" s="23"/>
      <c r="AX2578" s="23"/>
      <c r="AY2578" s="23"/>
      <c r="AZ2578" s="23"/>
      <c r="BA2578" s="23"/>
      <c r="BB2578" s="23"/>
    </row>
    <row r="2579" spans="5:54" x14ac:dyDescent="0.35"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  <c r="AA2579" s="23"/>
      <c r="AB2579" s="23"/>
      <c r="AC2579" s="23"/>
      <c r="AD2579" s="23"/>
      <c r="AE2579" s="23"/>
      <c r="AF2579" s="23"/>
      <c r="AG2579" s="23"/>
      <c r="AH2579" s="23"/>
      <c r="AI2579" s="23"/>
      <c r="AJ2579" s="23"/>
      <c r="AK2579" s="23"/>
      <c r="AL2579" s="23"/>
      <c r="AM2579" s="23"/>
      <c r="AN2579" s="23"/>
      <c r="AO2579" s="23"/>
      <c r="AP2579" s="23"/>
      <c r="AQ2579" s="23"/>
      <c r="AR2579" s="23"/>
      <c r="AS2579" s="23"/>
      <c r="AT2579" s="23"/>
      <c r="AU2579" s="23"/>
      <c r="AV2579" s="23"/>
      <c r="AW2579" s="23"/>
      <c r="AX2579" s="23"/>
      <c r="AY2579" s="23"/>
      <c r="AZ2579" s="23"/>
      <c r="BA2579" s="23"/>
      <c r="BB2579" s="23"/>
    </row>
    <row r="2580" spans="5:54" x14ac:dyDescent="0.35"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  <c r="AA2580" s="23"/>
      <c r="AB2580" s="23"/>
      <c r="AC2580" s="23"/>
      <c r="AD2580" s="23"/>
      <c r="AE2580" s="23"/>
      <c r="AF2580" s="23"/>
      <c r="AG2580" s="23"/>
      <c r="AH2580" s="23"/>
      <c r="AI2580" s="23"/>
      <c r="AJ2580" s="23"/>
      <c r="AK2580" s="23"/>
      <c r="AL2580" s="23"/>
      <c r="AM2580" s="23"/>
      <c r="AN2580" s="23"/>
      <c r="AO2580" s="23"/>
      <c r="AP2580" s="23"/>
      <c r="AQ2580" s="23"/>
      <c r="AR2580" s="23"/>
      <c r="AS2580" s="23"/>
      <c r="AT2580" s="23"/>
      <c r="AU2580" s="23"/>
      <c r="AV2580" s="23"/>
      <c r="AW2580" s="23"/>
      <c r="AX2580" s="23"/>
      <c r="AY2580" s="23"/>
      <c r="AZ2580" s="23"/>
      <c r="BA2580" s="23"/>
      <c r="BB2580" s="23"/>
    </row>
    <row r="2581" spans="5:54" x14ac:dyDescent="0.35"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  <c r="AA2581" s="23"/>
      <c r="AB2581" s="23"/>
      <c r="AC2581" s="23"/>
      <c r="AD2581" s="23"/>
      <c r="AE2581" s="23"/>
      <c r="AF2581" s="23"/>
      <c r="AG2581" s="23"/>
      <c r="AH2581" s="23"/>
      <c r="AI2581" s="23"/>
      <c r="AJ2581" s="23"/>
      <c r="AK2581" s="23"/>
      <c r="AL2581" s="23"/>
      <c r="AM2581" s="23"/>
      <c r="AN2581" s="23"/>
      <c r="AO2581" s="23"/>
      <c r="AP2581" s="23"/>
      <c r="AQ2581" s="23"/>
      <c r="AR2581" s="23"/>
      <c r="AS2581" s="23"/>
      <c r="AT2581" s="23"/>
      <c r="AU2581" s="23"/>
      <c r="AV2581" s="23"/>
      <c r="AW2581" s="23"/>
      <c r="AX2581" s="23"/>
      <c r="AY2581" s="23"/>
      <c r="AZ2581" s="23"/>
      <c r="BA2581" s="23"/>
      <c r="BB2581" s="23"/>
    </row>
    <row r="2582" spans="5:54" x14ac:dyDescent="0.35"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  <c r="AA2582" s="23"/>
      <c r="AB2582" s="23"/>
      <c r="AC2582" s="23"/>
      <c r="AD2582" s="23"/>
      <c r="AE2582" s="23"/>
      <c r="AF2582" s="23"/>
      <c r="AG2582" s="23"/>
      <c r="AH2582" s="23"/>
      <c r="AI2582" s="23"/>
      <c r="AJ2582" s="23"/>
      <c r="AK2582" s="23"/>
      <c r="AL2582" s="23"/>
      <c r="AM2582" s="23"/>
      <c r="AN2582" s="23"/>
      <c r="AO2582" s="23"/>
      <c r="AP2582" s="23"/>
      <c r="AQ2582" s="23"/>
      <c r="AR2582" s="23"/>
      <c r="AS2582" s="23"/>
      <c r="AT2582" s="23"/>
      <c r="AU2582" s="23"/>
      <c r="AV2582" s="23"/>
      <c r="AW2582" s="23"/>
      <c r="AX2582" s="23"/>
      <c r="AY2582" s="23"/>
      <c r="AZ2582" s="23"/>
      <c r="BA2582" s="23"/>
      <c r="BB2582" s="23"/>
    </row>
    <row r="2583" spans="5:54" x14ac:dyDescent="0.35"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  <c r="AA2583" s="23"/>
      <c r="AB2583" s="23"/>
      <c r="AC2583" s="23"/>
      <c r="AD2583" s="23"/>
      <c r="AE2583" s="23"/>
      <c r="AF2583" s="23"/>
      <c r="AG2583" s="23"/>
      <c r="AH2583" s="23"/>
      <c r="AI2583" s="23"/>
      <c r="AJ2583" s="23"/>
      <c r="AK2583" s="23"/>
      <c r="AL2583" s="23"/>
      <c r="AM2583" s="23"/>
      <c r="AN2583" s="23"/>
      <c r="AO2583" s="23"/>
      <c r="AP2583" s="23"/>
      <c r="AQ2583" s="23"/>
      <c r="AR2583" s="23"/>
      <c r="AS2583" s="23"/>
      <c r="AT2583" s="23"/>
      <c r="AU2583" s="23"/>
      <c r="AV2583" s="23"/>
      <c r="AW2583" s="23"/>
      <c r="AX2583" s="23"/>
      <c r="AY2583" s="23"/>
      <c r="AZ2583" s="23"/>
      <c r="BA2583" s="23"/>
      <c r="BB2583" s="23"/>
    </row>
    <row r="2584" spans="5:54" x14ac:dyDescent="0.35"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  <c r="AA2584" s="23"/>
      <c r="AB2584" s="23"/>
      <c r="AC2584" s="23"/>
      <c r="AD2584" s="23"/>
      <c r="AE2584" s="23"/>
      <c r="AF2584" s="23"/>
      <c r="AG2584" s="23"/>
      <c r="AH2584" s="23"/>
      <c r="AI2584" s="23"/>
      <c r="AJ2584" s="23"/>
      <c r="AK2584" s="23"/>
      <c r="AL2584" s="23"/>
      <c r="AM2584" s="23"/>
      <c r="AN2584" s="23"/>
      <c r="AO2584" s="23"/>
      <c r="AP2584" s="23"/>
      <c r="AQ2584" s="23"/>
      <c r="AR2584" s="23"/>
      <c r="AS2584" s="23"/>
      <c r="AT2584" s="23"/>
      <c r="AU2584" s="23"/>
      <c r="AV2584" s="23"/>
      <c r="AW2584" s="23"/>
      <c r="AX2584" s="23"/>
      <c r="AY2584" s="23"/>
      <c r="AZ2584" s="23"/>
      <c r="BA2584" s="23"/>
      <c r="BB2584" s="23"/>
    </row>
    <row r="2585" spans="5:54" x14ac:dyDescent="0.35"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  <c r="AA2585" s="23"/>
      <c r="AB2585" s="23"/>
      <c r="AC2585" s="23"/>
      <c r="AD2585" s="23"/>
      <c r="AE2585" s="23"/>
      <c r="AF2585" s="23"/>
      <c r="AG2585" s="23"/>
      <c r="AH2585" s="23"/>
      <c r="AI2585" s="23"/>
      <c r="AJ2585" s="23"/>
      <c r="AK2585" s="23"/>
      <c r="AL2585" s="23"/>
      <c r="AM2585" s="23"/>
      <c r="AN2585" s="23"/>
      <c r="AO2585" s="23"/>
      <c r="AP2585" s="23"/>
      <c r="AQ2585" s="23"/>
      <c r="AR2585" s="23"/>
      <c r="AS2585" s="23"/>
      <c r="AT2585" s="23"/>
      <c r="AU2585" s="23"/>
      <c r="AV2585" s="23"/>
      <c r="AW2585" s="23"/>
      <c r="AX2585" s="23"/>
      <c r="AY2585" s="23"/>
      <c r="AZ2585" s="23"/>
      <c r="BA2585" s="23"/>
      <c r="BB2585" s="23"/>
    </row>
    <row r="2586" spans="5:54" x14ac:dyDescent="0.35"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  <c r="AA2586" s="23"/>
      <c r="AB2586" s="23"/>
      <c r="AC2586" s="23"/>
      <c r="AD2586" s="23"/>
      <c r="AE2586" s="23"/>
      <c r="AF2586" s="23"/>
      <c r="AG2586" s="23"/>
      <c r="AH2586" s="23"/>
      <c r="AI2586" s="23"/>
      <c r="AJ2586" s="23"/>
      <c r="AK2586" s="23"/>
      <c r="AL2586" s="23"/>
      <c r="AM2586" s="23"/>
      <c r="AN2586" s="23"/>
      <c r="AO2586" s="23"/>
      <c r="AP2586" s="23"/>
      <c r="AQ2586" s="23"/>
      <c r="AR2586" s="23"/>
      <c r="AS2586" s="23"/>
      <c r="AT2586" s="23"/>
      <c r="AU2586" s="23"/>
      <c r="AV2586" s="23"/>
      <c r="AW2586" s="23"/>
      <c r="AX2586" s="23"/>
      <c r="AY2586" s="23"/>
      <c r="AZ2586" s="23"/>
      <c r="BA2586" s="23"/>
      <c r="BB2586" s="23"/>
    </row>
    <row r="2587" spans="5:54" x14ac:dyDescent="0.35"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  <c r="AA2587" s="23"/>
      <c r="AB2587" s="23"/>
      <c r="AC2587" s="23"/>
      <c r="AD2587" s="23"/>
      <c r="AE2587" s="23"/>
      <c r="AF2587" s="23"/>
      <c r="AG2587" s="23"/>
      <c r="AH2587" s="23"/>
      <c r="AI2587" s="23"/>
      <c r="AJ2587" s="23"/>
      <c r="AK2587" s="23"/>
      <c r="AL2587" s="23"/>
      <c r="AM2587" s="23"/>
      <c r="AN2587" s="23"/>
      <c r="AO2587" s="23"/>
      <c r="AP2587" s="23"/>
      <c r="AQ2587" s="23"/>
      <c r="AR2587" s="23"/>
      <c r="AS2587" s="23"/>
      <c r="AT2587" s="23"/>
      <c r="AU2587" s="23"/>
      <c r="AV2587" s="23"/>
      <c r="AW2587" s="23"/>
      <c r="AX2587" s="23"/>
      <c r="AY2587" s="23"/>
      <c r="AZ2587" s="23"/>
      <c r="BA2587" s="23"/>
      <c r="BB2587" s="23"/>
    </row>
    <row r="2588" spans="5:54" x14ac:dyDescent="0.35"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  <c r="AA2588" s="23"/>
      <c r="AB2588" s="23"/>
      <c r="AC2588" s="23"/>
      <c r="AD2588" s="23"/>
      <c r="AE2588" s="23"/>
      <c r="AF2588" s="23"/>
      <c r="AG2588" s="23"/>
      <c r="AH2588" s="23"/>
      <c r="AI2588" s="23"/>
      <c r="AJ2588" s="23"/>
      <c r="AK2588" s="23"/>
      <c r="AL2588" s="23"/>
      <c r="AM2588" s="23"/>
      <c r="AN2588" s="23"/>
      <c r="AO2588" s="23"/>
      <c r="AP2588" s="23"/>
      <c r="AQ2588" s="23"/>
      <c r="AR2588" s="23"/>
      <c r="AS2588" s="23"/>
      <c r="AT2588" s="23"/>
      <c r="AU2588" s="23"/>
      <c r="AV2588" s="23"/>
      <c r="AW2588" s="23"/>
      <c r="AX2588" s="23"/>
      <c r="AY2588" s="23"/>
      <c r="AZ2588" s="23"/>
      <c r="BA2588" s="23"/>
      <c r="BB2588" s="23"/>
    </row>
    <row r="2589" spans="5:54" x14ac:dyDescent="0.35"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  <c r="AA2589" s="23"/>
      <c r="AB2589" s="23"/>
      <c r="AC2589" s="23"/>
      <c r="AD2589" s="23"/>
      <c r="AE2589" s="23"/>
      <c r="AF2589" s="23"/>
      <c r="AG2589" s="23"/>
      <c r="AH2589" s="23"/>
      <c r="AI2589" s="23"/>
      <c r="AJ2589" s="23"/>
      <c r="AK2589" s="23"/>
      <c r="AL2589" s="23"/>
      <c r="AM2589" s="23"/>
      <c r="AN2589" s="23"/>
      <c r="AO2589" s="23"/>
      <c r="AP2589" s="23"/>
      <c r="AQ2589" s="23"/>
      <c r="AR2589" s="23"/>
      <c r="AS2589" s="23"/>
      <c r="AT2589" s="23"/>
      <c r="AU2589" s="23"/>
      <c r="AV2589" s="23"/>
      <c r="AW2589" s="23"/>
      <c r="AX2589" s="23"/>
      <c r="AY2589" s="23"/>
      <c r="AZ2589" s="23"/>
      <c r="BA2589" s="23"/>
      <c r="BB2589" s="23"/>
    </row>
    <row r="2590" spans="5:54" x14ac:dyDescent="0.35"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  <c r="AA2590" s="23"/>
      <c r="AB2590" s="23"/>
      <c r="AC2590" s="23"/>
      <c r="AD2590" s="23"/>
      <c r="AE2590" s="23"/>
      <c r="AF2590" s="23"/>
      <c r="AG2590" s="23"/>
      <c r="AH2590" s="23"/>
      <c r="AI2590" s="23"/>
      <c r="AJ2590" s="23"/>
      <c r="AK2590" s="23"/>
      <c r="AL2590" s="23"/>
      <c r="AM2590" s="23"/>
      <c r="AN2590" s="23"/>
      <c r="AO2590" s="23"/>
      <c r="AP2590" s="23"/>
      <c r="AQ2590" s="23"/>
      <c r="AR2590" s="23"/>
      <c r="AS2590" s="23"/>
      <c r="AT2590" s="23"/>
      <c r="AU2590" s="23"/>
      <c r="AV2590" s="23"/>
      <c r="AW2590" s="23"/>
      <c r="AX2590" s="23"/>
      <c r="AY2590" s="23"/>
      <c r="AZ2590" s="23"/>
      <c r="BA2590" s="23"/>
      <c r="BB2590" s="23"/>
    </row>
    <row r="2591" spans="5:54" x14ac:dyDescent="0.35"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  <c r="AA2591" s="23"/>
      <c r="AB2591" s="23"/>
      <c r="AC2591" s="23"/>
      <c r="AD2591" s="23"/>
      <c r="AE2591" s="23"/>
      <c r="AF2591" s="23"/>
      <c r="AG2591" s="23"/>
      <c r="AH2591" s="23"/>
      <c r="AI2591" s="23"/>
      <c r="AJ2591" s="23"/>
      <c r="AK2591" s="23"/>
      <c r="AL2591" s="23"/>
      <c r="AM2591" s="23"/>
      <c r="AN2591" s="23"/>
      <c r="AO2591" s="23"/>
      <c r="AP2591" s="23"/>
      <c r="AQ2591" s="23"/>
      <c r="AR2591" s="23"/>
      <c r="AS2591" s="23"/>
      <c r="AT2591" s="23"/>
      <c r="AU2591" s="23"/>
      <c r="AV2591" s="23"/>
      <c r="AW2591" s="23"/>
      <c r="AX2591" s="23"/>
      <c r="AY2591" s="23"/>
      <c r="AZ2591" s="23"/>
      <c r="BA2591" s="23"/>
      <c r="BB2591" s="23"/>
    </row>
    <row r="2592" spans="5:54" x14ac:dyDescent="0.35"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  <c r="AA2592" s="23"/>
      <c r="AB2592" s="23"/>
      <c r="AC2592" s="23"/>
      <c r="AD2592" s="23"/>
      <c r="AE2592" s="23"/>
      <c r="AF2592" s="23"/>
      <c r="AG2592" s="23"/>
      <c r="AH2592" s="23"/>
      <c r="AI2592" s="23"/>
      <c r="AJ2592" s="23"/>
      <c r="AK2592" s="23"/>
      <c r="AL2592" s="23"/>
      <c r="AM2592" s="23"/>
      <c r="AN2592" s="23"/>
      <c r="AO2592" s="23"/>
      <c r="AP2592" s="23"/>
      <c r="AQ2592" s="23"/>
      <c r="AR2592" s="23"/>
      <c r="AS2592" s="23"/>
      <c r="AT2592" s="23"/>
      <c r="AU2592" s="23"/>
      <c r="AV2592" s="23"/>
      <c r="AW2592" s="23"/>
      <c r="AX2592" s="23"/>
      <c r="AY2592" s="23"/>
      <c r="AZ2592" s="23"/>
      <c r="BA2592" s="23"/>
      <c r="BB2592" s="23"/>
    </row>
    <row r="2593" spans="5:54" x14ac:dyDescent="0.35"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  <c r="AA2593" s="23"/>
      <c r="AB2593" s="23"/>
      <c r="AC2593" s="23"/>
      <c r="AD2593" s="23"/>
      <c r="AE2593" s="23"/>
      <c r="AF2593" s="23"/>
      <c r="AG2593" s="23"/>
      <c r="AH2593" s="23"/>
      <c r="AI2593" s="23"/>
      <c r="AJ2593" s="23"/>
      <c r="AK2593" s="23"/>
      <c r="AL2593" s="23"/>
      <c r="AM2593" s="23"/>
      <c r="AN2593" s="23"/>
      <c r="AO2593" s="23"/>
      <c r="AP2593" s="23"/>
      <c r="AQ2593" s="23"/>
      <c r="AR2593" s="23"/>
      <c r="AS2593" s="23"/>
      <c r="AT2593" s="23"/>
      <c r="AU2593" s="23"/>
      <c r="AV2593" s="23"/>
      <c r="AW2593" s="23"/>
      <c r="AX2593" s="23"/>
      <c r="AY2593" s="23"/>
      <c r="AZ2593" s="23"/>
      <c r="BA2593" s="23"/>
      <c r="BB2593" s="23"/>
    </row>
    <row r="2594" spans="5:54" x14ac:dyDescent="0.35"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  <c r="AA2594" s="23"/>
      <c r="AB2594" s="23"/>
      <c r="AC2594" s="23"/>
      <c r="AD2594" s="23"/>
      <c r="AE2594" s="23"/>
      <c r="AF2594" s="23"/>
      <c r="AG2594" s="23"/>
      <c r="AH2594" s="23"/>
      <c r="AI2594" s="23"/>
      <c r="AJ2594" s="23"/>
      <c r="AK2594" s="23"/>
      <c r="AL2594" s="23"/>
      <c r="AM2594" s="23"/>
      <c r="AN2594" s="23"/>
      <c r="AO2594" s="23"/>
      <c r="AP2594" s="23"/>
      <c r="AQ2594" s="23"/>
      <c r="AR2594" s="23"/>
      <c r="AS2594" s="23"/>
      <c r="AT2594" s="23"/>
      <c r="AU2594" s="23"/>
      <c r="AV2594" s="23"/>
      <c r="AW2594" s="23"/>
      <c r="AX2594" s="23"/>
      <c r="AY2594" s="23"/>
      <c r="AZ2594" s="23"/>
      <c r="BA2594" s="23"/>
      <c r="BB2594" s="23"/>
    </row>
    <row r="2595" spans="5:54" x14ac:dyDescent="0.35"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  <c r="AA2595" s="23"/>
      <c r="AB2595" s="23"/>
      <c r="AC2595" s="23"/>
      <c r="AD2595" s="23"/>
      <c r="AE2595" s="23"/>
      <c r="AF2595" s="23"/>
      <c r="AG2595" s="23"/>
      <c r="AH2595" s="23"/>
      <c r="AI2595" s="23"/>
      <c r="AJ2595" s="23"/>
      <c r="AK2595" s="23"/>
      <c r="AL2595" s="23"/>
      <c r="AM2595" s="23"/>
      <c r="AN2595" s="23"/>
      <c r="AO2595" s="23"/>
      <c r="AP2595" s="23"/>
      <c r="AQ2595" s="23"/>
      <c r="AR2595" s="23"/>
      <c r="AS2595" s="23"/>
      <c r="AT2595" s="23"/>
      <c r="AU2595" s="23"/>
      <c r="AV2595" s="23"/>
      <c r="AW2595" s="23"/>
      <c r="AX2595" s="23"/>
      <c r="AY2595" s="23"/>
      <c r="AZ2595" s="23"/>
      <c r="BA2595" s="23"/>
      <c r="BB2595" s="23"/>
    </row>
    <row r="2596" spans="5:54" x14ac:dyDescent="0.35"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  <c r="AA2596" s="23"/>
      <c r="AB2596" s="23"/>
      <c r="AC2596" s="23"/>
      <c r="AD2596" s="23"/>
      <c r="AE2596" s="23"/>
      <c r="AF2596" s="23"/>
      <c r="AG2596" s="23"/>
      <c r="AH2596" s="23"/>
      <c r="AI2596" s="23"/>
      <c r="AJ2596" s="23"/>
      <c r="AK2596" s="23"/>
      <c r="AL2596" s="23"/>
      <c r="AM2596" s="23"/>
      <c r="AN2596" s="23"/>
      <c r="AO2596" s="23"/>
      <c r="AP2596" s="23"/>
      <c r="AQ2596" s="23"/>
      <c r="AR2596" s="23"/>
      <c r="AS2596" s="23"/>
      <c r="AT2596" s="23"/>
      <c r="AU2596" s="23"/>
      <c r="AV2596" s="23"/>
      <c r="AW2596" s="23"/>
      <c r="AX2596" s="23"/>
      <c r="AY2596" s="23"/>
      <c r="AZ2596" s="23"/>
      <c r="BA2596" s="23"/>
      <c r="BB2596" s="23"/>
    </row>
    <row r="2597" spans="5:54" x14ac:dyDescent="0.35"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  <c r="AA2597" s="23"/>
      <c r="AB2597" s="23"/>
      <c r="AC2597" s="23"/>
      <c r="AD2597" s="23"/>
      <c r="AE2597" s="23"/>
      <c r="AF2597" s="23"/>
      <c r="AG2597" s="23"/>
      <c r="AH2597" s="23"/>
      <c r="AI2597" s="23"/>
      <c r="AJ2597" s="23"/>
      <c r="AK2597" s="23"/>
      <c r="AL2597" s="23"/>
      <c r="AM2597" s="23"/>
      <c r="AN2597" s="23"/>
      <c r="AO2597" s="23"/>
      <c r="AP2597" s="23"/>
      <c r="AQ2597" s="23"/>
      <c r="AR2597" s="23"/>
      <c r="AS2597" s="23"/>
      <c r="AT2597" s="23"/>
      <c r="AU2597" s="23"/>
      <c r="AV2597" s="23"/>
      <c r="AW2597" s="23"/>
      <c r="AX2597" s="23"/>
      <c r="AY2597" s="23"/>
      <c r="AZ2597" s="23"/>
      <c r="BA2597" s="23"/>
      <c r="BB2597" s="23"/>
    </row>
    <row r="2598" spans="5:54" x14ac:dyDescent="0.35"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  <c r="AA2598" s="23"/>
      <c r="AB2598" s="23"/>
      <c r="AC2598" s="23"/>
      <c r="AD2598" s="23"/>
      <c r="AE2598" s="23"/>
      <c r="AF2598" s="23"/>
      <c r="AG2598" s="23"/>
      <c r="AH2598" s="23"/>
      <c r="AI2598" s="23"/>
      <c r="AJ2598" s="23"/>
      <c r="AK2598" s="23"/>
      <c r="AL2598" s="23"/>
      <c r="AM2598" s="23"/>
      <c r="AN2598" s="23"/>
      <c r="AO2598" s="23"/>
      <c r="AP2598" s="23"/>
      <c r="AQ2598" s="23"/>
      <c r="AR2598" s="23"/>
      <c r="AS2598" s="23"/>
      <c r="AT2598" s="23"/>
      <c r="AU2598" s="23"/>
      <c r="AV2598" s="23"/>
      <c r="AW2598" s="23"/>
      <c r="AX2598" s="23"/>
      <c r="AY2598" s="23"/>
      <c r="AZ2598" s="23"/>
      <c r="BA2598" s="23"/>
      <c r="BB2598" s="23"/>
    </row>
    <row r="2599" spans="5:54" x14ac:dyDescent="0.35"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  <c r="AA2599" s="23"/>
      <c r="AB2599" s="23"/>
      <c r="AC2599" s="23"/>
      <c r="AD2599" s="23"/>
      <c r="AE2599" s="23"/>
      <c r="AF2599" s="23"/>
      <c r="AG2599" s="23"/>
      <c r="AH2599" s="23"/>
      <c r="AI2599" s="23"/>
      <c r="AJ2599" s="23"/>
      <c r="AK2599" s="23"/>
      <c r="AL2599" s="23"/>
      <c r="AM2599" s="23"/>
      <c r="AN2599" s="23"/>
      <c r="AO2599" s="23"/>
      <c r="AP2599" s="23"/>
      <c r="AQ2599" s="23"/>
      <c r="AR2599" s="23"/>
      <c r="AS2599" s="23"/>
      <c r="AT2599" s="23"/>
      <c r="AU2599" s="23"/>
      <c r="AV2599" s="23"/>
      <c r="AW2599" s="23"/>
      <c r="AX2599" s="23"/>
      <c r="AY2599" s="23"/>
      <c r="AZ2599" s="23"/>
      <c r="BA2599" s="23"/>
      <c r="BB2599" s="23"/>
    </row>
    <row r="2600" spans="5:54" x14ac:dyDescent="0.35"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  <c r="AA2600" s="23"/>
      <c r="AB2600" s="23"/>
      <c r="AC2600" s="23"/>
      <c r="AD2600" s="23"/>
      <c r="AE2600" s="23"/>
      <c r="AF2600" s="23"/>
      <c r="AG2600" s="23"/>
      <c r="AH2600" s="23"/>
      <c r="AI2600" s="23"/>
      <c r="AJ2600" s="23"/>
      <c r="AK2600" s="23"/>
      <c r="AL2600" s="23"/>
      <c r="AM2600" s="23"/>
      <c r="AN2600" s="23"/>
      <c r="AO2600" s="23"/>
      <c r="AP2600" s="23"/>
      <c r="AQ2600" s="23"/>
      <c r="AR2600" s="23"/>
      <c r="AS2600" s="23"/>
      <c r="AT2600" s="23"/>
      <c r="AU2600" s="23"/>
      <c r="AV2600" s="23"/>
      <c r="AW2600" s="23"/>
      <c r="AX2600" s="23"/>
      <c r="AY2600" s="23"/>
      <c r="AZ2600" s="23"/>
      <c r="BA2600" s="23"/>
      <c r="BB2600" s="23"/>
    </row>
    <row r="2601" spans="5:54" x14ac:dyDescent="0.35"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  <c r="AA2601" s="23"/>
      <c r="AB2601" s="23"/>
      <c r="AC2601" s="23"/>
      <c r="AD2601" s="23"/>
      <c r="AE2601" s="23"/>
      <c r="AF2601" s="23"/>
      <c r="AG2601" s="23"/>
      <c r="AH2601" s="23"/>
      <c r="AI2601" s="23"/>
      <c r="AJ2601" s="23"/>
      <c r="AK2601" s="23"/>
      <c r="AL2601" s="23"/>
      <c r="AM2601" s="23"/>
      <c r="AN2601" s="23"/>
      <c r="AO2601" s="23"/>
      <c r="AP2601" s="23"/>
      <c r="AQ2601" s="23"/>
      <c r="AR2601" s="23"/>
      <c r="AS2601" s="23"/>
      <c r="AT2601" s="23"/>
      <c r="AU2601" s="23"/>
      <c r="AV2601" s="23"/>
      <c r="AW2601" s="23"/>
      <c r="AX2601" s="23"/>
      <c r="AY2601" s="23"/>
      <c r="AZ2601" s="23"/>
      <c r="BA2601" s="23"/>
      <c r="BB2601" s="23"/>
    </row>
    <row r="2602" spans="5:54" x14ac:dyDescent="0.35"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  <c r="AA2602" s="23"/>
      <c r="AB2602" s="23"/>
      <c r="AC2602" s="23"/>
      <c r="AD2602" s="23"/>
      <c r="AE2602" s="23"/>
      <c r="AF2602" s="23"/>
      <c r="AG2602" s="23"/>
      <c r="AH2602" s="23"/>
      <c r="AI2602" s="23"/>
      <c r="AJ2602" s="23"/>
      <c r="AK2602" s="23"/>
      <c r="AL2602" s="23"/>
      <c r="AM2602" s="23"/>
      <c r="AN2602" s="23"/>
      <c r="AO2602" s="23"/>
      <c r="AP2602" s="23"/>
      <c r="AQ2602" s="23"/>
      <c r="AR2602" s="23"/>
      <c r="AS2602" s="23"/>
      <c r="AT2602" s="23"/>
      <c r="AU2602" s="23"/>
      <c r="AV2602" s="23"/>
      <c r="AW2602" s="23"/>
      <c r="AX2602" s="23"/>
      <c r="AY2602" s="23"/>
      <c r="AZ2602" s="23"/>
      <c r="BA2602" s="23"/>
      <c r="BB2602" s="23"/>
    </row>
    <row r="2603" spans="5:54" x14ac:dyDescent="0.35"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  <c r="AA2603" s="23"/>
      <c r="AB2603" s="23"/>
      <c r="AC2603" s="23"/>
      <c r="AD2603" s="23"/>
      <c r="AE2603" s="23"/>
      <c r="AF2603" s="23"/>
      <c r="AG2603" s="23"/>
      <c r="AH2603" s="23"/>
      <c r="AI2603" s="23"/>
      <c r="AJ2603" s="23"/>
      <c r="AK2603" s="23"/>
      <c r="AL2603" s="23"/>
      <c r="AM2603" s="23"/>
      <c r="AN2603" s="23"/>
      <c r="AO2603" s="23"/>
      <c r="AP2603" s="23"/>
      <c r="AQ2603" s="23"/>
      <c r="AR2603" s="23"/>
      <c r="AS2603" s="23"/>
      <c r="AT2603" s="23"/>
      <c r="AU2603" s="23"/>
      <c r="AV2603" s="23"/>
      <c r="AW2603" s="23"/>
      <c r="AX2603" s="23"/>
      <c r="AY2603" s="23"/>
      <c r="AZ2603" s="23"/>
      <c r="BA2603" s="23"/>
      <c r="BB2603" s="23"/>
    </row>
    <row r="2604" spans="5:54" x14ac:dyDescent="0.35"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  <c r="AA2604" s="23"/>
      <c r="AB2604" s="23"/>
      <c r="AC2604" s="23"/>
      <c r="AD2604" s="23"/>
      <c r="AE2604" s="23"/>
      <c r="AF2604" s="23"/>
      <c r="AG2604" s="23"/>
      <c r="AH2604" s="23"/>
      <c r="AI2604" s="23"/>
      <c r="AJ2604" s="23"/>
      <c r="AK2604" s="23"/>
      <c r="AL2604" s="23"/>
      <c r="AM2604" s="23"/>
      <c r="AN2604" s="23"/>
      <c r="AO2604" s="23"/>
      <c r="AP2604" s="23"/>
      <c r="AQ2604" s="23"/>
      <c r="AR2604" s="23"/>
      <c r="AS2604" s="23"/>
      <c r="AT2604" s="23"/>
      <c r="AU2604" s="23"/>
      <c r="AV2604" s="23"/>
      <c r="AW2604" s="23"/>
      <c r="AX2604" s="23"/>
      <c r="AY2604" s="23"/>
      <c r="AZ2604" s="23"/>
      <c r="BA2604" s="23"/>
      <c r="BB2604" s="23"/>
    </row>
    <row r="2605" spans="5:54" x14ac:dyDescent="0.35"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  <c r="AA2605" s="23"/>
      <c r="AB2605" s="23"/>
      <c r="AC2605" s="23"/>
      <c r="AD2605" s="23"/>
      <c r="AE2605" s="23"/>
      <c r="AF2605" s="23"/>
      <c r="AG2605" s="23"/>
      <c r="AH2605" s="23"/>
      <c r="AI2605" s="23"/>
      <c r="AJ2605" s="23"/>
      <c r="AK2605" s="23"/>
      <c r="AL2605" s="23"/>
      <c r="AM2605" s="23"/>
      <c r="AN2605" s="23"/>
      <c r="AO2605" s="23"/>
      <c r="AP2605" s="23"/>
      <c r="AQ2605" s="23"/>
      <c r="AR2605" s="23"/>
      <c r="AS2605" s="23"/>
      <c r="AT2605" s="23"/>
      <c r="AU2605" s="23"/>
      <c r="AV2605" s="23"/>
      <c r="AW2605" s="23"/>
      <c r="AX2605" s="23"/>
      <c r="AY2605" s="23"/>
      <c r="AZ2605" s="23"/>
      <c r="BA2605" s="23"/>
      <c r="BB2605" s="23"/>
    </row>
    <row r="2606" spans="5:54" x14ac:dyDescent="0.35"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  <c r="AA2606" s="23"/>
      <c r="AB2606" s="23"/>
      <c r="AC2606" s="23"/>
      <c r="AD2606" s="23"/>
      <c r="AE2606" s="23"/>
      <c r="AF2606" s="23"/>
      <c r="AG2606" s="23"/>
      <c r="AH2606" s="23"/>
      <c r="AI2606" s="23"/>
      <c r="AJ2606" s="23"/>
      <c r="AK2606" s="23"/>
      <c r="AL2606" s="23"/>
      <c r="AM2606" s="23"/>
      <c r="AN2606" s="23"/>
      <c r="AO2606" s="23"/>
      <c r="AP2606" s="23"/>
      <c r="AQ2606" s="23"/>
      <c r="AR2606" s="23"/>
      <c r="AS2606" s="23"/>
      <c r="AT2606" s="23"/>
      <c r="AU2606" s="23"/>
      <c r="AV2606" s="23"/>
      <c r="AW2606" s="23"/>
      <c r="AX2606" s="23"/>
      <c r="AY2606" s="23"/>
      <c r="AZ2606" s="23"/>
      <c r="BA2606" s="23"/>
      <c r="BB2606" s="23"/>
    </row>
    <row r="2607" spans="5:54" x14ac:dyDescent="0.35"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  <c r="AA2607" s="23"/>
      <c r="AB2607" s="23"/>
      <c r="AC2607" s="23"/>
      <c r="AD2607" s="23"/>
      <c r="AE2607" s="23"/>
      <c r="AF2607" s="23"/>
      <c r="AG2607" s="23"/>
      <c r="AH2607" s="23"/>
      <c r="AI2607" s="23"/>
      <c r="AJ2607" s="23"/>
      <c r="AK2607" s="23"/>
      <c r="AL2607" s="23"/>
      <c r="AM2607" s="23"/>
      <c r="AN2607" s="23"/>
      <c r="AO2607" s="23"/>
      <c r="AP2607" s="23"/>
      <c r="AQ2607" s="23"/>
      <c r="AR2607" s="23"/>
      <c r="AS2607" s="23"/>
      <c r="AT2607" s="23"/>
      <c r="AU2607" s="23"/>
      <c r="AV2607" s="23"/>
      <c r="AW2607" s="23"/>
      <c r="AX2607" s="23"/>
      <c r="AY2607" s="23"/>
      <c r="AZ2607" s="23"/>
      <c r="BA2607" s="23"/>
      <c r="BB2607" s="23"/>
    </row>
    <row r="2608" spans="5:54" x14ac:dyDescent="0.35"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  <c r="AA2608" s="23"/>
      <c r="AB2608" s="23"/>
      <c r="AC2608" s="23"/>
      <c r="AD2608" s="23"/>
      <c r="AE2608" s="23"/>
      <c r="AF2608" s="23"/>
      <c r="AG2608" s="23"/>
      <c r="AH2608" s="23"/>
      <c r="AI2608" s="23"/>
      <c r="AJ2608" s="23"/>
      <c r="AK2608" s="23"/>
      <c r="AL2608" s="23"/>
      <c r="AM2608" s="23"/>
      <c r="AN2608" s="23"/>
      <c r="AO2608" s="23"/>
      <c r="AP2608" s="23"/>
      <c r="AQ2608" s="23"/>
      <c r="AR2608" s="23"/>
      <c r="AS2608" s="23"/>
      <c r="AT2608" s="23"/>
      <c r="AU2608" s="23"/>
      <c r="AV2608" s="23"/>
      <c r="AW2608" s="23"/>
      <c r="AX2608" s="23"/>
      <c r="AY2608" s="23"/>
      <c r="AZ2608" s="23"/>
      <c r="BA2608" s="23"/>
      <c r="BB2608" s="23"/>
    </row>
    <row r="2609" spans="5:54" x14ac:dyDescent="0.35"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  <c r="AA2609" s="23"/>
      <c r="AB2609" s="23"/>
      <c r="AC2609" s="23"/>
      <c r="AD2609" s="23"/>
      <c r="AE2609" s="23"/>
      <c r="AF2609" s="23"/>
      <c r="AG2609" s="23"/>
      <c r="AH2609" s="23"/>
      <c r="AI2609" s="23"/>
      <c r="AJ2609" s="23"/>
      <c r="AK2609" s="23"/>
      <c r="AL2609" s="23"/>
      <c r="AM2609" s="23"/>
      <c r="AN2609" s="23"/>
      <c r="AO2609" s="23"/>
      <c r="AP2609" s="23"/>
      <c r="AQ2609" s="23"/>
      <c r="AR2609" s="23"/>
      <c r="AS2609" s="23"/>
      <c r="AT2609" s="23"/>
      <c r="AU2609" s="23"/>
      <c r="AV2609" s="23"/>
      <c r="AW2609" s="23"/>
      <c r="AX2609" s="23"/>
      <c r="AY2609" s="23"/>
      <c r="AZ2609" s="23"/>
      <c r="BA2609" s="23"/>
      <c r="BB2609" s="23"/>
    </row>
    <row r="2610" spans="5:54" x14ac:dyDescent="0.35"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  <c r="AA2610" s="23"/>
      <c r="AB2610" s="23"/>
      <c r="AC2610" s="23"/>
      <c r="AD2610" s="23"/>
      <c r="AE2610" s="23"/>
      <c r="AF2610" s="23"/>
      <c r="AG2610" s="23"/>
      <c r="AH2610" s="23"/>
      <c r="AI2610" s="23"/>
      <c r="AJ2610" s="23"/>
      <c r="AK2610" s="23"/>
      <c r="AL2610" s="23"/>
      <c r="AM2610" s="23"/>
      <c r="AN2610" s="23"/>
      <c r="AO2610" s="23"/>
      <c r="AP2610" s="23"/>
      <c r="AQ2610" s="23"/>
      <c r="AR2610" s="23"/>
      <c r="AS2610" s="23"/>
      <c r="AT2610" s="23"/>
      <c r="AU2610" s="23"/>
      <c r="AV2610" s="23"/>
      <c r="AW2610" s="23"/>
      <c r="AX2610" s="23"/>
      <c r="AY2610" s="23"/>
      <c r="AZ2610" s="23"/>
      <c r="BA2610" s="23"/>
      <c r="BB2610" s="23"/>
    </row>
    <row r="2611" spans="5:54" x14ac:dyDescent="0.35"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  <c r="AA2611" s="23"/>
      <c r="AB2611" s="23"/>
      <c r="AC2611" s="23"/>
      <c r="AD2611" s="23"/>
      <c r="AE2611" s="23"/>
      <c r="AF2611" s="23"/>
      <c r="AG2611" s="23"/>
      <c r="AH2611" s="23"/>
      <c r="AI2611" s="23"/>
      <c r="AJ2611" s="23"/>
      <c r="AK2611" s="23"/>
      <c r="AL2611" s="23"/>
      <c r="AM2611" s="23"/>
      <c r="AN2611" s="23"/>
      <c r="AO2611" s="23"/>
      <c r="AP2611" s="23"/>
      <c r="AQ2611" s="23"/>
      <c r="AR2611" s="23"/>
      <c r="AS2611" s="23"/>
      <c r="AT2611" s="23"/>
      <c r="AU2611" s="23"/>
      <c r="AV2611" s="23"/>
      <c r="AW2611" s="23"/>
      <c r="AX2611" s="23"/>
      <c r="AY2611" s="23"/>
      <c r="AZ2611" s="23"/>
      <c r="BA2611" s="23"/>
      <c r="BB2611" s="23"/>
    </row>
    <row r="2612" spans="5:54" x14ac:dyDescent="0.35"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  <c r="AA2612" s="23"/>
      <c r="AB2612" s="23"/>
      <c r="AC2612" s="23"/>
      <c r="AD2612" s="23"/>
      <c r="AE2612" s="23"/>
      <c r="AF2612" s="23"/>
      <c r="AG2612" s="23"/>
      <c r="AH2612" s="23"/>
      <c r="AI2612" s="23"/>
      <c r="AJ2612" s="23"/>
      <c r="AK2612" s="23"/>
      <c r="AL2612" s="23"/>
      <c r="AM2612" s="23"/>
      <c r="AN2612" s="23"/>
      <c r="AO2612" s="23"/>
      <c r="AP2612" s="23"/>
      <c r="AQ2612" s="23"/>
      <c r="AR2612" s="23"/>
      <c r="AS2612" s="23"/>
      <c r="AT2612" s="23"/>
      <c r="AU2612" s="23"/>
      <c r="AV2612" s="23"/>
      <c r="AW2612" s="23"/>
      <c r="AX2612" s="23"/>
      <c r="AY2612" s="23"/>
      <c r="AZ2612" s="23"/>
      <c r="BA2612" s="23"/>
      <c r="BB2612" s="23"/>
    </row>
    <row r="2613" spans="5:54" x14ac:dyDescent="0.35"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  <c r="AA2613" s="23"/>
      <c r="AB2613" s="23"/>
      <c r="AC2613" s="23"/>
      <c r="AD2613" s="23"/>
      <c r="AE2613" s="23"/>
      <c r="AF2613" s="23"/>
      <c r="AG2613" s="23"/>
      <c r="AH2613" s="23"/>
      <c r="AI2613" s="23"/>
      <c r="AJ2613" s="23"/>
      <c r="AK2613" s="23"/>
      <c r="AL2613" s="23"/>
      <c r="AM2613" s="23"/>
      <c r="AN2613" s="23"/>
      <c r="AO2613" s="23"/>
      <c r="AP2613" s="23"/>
      <c r="AQ2613" s="23"/>
      <c r="AR2613" s="23"/>
      <c r="AS2613" s="23"/>
      <c r="AT2613" s="23"/>
      <c r="AU2613" s="23"/>
      <c r="AV2613" s="23"/>
      <c r="AW2613" s="23"/>
      <c r="AX2613" s="23"/>
      <c r="AY2613" s="23"/>
      <c r="AZ2613" s="23"/>
      <c r="BA2613" s="23"/>
      <c r="BB2613" s="23"/>
    </row>
    <row r="2614" spans="5:54" x14ac:dyDescent="0.35"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  <c r="AA2614" s="23"/>
      <c r="AB2614" s="23"/>
      <c r="AC2614" s="23"/>
      <c r="AD2614" s="23"/>
      <c r="AE2614" s="23"/>
      <c r="AF2614" s="23"/>
      <c r="AG2614" s="23"/>
      <c r="AH2614" s="23"/>
      <c r="AI2614" s="23"/>
      <c r="AJ2614" s="23"/>
      <c r="AK2614" s="23"/>
      <c r="AL2614" s="23"/>
      <c r="AM2614" s="23"/>
      <c r="AN2614" s="23"/>
      <c r="AO2614" s="23"/>
      <c r="AP2614" s="23"/>
      <c r="AQ2614" s="23"/>
      <c r="AR2614" s="23"/>
      <c r="AS2614" s="23"/>
      <c r="AT2614" s="23"/>
      <c r="AU2614" s="23"/>
      <c r="AV2614" s="23"/>
      <c r="AW2614" s="23"/>
      <c r="AX2614" s="23"/>
      <c r="AY2614" s="23"/>
      <c r="AZ2614" s="23"/>
      <c r="BA2614" s="23"/>
      <c r="BB2614" s="23"/>
    </row>
    <row r="2615" spans="5:54" x14ac:dyDescent="0.35"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  <c r="AA2615" s="23"/>
      <c r="AB2615" s="23"/>
      <c r="AC2615" s="23"/>
      <c r="AD2615" s="23"/>
      <c r="AE2615" s="23"/>
      <c r="AF2615" s="23"/>
      <c r="AG2615" s="23"/>
      <c r="AH2615" s="23"/>
      <c r="AI2615" s="23"/>
      <c r="AJ2615" s="23"/>
      <c r="AK2615" s="23"/>
      <c r="AL2615" s="23"/>
      <c r="AM2615" s="23"/>
      <c r="AN2615" s="23"/>
      <c r="AO2615" s="23"/>
      <c r="AP2615" s="23"/>
      <c r="AQ2615" s="23"/>
      <c r="AR2615" s="23"/>
      <c r="AS2615" s="23"/>
      <c r="AT2615" s="23"/>
      <c r="AU2615" s="23"/>
      <c r="AV2615" s="23"/>
      <c r="AW2615" s="23"/>
      <c r="AX2615" s="23"/>
      <c r="AY2615" s="23"/>
      <c r="AZ2615" s="23"/>
      <c r="BA2615" s="23"/>
      <c r="BB2615" s="23"/>
    </row>
    <row r="2616" spans="5:54" x14ac:dyDescent="0.35"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  <c r="AA2616" s="23"/>
      <c r="AB2616" s="23"/>
      <c r="AC2616" s="23"/>
      <c r="AD2616" s="23"/>
      <c r="AE2616" s="23"/>
      <c r="AF2616" s="23"/>
      <c r="AG2616" s="23"/>
      <c r="AH2616" s="23"/>
      <c r="AI2616" s="23"/>
      <c r="AJ2616" s="23"/>
      <c r="AK2616" s="23"/>
      <c r="AL2616" s="23"/>
      <c r="AM2616" s="23"/>
      <c r="AN2616" s="23"/>
      <c r="AO2616" s="23"/>
      <c r="AP2616" s="23"/>
      <c r="AQ2616" s="23"/>
      <c r="AR2616" s="23"/>
      <c r="AS2616" s="23"/>
      <c r="AT2616" s="23"/>
      <c r="AU2616" s="23"/>
      <c r="AV2616" s="23"/>
      <c r="AW2616" s="23"/>
      <c r="AX2616" s="23"/>
      <c r="AY2616" s="23"/>
      <c r="AZ2616" s="23"/>
      <c r="BA2616" s="23"/>
      <c r="BB2616" s="23"/>
    </row>
    <row r="2617" spans="5:54" x14ac:dyDescent="0.35"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  <c r="AA2617" s="23"/>
      <c r="AB2617" s="23"/>
      <c r="AC2617" s="23"/>
      <c r="AD2617" s="23"/>
      <c r="AE2617" s="23"/>
      <c r="AF2617" s="23"/>
      <c r="AG2617" s="23"/>
      <c r="AH2617" s="23"/>
      <c r="AI2617" s="23"/>
      <c r="AJ2617" s="23"/>
      <c r="AK2617" s="23"/>
      <c r="AL2617" s="23"/>
      <c r="AM2617" s="23"/>
      <c r="AN2617" s="23"/>
      <c r="AO2617" s="23"/>
      <c r="AP2617" s="23"/>
      <c r="AQ2617" s="23"/>
      <c r="AR2617" s="23"/>
      <c r="AS2617" s="23"/>
      <c r="AT2617" s="23"/>
      <c r="AU2617" s="23"/>
      <c r="AV2617" s="23"/>
      <c r="AW2617" s="23"/>
      <c r="AX2617" s="23"/>
      <c r="AY2617" s="23"/>
      <c r="AZ2617" s="23"/>
      <c r="BA2617" s="23"/>
      <c r="BB2617" s="23"/>
    </row>
    <row r="2618" spans="5:54" x14ac:dyDescent="0.35"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  <c r="AA2618" s="23"/>
      <c r="AB2618" s="23"/>
      <c r="AC2618" s="23"/>
      <c r="AD2618" s="23"/>
      <c r="AE2618" s="23"/>
      <c r="AF2618" s="23"/>
      <c r="AG2618" s="23"/>
      <c r="AH2618" s="23"/>
      <c r="AI2618" s="23"/>
      <c r="AJ2618" s="23"/>
      <c r="AK2618" s="23"/>
      <c r="AL2618" s="23"/>
      <c r="AM2618" s="23"/>
      <c r="AN2618" s="23"/>
      <c r="AO2618" s="23"/>
      <c r="AP2618" s="23"/>
      <c r="AQ2618" s="23"/>
      <c r="AR2618" s="23"/>
      <c r="AS2618" s="23"/>
      <c r="AT2618" s="23"/>
      <c r="AU2618" s="23"/>
      <c r="AV2618" s="23"/>
      <c r="AW2618" s="23"/>
      <c r="AX2618" s="23"/>
      <c r="AY2618" s="23"/>
      <c r="AZ2618" s="23"/>
      <c r="BA2618" s="23"/>
      <c r="BB2618" s="23"/>
    </row>
    <row r="2619" spans="5:54" x14ac:dyDescent="0.35"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  <c r="AA2619" s="23"/>
      <c r="AB2619" s="23"/>
      <c r="AC2619" s="23"/>
      <c r="AD2619" s="23"/>
      <c r="AE2619" s="23"/>
      <c r="AF2619" s="23"/>
      <c r="AG2619" s="23"/>
      <c r="AH2619" s="23"/>
      <c r="AI2619" s="23"/>
      <c r="AJ2619" s="23"/>
      <c r="AK2619" s="23"/>
      <c r="AL2619" s="23"/>
      <c r="AM2619" s="23"/>
      <c r="AN2619" s="23"/>
      <c r="AO2619" s="23"/>
      <c r="AP2619" s="23"/>
      <c r="AQ2619" s="23"/>
      <c r="AR2619" s="23"/>
      <c r="AS2619" s="23"/>
      <c r="AT2619" s="23"/>
      <c r="AU2619" s="23"/>
      <c r="AV2619" s="23"/>
      <c r="AW2619" s="23"/>
      <c r="AX2619" s="23"/>
      <c r="AY2619" s="23"/>
      <c r="AZ2619" s="23"/>
      <c r="BA2619" s="23"/>
      <c r="BB2619" s="23"/>
    </row>
    <row r="2620" spans="5:54" x14ac:dyDescent="0.35"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  <c r="AA2620" s="23"/>
      <c r="AB2620" s="23"/>
      <c r="AC2620" s="23"/>
      <c r="AD2620" s="23"/>
      <c r="AE2620" s="23"/>
      <c r="AF2620" s="23"/>
      <c r="AG2620" s="23"/>
      <c r="AH2620" s="23"/>
      <c r="AI2620" s="23"/>
      <c r="AJ2620" s="23"/>
      <c r="AK2620" s="23"/>
      <c r="AL2620" s="23"/>
      <c r="AM2620" s="23"/>
      <c r="AN2620" s="23"/>
      <c r="AO2620" s="23"/>
      <c r="AP2620" s="23"/>
      <c r="AQ2620" s="23"/>
      <c r="AR2620" s="23"/>
      <c r="AS2620" s="23"/>
      <c r="AT2620" s="23"/>
      <c r="AU2620" s="23"/>
      <c r="AV2620" s="23"/>
      <c r="AW2620" s="23"/>
      <c r="AX2620" s="23"/>
      <c r="AY2620" s="23"/>
      <c r="AZ2620" s="23"/>
      <c r="BA2620" s="23"/>
      <c r="BB2620" s="23"/>
    </row>
    <row r="2621" spans="5:54" x14ac:dyDescent="0.35"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  <c r="AA2621" s="23"/>
      <c r="AB2621" s="23"/>
      <c r="AC2621" s="23"/>
      <c r="AD2621" s="23"/>
      <c r="AE2621" s="23"/>
      <c r="AF2621" s="23"/>
      <c r="AG2621" s="23"/>
      <c r="AH2621" s="23"/>
      <c r="AI2621" s="23"/>
      <c r="AJ2621" s="23"/>
      <c r="AK2621" s="23"/>
      <c r="AL2621" s="23"/>
      <c r="AM2621" s="23"/>
      <c r="AN2621" s="23"/>
      <c r="AO2621" s="23"/>
      <c r="AP2621" s="23"/>
      <c r="AQ2621" s="23"/>
      <c r="AR2621" s="23"/>
      <c r="AS2621" s="23"/>
      <c r="AT2621" s="23"/>
      <c r="AU2621" s="23"/>
      <c r="AV2621" s="23"/>
      <c r="AW2621" s="23"/>
      <c r="AX2621" s="23"/>
      <c r="AY2621" s="23"/>
      <c r="AZ2621" s="23"/>
      <c r="BA2621" s="23"/>
      <c r="BB2621" s="23"/>
    </row>
    <row r="2622" spans="5:54" x14ac:dyDescent="0.35"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  <c r="AA2622" s="23"/>
      <c r="AB2622" s="23"/>
      <c r="AC2622" s="23"/>
      <c r="AD2622" s="23"/>
      <c r="AE2622" s="23"/>
      <c r="AF2622" s="23"/>
      <c r="AG2622" s="23"/>
      <c r="AH2622" s="23"/>
      <c r="AI2622" s="23"/>
      <c r="AJ2622" s="23"/>
      <c r="AK2622" s="23"/>
      <c r="AL2622" s="23"/>
      <c r="AM2622" s="23"/>
      <c r="AN2622" s="23"/>
      <c r="AO2622" s="23"/>
      <c r="AP2622" s="23"/>
      <c r="AQ2622" s="23"/>
      <c r="AR2622" s="23"/>
      <c r="AS2622" s="23"/>
      <c r="AT2622" s="23"/>
      <c r="AU2622" s="23"/>
      <c r="AV2622" s="23"/>
      <c r="AW2622" s="23"/>
      <c r="AX2622" s="23"/>
      <c r="AY2622" s="23"/>
      <c r="AZ2622" s="23"/>
      <c r="BA2622" s="23"/>
      <c r="BB2622" s="23"/>
    </row>
    <row r="2623" spans="5:54" x14ac:dyDescent="0.35"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  <c r="AA2623" s="23"/>
      <c r="AB2623" s="23"/>
      <c r="AC2623" s="23"/>
      <c r="AD2623" s="23"/>
      <c r="AE2623" s="23"/>
      <c r="AF2623" s="23"/>
      <c r="AG2623" s="23"/>
      <c r="AH2623" s="23"/>
      <c r="AI2623" s="23"/>
      <c r="AJ2623" s="23"/>
      <c r="AK2623" s="23"/>
      <c r="AL2623" s="23"/>
      <c r="AM2623" s="23"/>
      <c r="AN2623" s="23"/>
      <c r="AO2623" s="23"/>
      <c r="AP2623" s="23"/>
      <c r="AQ2623" s="23"/>
      <c r="AR2623" s="23"/>
      <c r="AS2623" s="23"/>
      <c r="AT2623" s="23"/>
      <c r="AU2623" s="23"/>
      <c r="AV2623" s="23"/>
      <c r="AW2623" s="23"/>
      <c r="AX2623" s="23"/>
      <c r="AY2623" s="23"/>
      <c r="AZ2623" s="23"/>
      <c r="BA2623" s="23"/>
      <c r="BB2623" s="23"/>
    </row>
    <row r="2624" spans="5:54" x14ac:dyDescent="0.35"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  <c r="AA2624" s="23"/>
      <c r="AB2624" s="23"/>
      <c r="AC2624" s="23"/>
      <c r="AD2624" s="23"/>
      <c r="AE2624" s="23"/>
      <c r="AF2624" s="23"/>
      <c r="AG2624" s="23"/>
      <c r="AH2624" s="23"/>
      <c r="AI2624" s="23"/>
      <c r="AJ2624" s="23"/>
      <c r="AK2624" s="23"/>
      <c r="AL2624" s="23"/>
      <c r="AM2624" s="23"/>
      <c r="AN2624" s="23"/>
      <c r="AO2624" s="23"/>
      <c r="AP2624" s="23"/>
      <c r="AQ2624" s="23"/>
      <c r="AR2624" s="23"/>
      <c r="AS2624" s="23"/>
      <c r="AT2624" s="23"/>
      <c r="AU2624" s="23"/>
      <c r="AV2624" s="23"/>
      <c r="AW2624" s="23"/>
      <c r="AX2624" s="23"/>
      <c r="AY2624" s="23"/>
      <c r="AZ2624" s="23"/>
      <c r="BA2624" s="23"/>
      <c r="BB2624" s="23"/>
    </row>
    <row r="2625" spans="5:54" x14ac:dyDescent="0.35"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  <c r="AA2625" s="23"/>
      <c r="AB2625" s="23"/>
      <c r="AC2625" s="23"/>
      <c r="AD2625" s="23"/>
      <c r="AE2625" s="23"/>
      <c r="AF2625" s="23"/>
      <c r="AG2625" s="23"/>
      <c r="AH2625" s="23"/>
      <c r="AI2625" s="23"/>
      <c r="AJ2625" s="23"/>
      <c r="AK2625" s="23"/>
      <c r="AL2625" s="23"/>
      <c r="AM2625" s="23"/>
      <c r="AN2625" s="23"/>
      <c r="AO2625" s="23"/>
      <c r="AP2625" s="23"/>
      <c r="AQ2625" s="23"/>
      <c r="AR2625" s="23"/>
      <c r="AS2625" s="23"/>
      <c r="AT2625" s="23"/>
      <c r="AU2625" s="23"/>
      <c r="AV2625" s="23"/>
      <c r="AW2625" s="23"/>
      <c r="AX2625" s="23"/>
      <c r="AY2625" s="23"/>
      <c r="AZ2625" s="23"/>
      <c r="BA2625" s="23"/>
      <c r="BB2625" s="23"/>
    </row>
    <row r="2626" spans="5:54" x14ac:dyDescent="0.35"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  <c r="AA2626" s="23"/>
      <c r="AB2626" s="23"/>
      <c r="AC2626" s="23"/>
      <c r="AD2626" s="23"/>
      <c r="AE2626" s="23"/>
      <c r="AF2626" s="23"/>
      <c r="AG2626" s="23"/>
      <c r="AH2626" s="23"/>
      <c r="AI2626" s="23"/>
      <c r="AJ2626" s="23"/>
      <c r="AK2626" s="23"/>
      <c r="AL2626" s="23"/>
      <c r="AM2626" s="23"/>
      <c r="AN2626" s="23"/>
      <c r="AO2626" s="23"/>
      <c r="AP2626" s="23"/>
      <c r="AQ2626" s="23"/>
      <c r="AR2626" s="23"/>
      <c r="AS2626" s="23"/>
      <c r="AT2626" s="23"/>
      <c r="AU2626" s="23"/>
      <c r="AV2626" s="23"/>
      <c r="AW2626" s="23"/>
      <c r="AX2626" s="23"/>
      <c r="AY2626" s="23"/>
      <c r="AZ2626" s="23"/>
      <c r="BA2626" s="23"/>
      <c r="BB2626" s="23"/>
    </row>
    <row r="2627" spans="5:54" x14ac:dyDescent="0.35"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  <c r="AA2627" s="23"/>
      <c r="AB2627" s="23"/>
      <c r="AC2627" s="23"/>
      <c r="AD2627" s="23"/>
      <c r="AE2627" s="23"/>
      <c r="AF2627" s="23"/>
      <c r="AG2627" s="23"/>
      <c r="AH2627" s="23"/>
      <c r="AI2627" s="23"/>
      <c r="AJ2627" s="23"/>
      <c r="AK2627" s="23"/>
      <c r="AL2627" s="23"/>
      <c r="AM2627" s="23"/>
      <c r="AN2627" s="23"/>
      <c r="AO2627" s="23"/>
      <c r="AP2627" s="23"/>
      <c r="AQ2627" s="23"/>
      <c r="AR2627" s="23"/>
      <c r="AS2627" s="23"/>
      <c r="AT2627" s="23"/>
      <c r="AU2627" s="23"/>
      <c r="AV2627" s="23"/>
      <c r="AW2627" s="23"/>
      <c r="AX2627" s="23"/>
      <c r="AY2627" s="23"/>
      <c r="AZ2627" s="23"/>
      <c r="BA2627" s="23"/>
      <c r="BB2627" s="23"/>
    </row>
    <row r="2628" spans="5:54" x14ac:dyDescent="0.35"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  <c r="AA2628" s="23"/>
      <c r="AB2628" s="23"/>
      <c r="AC2628" s="23"/>
      <c r="AD2628" s="23"/>
      <c r="AE2628" s="23"/>
      <c r="AF2628" s="23"/>
      <c r="AG2628" s="23"/>
      <c r="AH2628" s="23"/>
      <c r="AI2628" s="23"/>
      <c r="AJ2628" s="23"/>
      <c r="AK2628" s="23"/>
      <c r="AL2628" s="23"/>
      <c r="AM2628" s="23"/>
      <c r="AN2628" s="23"/>
      <c r="AO2628" s="23"/>
      <c r="AP2628" s="23"/>
      <c r="AQ2628" s="23"/>
      <c r="AR2628" s="23"/>
      <c r="AS2628" s="23"/>
      <c r="AT2628" s="23"/>
      <c r="AU2628" s="23"/>
      <c r="AV2628" s="23"/>
      <c r="AW2628" s="23"/>
      <c r="AX2628" s="23"/>
      <c r="AY2628" s="23"/>
      <c r="AZ2628" s="23"/>
      <c r="BA2628" s="23"/>
      <c r="BB2628" s="23"/>
    </row>
    <row r="2629" spans="5:54" x14ac:dyDescent="0.35"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  <c r="AA2629" s="23"/>
      <c r="AB2629" s="23"/>
      <c r="AC2629" s="23"/>
      <c r="AD2629" s="23"/>
      <c r="AE2629" s="23"/>
      <c r="AF2629" s="23"/>
      <c r="AG2629" s="23"/>
      <c r="AH2629" s="23"/>
      <c r="AI2629" s="23"/>
      <c r="AJ2629" s="23"/>
      <c r="AK2629" s="23"/>
      <c r="AL2629" s="23"/>
      <c r="AM2629" s="23"/>
      <c r="AN2629" s="23"/>
      <c r="AO2629" s="23"/>
      <c r="AP2629" s="23"/>
      <c r="AQ2629" s="23"/>
      <c r="AR2629" s="23"/>
      <c r="AS2629" s="23"/>
      <c r="AT2629" s="23"/>
      <c r="AU2629" s="23"/>
      <c r="AV2629" s="23"/>
      <c r="AW2629" s="23"/>
      <c r="AX2629" s="23"/>
      <c r="AY2629" s="23"/>
      <c r="AZ2629" s="23"/>
      <c r="BA2629" s="23"/>
      <c r="BB2629" s="23"/>
    </row>
    <row r="2630" spans="5:54" x14ac:dyDescent="0.35"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  <c r="AA2630" s="23"/>
      <c r="AB2630" s="23"/>
      <c r="AC2630" s="23"/>
      <c r="AD2630" s="23"/>
      <c r="AE2630" s="23"/>
      <c r="AF2630" s="23"/>
      <c r="AG2630" s="23"/>
      <c r="AH2630" s="23"/>
      <c r="AI2630" s="23"/>
      <c r="AJ2630" s="23"/>
      <c r="AK2630" s="23"/>
      <c r="AL2630" s="23"/>
      <c r="AM2630" s="23"/>
      <c r="AN2630" s="23"/>
      <c r="AO2630" s="23"/>
      <c r="AP2630" s="23"/>
      <c r="AQ2630" s="23"/>
      <c r="AR2630" s="23"/>
      <c r="AS2630" s="23"/>
      <c r="AT2630" s="23"/>
      <c r="AU2630" s="23"/>
      <c r="AV2630" s="23"/>
      <c r="AW2630" s="23"/>
      <c r="AX2630" s="23"/>
      <c r="AY2630" s="23"/>
      <c r="AZ2630" s="23"/>
      <c r="BA2630" s="23"/>
      <c r="BB2630" s="23"/>
    </row>
    <row r="2631" spans="5:54" x14ac:dyDescent="0.35"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  <c r="AA2631" s="23"/>
      <c r="AB2631" s="23"/>
      <c r="AC2631" s="23"/>
      <c r="AD2631" s="23"/>
      <c r="AE2631" s="23"/>
      <c r="AF2631" s="23"/>
      <c r="AG2631" s="23"/>
      <c r="AH2631" s="23"/>
      <c r="AI2631" s="23"/>
      <c r="AJ2631" s="23"/>
      <c r="AK2631" s="23"/>
      <c r="AL2631" s="23"/>
      <c r="AM2631" s="23"/>
      <c r="AN2631" s="23"/>
      <c r="AO2631" s="23"/>
      <c r="AP2631" s="23"/>
      <c r="AQ2631" s="23"/>
      <c r="AR2631" s="23"/>
      <c r="AS2631" s="23"/>
      <c r="AT2631" s="23"/>
      <c r="AU2631" s="23"/>
      <c r="AV2631" s="23"/>
      <c r="AW2631" s="23"/>
      <c r="AX2631" s="23"/>
      <c r="AY2631" s="23"/>
      <c r="AZ2631" s="23"/>
      <c r="BA2631" s="23"/>
      <c r="BB2631" s="23"/>
    </row>
    <row r="2632" spans="5:54" x14ac:dyDescent="0.35"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  <c r="AA2632" s="23"/>
      <c r="AB2632" s="23"/>
      <c r="AC2632" s="23"/>
      <c r="AD2632" s="23"/>
      <c r="AE2632" s="23"/>
      <c r="AF2632" s="23"/>
      <c r="AG2632" s="23"/>
      <c r="AH2632" s="23"/>
      <c r="AI2632" s="23"/>
      <c r="AJ2632" s="23"/>
      <c r="AK2632" s="23"/>
      <c r="AL2632" s="23"/>
      <c r="AM2632" s="23"/>
      <c r="AN2632" s="23"/>
      <c r="AO2632" s="23"/>
      <c r="AP2632" s="23"/>
      <c r="AQ2632" s="23"/>
      <c r="AR2632" s="23"/>
      <c r="AS2632" s="23"/>
      <c r="AT2632" s="23"/>
      <c r="AU2632" s="23"/>
      <c r="AV2632" s="23"/>
      <c r="AW2632" s="23"/>
      <c r="AX2632" s="23"/>
      <c r="AY2632" s="23"/>
      <c r="AZ2632" s="23"/>
      <c r="BA2632" s="23"/>
      <c r="BB2632" s="23"/>
    </row>
    <row r="2633" spans="5:54" x14ac:dyDescent="0.35"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  <c r="AA2633" s="23"/>
      <c r="AB2633" s="23"/>
      <c r="AC2633" s="23"/>
      <c r="AD2633" s="23"/>
      <c r="AE2633" s="23"/>
      <c r="AF2633" s="23"/>
      <c r="AG2633" s="23"/>
      <c r="AH2633" s="23"/>
      <c r="AI2633" s="23"/>
      <c r="AJ2633" s="23"/>
      <c r="AK2633" s="23"/>
      <c r="AL2633" s="23"/>
      <c r="AM2633" s="23"/>
      <c r="AN2633" s="23"/>
      <c r="AO2633" s="23"/>
      <c r="AP2633" s="23"/>
      <c r="AQ2633" s="23"/>
      <c r="AR2633" s="23"/>
      <c r="AS2633" s="23"/>
      <c r="AT2633" s="23"/>
      <c r="AU2633" s="23"/>
      <c r="AV2633" s="23"/>
      <c r="AW2633" s="23"/>
      <c r="AX2633" s="23"/>
      <c r="AY2633" s="23"/>
      <c r="AZ2633" s="23"/>
      <c r="BA2633" s="23"/>
      <c r="BB2633" s="23"/>
    </row>
    <row r="2634" spans="5:54" x14ac:dyDescent="0.35"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  <c r="AA2634" s="23"/>
      <c r="AB2634" s="23"/>
      <c r="AC2634" s="23"/>
      <c r="AD2634" s="23"/>
      <c r="AE2634" s="23"/>
      <c r="AF2634" s="23"/>
      <c r="AG2634" s="23"/>
      <c r="AH2634" s="23"/>
      <c r="AI2634" s="23"/>
      <c r="AJ2634" s="23"/>
      <c r="AK2634" s="23"/>
      <c r="AL2634" s="23"/>
      <c r="AM2634" s="23"/>
      <c r="AN2634" s="23"/>
      <c r="AO2634" s="23"/>
      <c r="AP2634" s="23"/>
      <c r="AQ2634" s="23"/>
      <c r="AR2634" s="23"/>
      <c r="AS2634" s="23"/>
      <c r="AT2634" s="23"/>
      <c r="AU2634" s="23"/>
      <c r="AV2634" s="23"/>
      <c r="AW2634" s="23"/>
      <c r="AX2634" s="23"/>
      <c r="AY2634" s="23"/>
      <c r="AZ2634" s="23"/>
      <c r="BA2634" s="23"/>
      <c r="BB2634" s="23"/>
    </row>
    <row r="2635" spans="5:54" x14ac:dyDescent="0.35"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  <c r="AA2635" s="23"/>
      <c r="AB2635" s="23"/>
      <c r="AC2635" s="23"/>
      <c r="AD2635" s="23"/>
      <c r="AE2635" s="23"/>
      <c r="AF2635" s="23"/>
      <c r="AG2635" s="23"/>
      <c r="AH2635" s="23"/>
      <c r="AI2635" s="23"/>
      <c r="AJ2635" s="23"/>
      <c r="AK2635" s="23"/>
      <c r="AL2635" s="23"/>
      <c r="AM2635" s="23"/>
      <c r="AN2635" s="23"/>
      <c r="AO2635" s="23"/>
      <c r="AP2635" s="23"/>
      <c r="AQ2635" s="23"/>
      <c r="AR2635" s="23"/>
      <c r="AS2635" s="23"/>
      <c r="AT2635" s="23"/>
      <c r="AU2635" s="23"/>
      <c r="AV2635" s="23"/>
      <c r="AW2635" s="23"/>
      <c r="AX2635" s="23"/>
      <c r="AY2635" s="23"/>
      <c r="AZ2635" s="23"/>
      <c r="BA2635" s="23"/>
      <c r="BB2635" s="23"/>
    </row>
    <row r="2636" spans="5:54" x14ac:dyDescent="0.35"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  <c r="AA2636" s="23"/>
      <c r="AB2636" s="23"/>
      <c r="AC2636" s="23"/>
      <c r="AD2636" s="23"/>
      <c r="AE2636" s="23"/>
      <c r="AF2636" s="23"/>
      <c r="AG2636" s="23"/>
      <c r="AH2636" s="23"/>
      <c r="AI2636" s="23"/>
      <c r="AJ2636" s="23"/>
      <c r="AK2636" s="23"/>
      <c r="AL2636" s="23"/>
      <c r="AM2636" s="23"/>
      <c r="AN2636" s="23"/>
      <c r="AO2636" s="23"/>
      <c r="AP2636" s="23"/>
      <c r="AQ2636" s="23"/>
      <c r="AR2636" s="23"/>
      <c r="AS2636" s="23"/>
      <c r="AT2636" s="23"/>
      <c r="AU2636" s="23"/>
      <c r="AV2636" s="23"/>
      <c r="AW2636" s="23"/>
      <c r="AX2636" s="23"/>
      <c r="AY2636" s="23"/>
      <c r="AZ2636" s="23"/>
      <c r="BA2636" s="23"/>
      <c r="BB2636" s="23"/>
    </row>
    <row r="2637" spans="5:54" x14ac:dyDescent="0.35"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  <c r="AA2637" s="23"/>
      <c r="AB2637" s="23"/>
      <c r="AC2637" s="23"/>
      <c r="AD2637" s="23"/>
      <c r="AE2637" s="23"/>
      <c r="AF2637" s="23"/>
      <c r="AG2637" s="23"/>
      <c r="AH2637" s="23"/>
      <c r="AI2637" s="23"/>
      <c r="AJ2637" s="23"/>
      <c r="AK2637" s="23"/>
      <c r="AL2637" s="23"/>
      <c r="AM2637" s="23"/>
      <c r="AN2637" s="23"/>
      <c r="AO2637" s="23"/>
      <c r="AP2637" s="23"/>
      <c r="AQ2637" s="23"/>
      <c r="AR2637" s="23"/>
      <c r="AS2637" s="23"/>
      <c r="AT2637" s="23"/>
      <c r="AU2637" s="23"/>
      <c r="AV2637" s="23"/>
      <c r="AW2637" s="23"/>
      <c r="AX2637" s="23"/>
      <c r="AY2637" s="23"/>
      <c r="AZ2637" s="23"/>
      <c r="BA2637" s="23"/>
      <c r="BB2637" s="23"/>
    </row>
    <row r="2638" spans="5:54" x14ac:dyDescent="0.35"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  <c r="AA2638" s="23"/>
      <c r="AB2638" s="23"/>
      <c r="AC2638" s="23"/>
      <c r="AD2638" s="23"/>
      <c r="AE2638" s="23"/>
      <c r="AF2638" s="23"/>
      <c r="AG2638" s="23"/>
      <c r="AH2638" s="23"/>
      <c r="AI2638" s="23"/>
      <c r="AJ2638" s="23"/>
      <c r="AK2638" s="23"/>
      <c r="AL2638" s="23"/>
      <c r="AM2638" s="23"/>
      <c r="AN2638" s="23"/>
      <c r="AO2638" s="23"/>
      <c r="AP2638" s="23"/>
      <c r="AQ2638" s="23"/>
      <c r="AR2638" s="23"/>
      <c r="AS2638" s="23"/>
      <c r="AT2638" s="23"/>
      <c r="AU2638" s="23"/>
      <c r="AV2638" s="23"/>
      <c r="AW2638" s="23"/>
      <c r="AX2638" s="23"/>
      <c r="AY2638" s="23"/>
      <c r="AZ2638" s="23"/>
      <c r="BA2638" s="23"/>
      <c r="BB2638" s="23"/>
    </row>
    <row r="2639" spans="5:54" x14ac:dyDescent="0.35"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  <c r="AA2639" s="23"/>
      <c r="AB2639" s="23"/>
      <c r="AC2639" s="23"/>
      <c r="AD2639" s="23"/>
      <c r="AE2639" s="23"/>
      <c r="AF2639" s="23"/>
      <c r="AG2639" s="23"/>
      <c r="AH2639" s="23"/>
      <c r="AI2639" s="23"/>
      <c r="AJ2639" s="23"/>
      <c r="AK2639" s="23"/>
      <c r="AL2639" s="23"/>
      <c r="AM2639" s="23"/>
      <c r="AN2639" s="23"/>
      <c r="AO2639" s="23"/>
      <c r="AP2639" s="23"/>
      <c r="AQ2639" s="23"/>
      <c r="AR2639" s="23"/>
      <c r="AS2639" s="23"/>
      <c r="AT2639" s="23"/>
      <c r="AU2639" s="23"/>
      <c r="AV2639" s="23"/>
      <c r="AW2639" s="23"/>
      <c r="AX2639" s="23"/>
      <c r="AY2639" s="23"/>
      <c r="AZ2639" s="23"/>
      <c r="BA2639" s="23"/>
      <c r="BB2639" s="23"/>
    </row>
    <row r="2640" spans="5:54" x14ac:dyDescent="0.35"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  <c r="AA2640" s="23"/>
      <c r="AB2640" s="23"/>
      <c r="AC2640" s="23"/>
      <c r="AD2640" s="23"/>
      <c r="AE2640" s="23"/>
      <c r="AF2640" s="23"/>
      <c r="AG2640" s="23"/>
      <c r="AH2640" s="23"/>
      <c r="AI2640" s="23"/>
      <c r="AJ2640" s="23"/>
      <c r="AK2640" s="23"/>
      <c r="AL2640" s="23"/>
      <c r="AM2640" s="23"/>
      <c r="AN2640" s="23"/>
      <c r="AO2640" s="23"/>
      <c r="AP2640" s="23"/>
      <c r="AQ2640" s="23"/>
      <c r="AR2640" s="23"/>
      <c r="AS2640" s="23"/>
      <c r="AT2640" s="23"/>
      <c r="AU2640" s="23"/>
      <c r="AV2640" s="23"/>
      <c r="AW2640" s="23"/>
      <c r="AX2640" s="23"/>
      <c r="AY2640" s="23"/>
      <c r="AZ2640" s="23"/>
      <c r="BA2640" s="23"/>
      <c r="BB2640" s="23"/>
    </row>
    <row r="2641" spans="5:54" x14ac:dyDescent="0.35"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  <c r="AA2641" s="23"/>
      <c r="AB2641" s="23"/>
      <c r="AC2641" s="23"/>
      <c r="AD2641" s="23"/>
      <c r="AE2641" s="23"/>
      <c r="AF2641" s="23"/>
      <c r="AG2641" s="23"/>
      <c r="AH2641" s="23"/>
      <c r="AI2641" s="23"/>
      <c r="AJ2641" s="23"/>
      <c r="AK2641" s="23"/>
      <c r="AL2641" s="23"/>
      <c r="AM2641" s="23"/>
      <c r="AN2641" s="23"/>
      <c r="AO2641" s="23"/>
      <c r="AP2641" s="23"/>
      <c r="AQ2641" s="23"/>
      <c r="AR2641" s="23"/>
      <c r="AS2641" s="23"/>
      <c r="AT2641" s="23"/>
      <c r="AU2641" s="23"/>
      <c r="AV2641" s="23"/>
      <c r="AW2641" s="23"/>
      <c r="AX2641" s="23"/>
      <c r="AY2641" s="23"/>
      <c r="AZ2641" s="23"/>
      <c r="BA2641" s="23"/>
      <c r="BB2641" s="23"/>
    </row>
    <row r="2642" spans="5:54" x14ac:dyDescent="0.35"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  <c r="AA2642" s="23"/>
      <c r="AB2642" s="23"/>
      <c r="AC2642" s="23"/>
      <c r="AD2642" s="23"/>
      <c r="AE2642" s="23"/>
      <c r="AF2642" s="23"/>
      <c r="AG2642" s="23"/>
      <c r="AH2642" s="23"/>
      <c r="AI2642" s="23"/>
      <c r="AJ2642" s="23"/>
      <c r="AK2642" s="23"/>
      <c r="AL2642" s="23"/>
      <c r="AM2642" s="23"/>
      <c r="AN2642" s="23"/>
      <c r="AO2642" s="23"/>
      <c r="AP2642" s="23"/>
      <c r="AQ2642" s="23"/>
      <c r="AR2642" s="23"/>
      <c r="AS2642" s="23"/>
      <c r="AT2642" s="23"/>
      <c r="AU2642" s="23"/>
      <c r="AV2642" s="23"/>
      <c r="AW2642" s="23"/>
      <c r="AX2642" s="23"/>
      <c r="AY2642" s="23"/>
      <c r="AZ2642" s="23"/>
      <c r="BA2642" s="23"/>
      <c r="BB2642" s="23"/>
    </row>
    <row r="2643" spans="5:54" x14ac:dyDescent="0.35"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  <c r="AA2643" s="23"/>
      <c r="AB2643" s="23"/>
      <c r="AC2643" s="23"/>
      <c r="AD2643" s="23"/>
      <c r="AE2643" s="23"/>
      <c r="AF2643" s="23"/>
      <c r="AG2643" s="23"/>
      <c r="AH2643" s="23"/>
      <c r="AI2643" s="23"/>
      <c r="AJ2643" s="23"/>
      <c r="AK2643" s="23"/>
      <c r="AL2643" s="23"/>
      <c r="AM2643" s="23"/>
      <c r="AN2643" s="23"/>
      <c r="AO2643" s="23"/>
      <c r="AP2643" s="23"/>
      <c r="AQ2643" s="23"/>
      <c r="AR2643" s="23"/>
      <c r="AS2643" s="23"/>
      <c r="AT2643" s="23"/>
      <c r="AU2643" s="23"/>
      <c r="AV2643" s="23"/>
      <c r="AW2643" s="23"/>
      <c r="AX2643" s="23"/>
      <c r="AY2643" s="23"/>
      <c r="AZ2643" s="23"/>
      <c r="BA2643" s="23"/>
      <c r="BB2643" s="23"/>
    </row>
    <row r="2644" spans="5:54" x14ac:dyDescent="0.35"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  <c r="AA2644" s="23"/>
      <c r="AB2644" s="23"/>
      <c r="AC2644" s="23"/>
      <c r="AD2644" s="23"/>
      <c r="AE2644" s="23"/>
      <c r="AF2644" s="23"/>
      <c r="AG2644" s="23"/>
      <c r="AH2644" s="23"/>
      <c r="AI2644" s="23"/>
      <c r="AJ2644" s="23"/>
      <c r="AK2644" s="23"/>
      <c r="AL2644" s="23"/>
      <c r="AM2644" s="23"/>
      <c r="AN2644" s="23"/>
      <c r="AO2644" s="23"/>
      <c r="AP2644" s="23"/>
      <c r="AQ2644" s="23"/>
      <c r="AR2644" s="23"/>
      <c r="AS2644" s="23"/>
      <c r="AT2644" s="23"/>
      <c r="AU2644" s="23"/>
      <c r="AV2644" s="23"/>
      <c r="AW2644" s="23"/>
      <c r="AX2644" s="23"/>
      <c r="AY2644" s="23"/>
      <c r="AZ2644" s="23"/>
      <c r="BA2644" s="23"/>
      <c r="BB2644" s="23"/>
    </row>
    <row r="2645" spans="5:54" x14ac:dyDescent="0.35"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  <c r="AA2645" s="23"/>
      <c r="AB2645" s="23"/>
      <c r="AC2645" s="23"/>
      <c r="AD2645" s="23"/>
      <c r="AE2645" s="23"/>
      <c r="AF2645" s="23"/>
      <c r="AG2645" s="23"/>
      <c r="AH2645" s="23"/>
      <c r="AI2645" s="23"/>
      <c r="AJ2645" s="23"/>
      <c r="AK2645" s="23"/>
      <c r="AL2645" s="23"/>
      <c r="AM2645" s="23"/>
      <c r="AN2645" s="23"/>
      <c r="AO2645" s="23"/>
      <c r="AP2645" s="23"/>
      <c r="AQ2645" s="23"/>
      <c r="AR2645" s="23"/>
      <c r="AS2645" s="23"/>
      <c r="AT2645" s="23"/>
      <c r="AU2645" s="23"/>
      <c r="AV2645" s="23"/>
      <c r="AW2645" s="23"/>
      <c r="AX2645" s="23"/>
      <c r="AY2645" s="23"/>
      <c r="AZ2645" s="23"/>
      <c r="BA2645" s="23"/>
      <c r="BB2645" s="23"/>
    </row>
    <row r="2646" spans="5:54" x14ac:dyDescent="0.35"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  <c r="AA2646" s="23"/>
      <c r="AB2646" s="23"/>
      <c r="AC2646" s="23"/>
      <c r="AD2646" s="23"/>
      <c r="AE2646" s="23"/>
      <c r="AF2646" s="23"/>
      <c r="AG2646" s="23"/>
      <c r="AH2646" s="23"/>
      <c r="AI2646" s="23"/>
      <c r="AJ2646" s="23"/>
      <c r="AK2646" s="23"/>
      <c r="AL2646" s="23"/>
      <c r="AM2646" s="23"/>
      <c r="AN2646" s="23"/>
      <c r="AO2646" s="23"/>
      <c r="AP2646" s="23"/>
      <c r="AQ2646" s="23"/>
      <c r="AR2646" s="23"/>
      <c r="AS2646" s="23"/>
      <c r="AT2646" s="23"/>
      <c r="AU2646" s="23"/>
      <c r="AV2646" s="23"/>
      <c r="AW2646" s="23"/>
      <c r="AX2646" s="23"/>
      <c r="AY2646" s="23"/>
      <c r="AZ2646" s="23"/>
      <c r="BA2646" s="23"/>
      <c r="BB2646" s="23"/>
    </row>
    <row r="2647" spans="5:54" x14ac:dyDescent="0.35"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  <c r="AA2647" s="23"/>
      <c r="AB2647" s="23"/>
      <c r="AC2647" s="23"/>
      <c r="AD2647" s="23"/>
      <c r="AE2647" s="23"/>
      <c r="AF2647" s="23"/>
      <c r="AG2647" s="23"/>
      <c r="AH2647" s="23"/>
      <c r="AI2647" s="23"/>
      <c r="AJ2647" s="23"/>
      <c r="AK2647" s="23"/>
      <c r="AL2647" s="23"/>
      <c r="AM2647" s="23"/>
      <c r="AN2647" s="23"/>
      <c r="AO2647" s="23"/>
      <c r="AP2647" s="23"/>
      <c r="AQ2647" s="23"/>
      <c r="AR2647" s="23"/>
      <c r="AS2647" s="23"/>
      <c r="AT2647" s="23"/>
      <c r="AU2647" s="23"/>
      <c r="AV2647" s="23"/>
      <c r="AW2647" s="23"/>
      <c r="AX2647" s="23"/>
      <c r="AY2647" s="23"/>
      <c r="AZ2647" s="23"/>
      <c r="BA2647" s="23"/>
      <c r="BB2647" s="23"/>
    </row>
    <row r="2648" spans="5:54" x14ac:dyDescent="0.35"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  <c r="AA2648" s="23"/>
      <c r="AB2648" s="23"/>
      <c r="AC2648" s="23"/>
      <c r="AD2648" s="23"/>
      <c r="AE2648" s="23"/>
      <c r="AF2648" s="23"/>
      <c r="AG2648" s="23"/>
      <c r="AH2648" s="23"/>
      <c r="AI2648" s="23"/>
      <c r="AJ2648" s="23"/>
      <c r="AK2648" s="23"/>
      <c r="AL2648" s="23"/>
      <c r="AM2648" s="23"/>
      <c r="AN2648" s="23"/>
      <c r="AO2648" s="23"/>
      <c r="AP2648" s="23"/>
      <c r="AQ2648" s="23"/>
      <c r="AR2648" s="23"/>
      <c r="AS2648" s="23"/>
      <c r="AT2648" s="23"/>
      <c r="AU2648" s="23"/>
      <c r="AV2648" s="23"/>
      <c r="AW2648" s="23"/>
      <c r="AX2648" s="23"/>
      <c r="AY2648" s="23"/>
      <c r="AZ2648" s="23"/>
      <c r="BA2648" s="23"/>
      <c r="BB2648" s="23"/>
    </row>
    <row r="2649" spans="5:54" x14ac:dyDescent="0.35"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  <c r="AA2649" s="23"/>
      <c r="AB2649" s="23"/>
      <c r="AC2649" s="23"/>
      <c r="AD2649" s="23"/>
      <c r="AE2649" s="23"/>
      <c r="AF2649" s="23"/>
      <c r="AG2649" s="23"/>
      <c r="AH2649" s="23"/>
      <c r="AI2649" s="23"/>
      <c r="AJ2649" s="23"/>
      <c r="AK2649" s="23"/>
      <c r="AL2649" s="23"/>
      <c r="AM2649" s="23"/>
      <c r="AN2649" s="23"/>
      <c r="AO2649" s="23"/>
      <c r="AP2649" s="23"/>
      <c r="AQ2649" s="23"/>
      <c r="AR2649" s="23"/>
      <c r="AS2649" s="23"/>
      <c r="AT2649" s="23"/>
      <c r="AU2649" s="23"/>
      <c r="AV2649" s="23"/>
      <c r="AW2649" s="23"/>
      <c r="AX2649" s="23"/>
      <c r="AY2649" s="23"/>
      <c r="AZ2649" s="23"/>
      <c r="BA2649" s="23"/>
      <c r="BB2649" s="23"/>
    </row>
    <row r="2650" spans="5:54" x14ac:dyDescent="0.35"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  <c r="AA2650" s="23"/>
      <c r="AB2650" s="23"/>
      <c r="AC2650" s="23"/>
      <c r="AD2650" s="23"/>
      <c r="AE2650" s="23"/>
      <c r="AF2650" s="23"/>
      <c r="AG2650" s="23"/>
      <c r="AH2650" s="23"/>
      <c r="AI2650" s="23"/>
      <c r="AJ2650" s="23"/>
      <c r="AK2650" s="23"/>
      <c r="AL2650" s="23"/>
      <c r="AM2650" s="23"/>
      <c r="AN2650" s="23"/>
      <c r="AO2650" s="23"/>
      <c r="AP2650" s="23"/>
      <c r="AQ2650" s="23"/>
      <c r="AR2650" s="23"/>
      <c r="AS2650" s="23"/>
      <c r="AT2650" s="23"/>
      <c r="AU2650" s="23"/>
      <c r="AV2650" s="23"/>
      <c r="AW2650" s="23"/>
      <c r="AX2650" s="23"/>
      <c r="AY2650" s="23"/>
      <c r="AZ2650" s="23"/>
      <c r="BA2650" s="23"/>
      <c r="BB2650" s="23"/>
    </row>
    <row r="2651" spans="5:54" x14ac:dyDescent="0.35"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  <c r="AA2651" s="23"/>
      <c r="AB2651" s="23"/>
      <c r="AC2651" s="23"/>
      <c r="AD2651" s="23"/>
      <c r="AE2651" s="23"/>
      <c r="AF2651" s="23"/>
      <c r="AG2651" s="23"/>
      <c r="AH2651" s="23"/>
      <c r="AI2651" s="23"/>
      <c r="AJ2651" s="23"/>
      <c r="AK2651" s="23"/>
      <c r="AL2651" s="23"/>
      <c r="AM2651" s="23"/>
      <c r="AN2651" s="23"/>
      <c r="AO2651" s="23"/>
      <c r="AP2651" s="23"/>
      <c r="AQ2651" s="23"/>
      <c r="AR2651" s="23"/>
      <c r="AS2651" s="23"/>
      <c r="AT2651" s="23"/>
      <c r="AU2651" s="23"/>
      <c r="AV2651" s="23"/>
      <c r="AW2651" s="23"/>
      <c r="AX2651" s="23"/>
      <c r="AY2651" s="23"/>
      <c r="AZ2651" s="23"/>
      <c r="BA2651" s="23"/>
      <c r="BB2651" s="23"/>
    </row>
    <row r="2652" spans="5:54" x14ac:dyDescent="0.35"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  <c r="AA2652" s="23"/>
      <c r="AB2652" s="23"/>
      <c r="AC2652" s="23"/>
      <c r="AD2652" s="23"/>
      <c r="AE2652" s="23"/>
      <c r="AF2652" s="23"/>
      <c r="AG2652" s="23"/>
      <c r="AH2652" s="23"/>
      <c r="AI2652" s="23"/>
      <c r="AJ2652" s="23"/>
      <c r="AK2652" s="23"/>
      <c r="AL2652" s="23"/>
      <c r="AM2652" s="23"/>
      <c r="AN2652" s="23"/>
      <c r="AO2652" s="23"/>
      <c r="AP2652" s="23"/>
      <c r="AQ2652" s="23"/>
      <c r="AR2652" s="23"/>
      <c r="AS2652" s="23"/>
      <c r="AT2652" s="23"/>
      <c r="AU2652" s="23"/>
      <c r="AV2652" s="23"/>
      <c r="AW2652" s="23"/>
      <c r="AX2652" s="23"/>
      <c r="AY2652" s="23"/>
      <c r="AZ2652" s="23"/>
      <c r="BA2652" s="23"/>
      <c r="BB2652" s="23"/>
    </row>
    <row r="2653" spans="5:54" x14ac:dyDescent="0.35"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  <c r="AA2653" s="23"/>
      <c r="AB2653" s="23"/>
      <c r="AC2653" s="23"/>
      <c r="AD2653" s="23"/>
      <c r="AE2653" s="23"/>
      <c r="AF2653" s="23"/>
      <c r="AG2653" s="23"/>
      <c r="AH2653" s="23"/>
      <c r="AI2653" s="23"/>
      <c r="AJ2653" s="23"/>
      <c r="AK2653" s="23"/>
      <c r="AL2653" s="23"/>
      <c r="AM2653" s="23"/>
      <c r="AN2653" s="23"/>
      <c r="AO2653" s="23"/>
      <c r="AP2653" s="23"/>
      <c r="AQ2653" s="23"/>
      <c r="AR2653" s="23"/>
      <c r="AS2653" s="23"/>
      <c r="AT2653" s="23"/>
      <c r="AU2653" s="23"/>
      <c r="AV2653" s="23"/>
      <c r="AW2653" s="23"/>
      <c r="AX2653" s="23"/>
      <c r="AY2653" s="23"/>
      <c r="AZ2653" s="23"/>
      <c r="BA2653" s="23"/>
      <c r="BB2653" s="23"/>
    </row>
    <row r="2654" spans="5:54" x14ac:dyDescent="0.35"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  <c r="AA2654" s="23"/>
      <c r="AB2654" s="23"/>
      <c r="AC2654" s="23"/>
      <c r="AD2654" s="23"/>
      <c r="AE2654" s="23"/>
      <c r="AF2654" s="23"/>
      <c r="AG2654" s="23"/>
      <c r="AH2654" s="23"/>
      <c r="AI2654" s="23"/>
      <c r="AJ2654" s="23"/>
      <c r="AK2654" s="23"/>
      <c r="AL2654" s="23"/>
      <c r="AM2654" s="23"/>
      <c r="AN2654" s="23"/>
      <c r="AO2654" s="23"/>
      <c r="AP2654" s="23"/>
      <c r="AQ2654" s="23"/>
      <c r="AR2654" s="23"/>
      <c r="AS2654" s="23"/>
      <c r="AT2654" s="23"/>
      <c r="AU2654" s="23"/>
      <c r="AV2654" s="23"/>
      <c r="AW2654" s="23"/>
      <c r="AX2654" s="23"/>
      <c r="AY2654" s="23"/>
      <c r="AZ2654" s="23"/>
      <c r="BA2654" s="23"/>
      <c r="BB2654" s="23"/>
    </row>
    <row r="2655" spans="5:54" x14ac:dyDescent="0.35"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  <c r="AA2655" s="23"/>
      <c r="AB2655" s="23"/>
      <c r="AC2655" s="23"/>
      <c r="AD2655" s="23"/>
      <c r="AE2655" s="23"/>
      <c r="AF2655" s="23"/>
      <c r="AG2655" s="23"/>
      <c r="AH2655" s="23"/>
      <c r="AI2655" s="23"/>
      <c r="AJ2655" s="23"/>
      <c r="AK2655" s="23"/>
      <c r="AL2655" s="23"/>
      <c r="AM2655" s="23"/>
      <c r="AN2655" s="23"/>
      <c r="AO2655" s="23"/>
      <c r="AP2655" s="23"/>
      <c r="AQ2655" s="23"/>
      <c r="AR2655" s="23"/>
      <c r="AS2655" s="23"/>
      <c r="AT2655" s="23"/>
      <c r="AU2655" s="23"/>
      <c r="AV2655" s="23"/>
      <c r="AW2655" s="23"/>
      <c r="AX2655" s="23"/>
      <c r="AY2655" s="23"/>
      <c r="AZ2655" s="23"/>
      <c r="BA2655" s="23"/>
      <c r="BB2655" s="23"/>
    </row>
    <row r="2656" spans="5:54" x14ac:dyDescent="0.35"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  <c r="AA2656" s="23"/>
      <c r="AB2656" s="23"/>
      <c r="AC2656" s="23"/>
      <c r="AD2656" s="23"/>
      <c r="AE2656" s="23"/>
      <c r="AF2656" s="23"/>
      <c r="AG2656" s="23"/>
      <c r="AH2656" s="23"/>
      <c r="AI2656" s="23"/>
      <c r="AJ2656" s="23"/>
      <c r="AK2656" s="23"/>
      <c r="AL2656" s="23"/>
      <c r="AM2656" s="23"/>
      <c r="AN2656" s="23"/>
      <c r="AO2656" s="23"/>
      <c r="AP2656" s="23"/>
      <c r="AQ2656" s="23"/>
      <c r="AR2656" s="23"/>
      <c r="AS2656" s="23"/>
      <c r="AT2656" s="23"/>
      <c r="AU2656" s="23"/>
      <c r="AV2656" s="23"/>
      <c r="AW2656" s="23"/>
      <c r="AX2656" s="23"/>
      <c r="AY2656" s="23"/>
      <c r="AZ2656" s="23"/>
      <c r="BA2656" s="23"/>
      <c r="BB2656" s="23"/>
    </row>
    <row r="2657" spans="5:54" x14ac:dyDescent="0.35"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  <c r="AA2657" s="23"/>
      <c r="AB2657" s="23"/>
      <c r="AC2657" s="23"/>
      <c r="AD2657" s="23"/>
      <c r="AE2657" s="23"/>
      <c r="AF2657" s="23"/>
      <c r="AG2657" s="23"/>
      <c r="AH2657" s="23"/>
      <c r="AI2657" s="23"/>
      <c r="AJ2657" s="23"/>
      <c r="AK2657" s="23"/>
      <c r="AL2657" s="23"/>
      <c r="AM2657" s="23"/>
      <c r="AN2657" s="23"/>
      <c r="AO2657" s="23"/>
      <c r="AP2657" s="23"/>
      <c r="AQ2657" s="23"/>
      <c r="AR2657" s="23"/>
      <c r="AS2657" s="23"/>
      <c r="AT2657" s="23"/>
      <c r="AU2657" s="23"/>
      <c r="AV2657" s="23"/>
      <c r="AW2657" s="23"/>
      <c r="AX2657" s="23"/>
      <c r="AY2657" s="23"/>
      <c r="AZ2657" s="23"/>
      <c r="BA2657" s="23"/>
      <c r="BB2657" s="23"/>
    </row>
    <row r="2658" spans="5:54" x14ac:dyDescent="0.35"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  <c r="AA2658" s="23"/>
      <c r="AB2658" s="23"/>
      <c r="AC2658" s="23"/>
      <c r="AD2658" s="23"/>
      <c r="AE2658" s="23"/>
      <c r="AF2658" s="23"/>
      <c r="AG2658" s="23"/>
      <c r="AH2658" s="23"/>
      <c r="AI2658" s="23"/>
      <c r="AJ2658" s="23"/>
      <c r="AK2658" s="23"/>
      <c r="AL2658" s="23"/>
      <c r="AM2658" s="23"/>
      <c r="AN2658" s="23"/>
      <c r="AO2658" s="23"/>
      <c r="AP2658" s="23"/>
      <c r="AQ2658" s="23"/>
      <c r="AR2658" s="23"/>
      <c r="AS2658" s="23"/>
      <c r="AT2658" s="23"/>
      <c r="AU2658" s="23"/>
      <c r="AV2658" s="23"/>
      <c r="AW2658" s="23"/>
      <c r="AX2658" s="23"/>
      <c r="AY2658" s="23"/>
      <c r="AZ2658" s="23"/>
      <c r="BA2658" s="23"/>
      <c r="BB2658" s="23"/>
    </row>
    <row r="2659" spans="5:54" x14ac:dyDescent="0.35"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  <c r="AA2659" s="23"/>
      <c r="AB2659" s="23"/>
      <c r="AC2659" s="23"/>
      <c r="AD2659" s="23"/>
      <c r="AE2659" s="23"/>
      <c r="AF2659" s="23"/>
      <c r="AG2659" s="23"/>
      <c r="AH2659" s="23"/>
      <c r="AI2659" s="23"/>
      <c r="AJ2659" s="23"/>
      <c r="AK2659" s="23"/>
      <c r="AL2659" s="23"/>
      <c r="AM2659" s="23"/>
      <c r="AN2659" s="23"/>
      <c r="AO2659" s="23"/>
      <c r="AP2659" s="23"/>
      <c r="AQ2659" s="23"/>
      <c r="AR2659" s="23"/>
      <c r="AS2659" s="23"/>
      <c r="AT2659" s="23"/>
      <c r="AU2659" s="23"/>
      <c r="AV2659" s="23"/>
      <c r="AW2659" s="23"/>
      <c r="AX2659" s="23"/>
      <c r="AY2659" s="23"/>
      <c r="AZ2659" s="23"/>
      <c r="BA2659" s="23"/>
      <c r="BB2659" s="23"/>
    </row>
    <row r="2660" spans="5:54" x14ac:dyDescent="0.35"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  <c r="AA2660" s="23"/>
      <c r="AB2660" s="23"/>
      <c r="AC2660" s="23"/>
      <c r="AD2660" s="23"/>
      <c r="AE2660" s="23"/>
      <c r="AF2660" s="23"/>
      <c r="AG2660" s="23"/>
      <c r="AH2660" s="23"/>
      <c r="AI2660" s="23"/>
      <c r="AJ2660" s="23"/>
      <c r="AK2660" s="23"/>
      <c r="AL2660" s="23"/>
      <c r="AM2660" s="23"/>
      <c r="AN2660" s="23"/>
      <c r="AO2660" s="23"/>
      <c r="AP2660" s="23"/>
      <c r="AQ2660" s="23"/>
      <c r="AR2660" s="23"/>
      <c r="AS2660" s="23"/>
      <c r="AT2660" s="23"/>
      <c r="AU2660" s="23"/>
      <c r="AV2660" s="23"/>
      <c r="AW2660" s="23"/>
      <c r="AX2660" s="23"/>
      <c r="AY2660" s="23"/>
      <c r="AZ2660" s="23"/>
      <c r="BA2660" s="23"/>
      <c r="BB2660" s="23"/>
    </row>
    <row r="2661" spans="5:54" x14ac:dyDescent="0.35"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  <c r="AA2661" s="23"/>
      <c r="AB2661" s="23"/>
      <c r="AC2661" s="23"/>
      <c r="AD2661" s="23"/>
      <c r="AE2661" s="23"/>
      <c r="AF2661" s="23"/>
      <c r="AG2661" s="23"/>
      <c r="AH2661" s="23"/>
      <c r="AI2661" s="23"/>
      <c r="AJ2661" s="23"/>
      <c r="AK2661" s="23"/>
      <c r="AL2661" s="23"/>
      <c r="AM2661" s="23"/>
      <c r="AN2661" s="23"/>
      <c r="AO2661" s="23"/>
      <c r="AP2661" s="23"/>
      <c r="AQ2661" s="23"/>
      <c r="AR2661" s="23"/>
      <c r="AS2661" s="23"/>
      <c r="AT2661" s="23"/>
      <c r="AU2661" s="23"/>
      <c r="AV2661" s="23"/>
      <c r="AW2661" s="23"/>
      <c r="AX2661" s="23"/>
      <c r="AY2661" s="23"/>
      <c r="AZ2661" s="23"/>
      <c r="BA2661" s="23"/>
      <c r="BB2661" s="23"/>
    </row>
    <row r="2662" spans="5:54" x14ac:dyDescent="0.35"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  <c r="AA2662" s="23"/>
      <c r="AB2662" s="23"/>
      <c r="AC2662" s="23"/>
      <c r="AD2662" s="23"/>
      <c r="AE2662" s="23"/>
      <c r="AF2662" s="23"/>
      <c r="AG2662" s="23"/>
      <c r="AH2662" s="23"/>
      <c r="AI2662" s="23"/>
      <c r="AJ2662" s="23"/>
      <c r="AK2662" s="23"/>
      <c r="AL2662" s="23"/>
      <c r="AM2662" s="23"/>
      <c r="AN2662" s="23"/>
      <c r="AO2662" s="23"/>
      <c r="AP2662" s="23"/>
      <c r="AQ2662" s="23"/>
      <c r="AR2662" s="23"/>
      <c r="AS2662" s="23"/>
      <c r="AT2662" s="23"/>
      <c r="AU2662" s="23"/>
      <c r="AV2662" s="23"/>
      <c r="AW2662" s="23"/>
      <c r="AX2662" s="23"/>
      <c r="AY2662" s="23"/>
      <c r="AZ2662" s="23"/>
      <c r="BA2662" s="23"/>
      <c r="BB2662" s="23"/>
    </row>
    <row r="2663" spans="5:54" x14ac:dyDescent="0.35"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  <c r="AA2663" s="23"/>
      <c r="AB2663" s="23"/>
      <c r="AC2663" s="23"/>
      <c r="AD2663" s="23"/>
      <c r="AE2663" s="23"/>
      <c r="AF2663" s="23"/>
      <c r="AG2663" s="23"/>
      <c r="AH2663" s="23"/>
      <c r="AI2663" s="23"/>
      <c r="AJ2663" s="23"/>
      <c r="AK2663" s="23"/>
      <c r="AL2663" s="23"/>
      <c r="AM2663" s="23"/>
      <c r="AN2663" s="23"/>
      <c r="AO2663" s="23"/>
      <c r="AP2663" s="23"/>
      <c r="AQ2663" s="23"/>
      <c r="AR2663" s="23"/>
      <c r="AS2663" s="23"/>
      <c r="AT2663" s="23"/>
      <c r="AU2663" s="23"/>
      <c r="AV2663" s="23"/>
      <c r="AW2663" s="23"/>
      <c r="AX2663" s="23"/>
      <c r="AY2663" s="23"/>
      <c r="AZ2663" s="23"/>
      <c r="BA2663" s="23"/>
      <c r="BB2663" s="23"/>
    </row>
    <row r="2664" spans="5:54" x14ac:dyDescent="0.35"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  <c r="AA2664" s="23"/>
      <c r="AB2664" s="23"/>
      <c r="AC2664" s="23"/>
      <c r="AD2664" s="23"/>
      <c r="AE2664" s="23"/>
      <c r="AF2664" s="23"/>
      <c r="AG2664" s="23"/>
      <c r="AH2664" s="23"/>
      <c r="AI2664" s="23"/>
      <c r="AJ2664" s="23"/>
      <c r="AK2664" s="23"/>
      <c r="AL2664" s="23"/>
      <c r="AM2664" s="23"/>
      <c r="AN2664" s="23"/>
      <c r="AO2664" s="23"/>
      <c r="AP2664" s="23"/>
      <c r="AQ2664" s="23"/>
      <c r="AR2664" s="23"/>
      <c r="AS2664" s="23"/>
      <c r="AT2664" s="23"/>
      <c r="AU2664" s="23"/>
      <c r="AV2664" s="23"/>
      <c r="AW2664" s="23"/>
      <c r="AX2664" s="23"/>
      <c r="AY2664" s="23"/>
      <c r="AZ2664" s="23"/>
      <c r="BA2664" s="23"/>
      <c r="BB2664" s="23"/>
    </row>
    <row r="2665" spans="5:54" x14ac:dyDescent="0.35"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  <c r="AA2665" s="23"/>
      <c r="AB2665" s="23"/>
      <c r="AC2665" s="23"/>
      <c r="AD2665" s="23"/>
      <c r="AE2665" s="23"/>
      <c r="AF2665" s="23"/>
      <c r="AG2665" s="23"/>
      <c r="AH2665" s="23"/>
      <c r="AI2665" s="23"/>
      <c r="AJ2665" s="23"/>
      <c r="AK2665" s="23"/>
      <c r="AL2665" s="23"/>
      <c r="AM2665" s="23"/>
      <c r="AN2665" s="23"/>
      <c r="AO2665" s="23"/>
      <c r="AP2665" s="23"/>
      <c r="AQ2665" s="23"/>
      <c r="AR2665" s="23"/>
      <c r="AS2665" s="23"/>
      <c r="AT2665" s="23"/>
      <c r="AU2665" s="23"/>
      <c r="AV2665" s="23"/>
      <c r="AW2665" s="23"/>
      <c r="AX2665" s="23"/>
      <c r="AY2665" s="23"/>
      <c r="AZ2665" s="23"/>
      <c r="BA2665" s="23"/>
      <c r="BB2665" s="23"/>
    </row>
    <row r="2666" spans="5:54" x14ac:dyDescent="0.35"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  <c r="AA2666" s="23"/>
      <c r="AB2666" s="23"/>
      <c r="AC2666" s="23"/>
      <c r="AD2666" s="23"/>
      <c r="AE2666" s="23"/>
      <c r="AF2666" s="23"/>
      <c r="AG2666" s="23"/>
      <c r="AH2666" s="23"/>
      <c r="AI2666" s="23"/>
      <c r="AJ2666" s="23"/>
      <c r="AK2666" s="23"/>
      <c r="AL2666" s="23"/>
      <c r="AM2666" s="23"/>
      <c r="AN2666" s="23"/>
      <c r="AO2666" s="23"/>
      <c r="AP2666" s="23"/>
      <c r="AQ2666" s="23"/>
      <c r="AR2666" s="23"/>
      <c r="AS2666" s="23"/>
      <c r="AT2666" s="23"/>
      <c r="AU2666" s="23"/>
      <c r="AV2666" s="23"/>
      <c r="AW2666" s="23"/>
      <c r="AX2666" s="23"/>
      <c r="AY2666" s="23"/>
      <c r="AZ2666" s="23"/>
      <c r="BA2666" s="23"/>
      <c r="BB2666" s="23"/>
    </row>
    <row r="2667" spans="5:54" x14ac:dyDescent="0.35"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  <c r="AA2667" s="23"/>
      <c r="AB2667" s="23"/>
      <c r="AC2667" s="23"/>
      <c r="AD2667" s="23"/>
      <c r="AE2667" s="23"/>
      <c r="AF2667" s="23"/>
      <c r="AG2667" s="23"/>
      <c r="AH2667" s="23"/>
      <c r="AI2667" s="23"/>
      <c r="AJ2667" s="23"/>
      <c r="AK2667" s="23"/>
      <c r="AL2667" s="23"/>
      <c r="AM2667" s="23"/>
      <c r="AN2667" s="23"/>
      <c r="AO2667" s="23"/>
      <c r="AP2667" s="23"/>
      <c r="AQ2667" s="23"/>
      <c r="AR2667" s="23"/>
      <c r="AS2667" s="23"/>
      <c r="AT2667" s="23"/>
      <c r="AU2667" s="23"/>
      <c r="AV2667" s="23"/>
      <c r="AW2667" s="23"/>
      <c r="AX2667" s="23"/>
      <c r="AY2667" s="23"/>
      <c r="AZ2667" s="23"/>
      <c r="BA2667" s="23"/>
      <c r="BB2667" s="23"/>
    </row>
    <row r="2668" spans="5:54" x14ac:dyDescent="0.35"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  <c r="AA2668" s="23"/>
      <c r="AB2668" s="23"/>
      <c r="AC2668" s="23"/>
      <c r="AD2668" s="23"/>
      <c r="AE2668" s="23"/>
      <c r="AF2668" s="23"/>
      <c r="AG2668" s="23"/>
      <c r="AH2668" s="23"/>
      <c r="AI2668" s="23"/>
      <c r="AJ2668" s="23"/>
      <c r="AK2668" s="23"/>
      <c r="AL2668" s="23"/>
      <c r="AM2668" s="23"/>
      <c r="AN2668" s="23"/>
      <c r="AO2668" s="23"/>
      <c r="AP2668" s="23"/>
      <c r="AQ2668" s="23"/>
      <c r="AR2668" s="23"/>
      <c r="AS2668" s="23"/>
      <c r="AT2668" s="23"/>
      <c r="AU2668" s="23"/>
      <c r="AV2668" s="23"/>
      <c r="AW2668" s="23"/>
      <c r="AX2668" s="23"/>
      <c r="AY2668" s="23"/>
      <c r="AZ2668" s="23"/>
      <c r="BA2668" s="23"/>
      <c r="BB2668" s="23"/>
    </row>
    <row r="2669" spans="5:54" x14ac:dyDescent="0.35"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  <c r="AA2669" s="23"/>
      <c r="AB2669" s="23"/>
      <c r="AC2669" s="23"/>
      <c r="AD2669" s="23"/>
      <c r="AE2669" s="23"/>
      <c r="AF2669" s="23"/>
      <c r="AG2669" s="23"/>
      <c r="AH2669" s="23"/>
      <c r="AI2669" s="23"/>
      <c r="AJ2669" s="23"/>
      <c r="AK2669" s="23"/>
      <c r="AL2669" s="23"/>
      <c r="AM2669" s="23"/>
      <c r="AN2669" s="23"/>
      <c r="AO2669" s="23"/>
      <c r="AP2669" s="23"/>
      <c r="AQ2669" s="23"/>
      <c r="AR2669" s="23"/>
      <c r="AS2669" s="23"/>
      <c r="AT2669" s="23"/>
      <c r="AU2669" s="23"/>
      <c r="AV2669" s="23"/>
      <c r="AW2669" s="23"/>
      <c r="AX2669" s="23"/>
      <c r="AY2669" s="23"/>
      <c r="AZ2669" s="23"/>
      <c r="BA2669" s="23"/>
      <c r="BB2669" s="23"/>
    </row>
    <row r="2670" spans="5:54" x14ac:dyDescent="0.35"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  <c r="AA2670" s="23"/>
      <c r="AB2670" s="23"/>
      <c r="AC2670" s="23"/>
      <c r="AD2670" s="23"/>
      <c r="AE2670" s="23"/>
      <c r="AF2670" s="23"/>
      <c r="AG2670" s="23"/>
      <c r="AH2670" s="23"/>
      <c r="AI2670" s="23"/>
      <c r="AJ2670" s="23"/>
      <c r="AK2670" s="23"/>
      <c r="AL2670" s="23"/>
      <c r="AM2670" s="23"/>
      <c r="AN2670" s="23"/>
      <c r="AO2670" s="23"/>
      <c r="AP2670" s="23"/>
      <c r="AQ2670" s="23"/>
      <c r="AR2670" s="23"/>
      <c r="AS2670" s="23"/>
      <c r="AT2670" s="23"/>
      <c r="AU2670" s="23"/>
      <c r="AV2670" s="23"/>
      <c r="AW2670" s="23"/>
      <c r="AX2670" s="23"/>
      <c r="AY2670" s="23"/>
      <c r="AZ2670" s="23"/>
      <c r="BA2670" s="23"/>
      <c r="BB2670" s="23"/>
    </row>
    <row r="2671" spans="5:54" x14ac:dyDescent="0.35"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  <c r="AA2671" s="23"/>
      <c r="AB2671" s="23"/>
      <c r="AC2671" s="23"/>
      <c r="AD2671" s="23"/>
      <c r="AE2671" s="23"/>
      <c r="AF2671" s="23"/>
      <c r="AG2671" s="23"/>
      <c r="AH2671" s="23"/>
      <c r="AI2671" s="23"/>
      <c r="AJ2671" s="23"/>
      <c r="AK2671" s="23"/>
      <c r="AL2671" s="23"/>
      <c r="AM2671" s="23"/>
      <c r="AN2671" s="23"/>
      <c r="AO2671" s="23"/>
      <c r="AP2671" s="23"/>
      <c r="AQ2671" s="23"/>
      <c r="AR2671" s="23"/>
      <c r="AS2671" s="23"/>
      <c r="AT2671" s="23"/>
      <c r="AU2671" s="23"/>
      <c r="AV2671" s="23"/>
      <c r="AW2671" s="23"/>
      <c r="AX2671" s="23"/>
      <c r="AY2671" s="23"/>
      <c r="AZ2671" s="23"/>
      <c r="BA2671" s="23"/>
      <c r="BB2671" s="23"/>
    </row>
    <row r="2672" spans="5:54" x14ac:dyDescent="0.35"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  <c r="AA2672" s="23"/>
      <c r="AB2672" s="23"/>
      <c r="AC2672" s="23"/>
      <c r="AD2672" s="23"/>
      <c r="AE2672" s="23"/>
      <c r="AF2672" s="23"/>
      <c r="AG2672" s="23"/>
      <c r="AH2672" s="23"/>
      <c r="AI2672" s="23"/>
      <c r="AJ2672" s="23"/>
      <c r="AK2672" s="23"/>
      <c r="AL2672" s="23"/>
      <c r="AM2672" s="23"/>
      <c r="AN2672" s="23"/>
      <c r="AO2672" s="23"/>
      <c r="AP2672" s="23"/>
      <c r="AQ2672" s="23"/>
      <c r="AR2672" s="23"/>
      <c r="AS2672" s="23"/>
      <c r="AT2672" s="23"/>
      <c r="AU2672" s="23"/>
      <c r="AV2672" s="23"/>
      <c r="AW2672" s="23"/>
      <c r="AX2672" s="23"/>
      <c r="AY2672" s="23"/>
      <c r="AZ2672" s="23"/>
      <c r="BA2672" s="23"/>
      <c r="BB2672" s="23"/>
    </row>
    <row r="2673" spans="5:54" x14ac:dyDescent="0.35"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  <c r="AA2673" s="23"/>
      <c r="AB2673" s="23"/>
      <c r="AC2673" s="23"/>
      <c r="AD2673" s="23"/>
      <c r="AE2673" s="23"/>
      <c r="AF2673" s="23"/>
      <c r="AG2673" s="23"/>
      <c r="AH2673" s="23"/>
      <c r="AI2673" s="23"/>
      <c r="AJ2673" s="23"/>
      <c r="AK2673" s="23"/>
      <c r="AL2673" s="23"/>
      <c r="AM2673" s="23"/>
      <c r="AN2673" s="23"/>
      <c r="AO2673" s="23"/>
      <c r="AP2673" s="23"/>
      <c r="AQ2673" s="23"/>
      <c r="AR2673" s="23"/>
      <c r="AS2673" s="23"/>
      <c r="AT2673" s="23"/>
      <c r="AU2673" s="23"/>
      <c r="AV2673" s="23"/>
      <c r="AW2673" s="23"/>
      <c r="AX2673" s="23"/>
      <c r="AY2673" s="23"/>
      <c r="AZ2673" s="23"/>
      <c r="BA2673" s="23"/>
      <c r="BB2673" s="23"/>
    </row>
    <row r="2674" spans="5:54" x14ac:dyDescent="0.35"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  <c r="AA2674" s="23"/>
      <c r="AB2674" s="23"/>
      <c r="AC2674" s="23"/>
      <c r="AD2674" s="23"/>
      <c r="AE2674" s="23"/>
      <c r="AF2674" s="23"/>
      <c r="AG2674" s="23"/>
      <c r="AH2674" s="23"/>
      <c r="AI2674" s="23"/>
      <c r="AJ2674" s="23"/>
      <c r="AK2674" s="23"/>
      <c r="AL2674" s="23"/>
      <c r="AM2674" s="23"/>
      <c r="AN2674" s="23"/>
      <c r="AO2674" s="23"/>
      <c r="AP2674" s="23"/>
      <c r="AQ2674" s="23"/>
      <c r="AR2674" s="23"/>
      <c r="AS2674" s="23"/>
      <c r="AT2674" s="23"/>
      <c r="AU2674" s="23"/>
      <c r="AV2674" s="23"/>
      <c r="AW2674" s="23"/>
      <c r="AX2674" s="23"/>
      <c r="AY2674" s="23"/>
      <c r="AZ2674" s="23"/>
      <c r="BA2674" s="23"/>
      <c r="BB2674" s="23"/>
    </row>
    <row r="2675" spans="5:54" x14ac:dyDescent="0.35"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  <c r="AA2675" s="23"/>
      <c r="AB2675" s="23"/>
      <c r="AC2675" s="23"/>
      <c r="AD2675" s="23"/>
      <c r="AE2675" s="23"/>
      <c r="AF2675" s="23"/>
      <c r="AG2675" s="23"/>
      <c r="AH2675" s="23"/>
      <c r="AI2675" s="23"/>
      <c r="AJ2675" s="23"/>
      <c r="AK2675" s="23"/>
      <c r="AL2675" s="23"/>
      <c r="AM2675" s="23"/>
      <c r="AN2675" s="23"/>
      <c r="AO2675" s="23"/>
      <c r="AP2675" s="23"/>
      <c r="AQ2675" s="23"/>
      <c r="AR2675" s="23"/>
      <c r="AS2675" s="23"/>
      <c r="AT2675" s="23"/>
      <c r="AU2675" s="23"/>
      <c r="AV2675" s="23"/>
      <c r="AW2675" s="23"/>
      <c r="AX2675" s="23"/>
      <c r="AY2675" s="23"/>
      <c r="AZ2675" s="23"/>
      <c r="BA2675" s="23"/>
      <c r="BB2675" s="23"/>
    </row>
    <row r="2676" spans="5:54" x14ac:dyDescent="0.35"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  <c r="AA2676" s="23"/>
      <c r="AB2676" s="23"/>
      <c r="AC2676" s="23"/>
      <c r="AD2676" s="23"/>
      <c r="AE2676" s="23"/>
      <c r="AF2676" s="23"/>
      <c r="AG2676" s="23"/>
      <c r="AH2676" s="23"/>
      <c r="AI2676" s="23"/>
      <c r="AJ2676" s="23"/>
      <c r="AK2676" s="23"/>
      <c r="AL2676" s="23"/>
      <c r="AM2676" s="23"/>
      <c r="AN2676" s="23"/>
      <c r="AO2676" s="23"/>
      <c r="AP2676" s="23"/>
      <c r="AQ2676" s="23"/>
      <c r="AR2676" s="23"/>
      <c r="AS2676" s="23"/>
      <c r="AT2676" s="23"/>
      <c r="AU2676" s="23"/>
      <c r="AV2676" s="23"/>
      <c r="AW2676" s="23"/>
      <c r="AX2676" s="23"/>
      <c r="AY2676" s="23"/>
      <c r="AZ2676" s="23"/>
      <c r="BA2676" s="23"/>
      <c r="BB2676" s="23"/>
    </row>
    <row r="2677" spans="5:54" x14ac:dyDescent="0.35"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  <c r="AA2677" s="23"/>
      <c r="AB2677" s="23"/>
      <c r="AC2677" s="23"/>
      <c r="AD2677" s="23"/>
      <c r="AE2677" s="23"/>
      <c r="AF2677" s="23"/>
      <c r="AG2677" s="23"/>
      <c r="AH2677" s="23"/>
      <c r="AI2677" s="23"/>
      <c r="AJ2677" s="23"/>
      <c r="AK2677" s="23"/>
      <c r="AL2677" s="23"/>
      <c r="AM2677" s="23"/>
      <c r="AN2677" s="23"/>
      <c r="AO2677" s="23"/>
      <c r="AP2677" s="23"/>
      <c r="AQ2677" s="23"/>
      <c r="AR2677" s="23"/>
      <c r="AS2677" s="23"/>
      <c r="AT2677" s="23"/>
      <c r="AU2677" s="23"/>
      <c r="AV2677" s="23"/>
      <c r="AW2677" s="23"/>
      <c r="AX2677" s="23"/>
      <c r="AY2677" s="23"/>
      <c r="AZ2677" s="23"/>
      <c r="BA2677" s="23"/>
      <c r="BB2677" s="23"/>
    </row>
    <row r="2678" spans="5:54" x14ac:dyDescent="0.35"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  <c r="AA2678" s="23"/>
      <c r="AB2678" s="23"/>
      <c r="AC2678" s="23"/>
      <c r="AD2678" s="23"/>
      <c r="AE2678" s="23"/>
      <c r="AF2678" s="23"/>
      <c r="AG2678" s="23"/>
      <c r="AH2678" s="23"/>
      <c r="AI2678" s="23"/>
      <c r="AJ2678" s="23"/>
      <c r="AK2678" s="23"/>
      <c r="AL2678" s="23"/>
      <c r="AM2678" s="23"/>
      <c r="AN2678" s="23"/>
      <c r="AO2678" s="23"/>
      <c r="AP2678" s="23"/>
      <c r="AQ2678" s="23"/>
      <c r="AR2678" s="23"/>
      <c r="AS2678" s="23"/>
      <c r="AT2678" s="23"/>
      <c r="AU2678" s="23"/>
      <c r="AV2678" s="23"/>
      <c r="AW2678" s="23"/>
      <c r="AX2678" s="23"/>
      <c r="AY2678" s="23"/>
      <c r="AZ2678" s="23"/>
      <c r="BA2678" s="23"/>
      <c r="BB2678" s="23"/>
    </row>
    <row r="2679" spans="5:54" x14ac:dyDescent="0.35"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  <c r="AA2679" s="23"/>
      <c r="AB2679" s="23"/>
      <c r="AC2679" s="23"/>
      <c r="AD2679" s="23"/>
      <c r="AE2679" s="23"/>
      <c r="AF2679" s="23"/>
      <c r="AG2679" s="23"/>
      <c r="AH2679" s="23"/>
      <c r="AI2679" s="23"/>
      <c r="AJ2679" s="23"/>
      <c r="AK2679" s="23"/>
      <c r="AL2679" s="23"/>
      <c r="AM2679" s="23"/>
      <c r="AN2679" s="23"/>
      <c r="AO2679" s="23"/>
      <c r="AP2679" s="23"/>
      <c r="AQ2679" s="23"/>
      <c r="AR2679" s="23"/>
      <c r="AS2679" s="23"/>
      <c r="AT2679" s="23"/>
      <c r="AU2679" s="23"/>
      <c r="AV2679" s="23"/>
      <c r="AW2679" s="23"/>
      <c r="AX2679" s="23"/>
      <c r="AY2679" s="23"/>
      <c r="AZ2679" s="23"/>
      <c r="BA2679" s="23"/>
      <c r="BB2679" s="23"/>
    </row>
    <row r="2680" spans="5:54" x14ac:dyDescent="0.35"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  <c r="AA2680" s="23"/>
      <c r="AB2680" s="23"/>
      <c r="AC2680" s="23"/>
      <c r="AD2680" s="23"/>
      <c r="AE2680" s="23"/>
      <c r="AF2680" s="23"/>
      <c r="AG2680" s="23"/>
      <c r="AH2680" s="23"/>
      <c r="AI2680" s="23"/>
      <c r="AJ2680" s="23"/>
      <c r="AK2680" s="23"/>
      <c r="AL2680" s="23"/>
      <c r="AM2680" s="23"/>
      <c r="AN2680" s="23"/>
      <c r="AO2680" s="23"/>
      <c r="AP2680" s="23"/>
      <c r="AQ2680" s="23"/>
      <c r="AR2680" s="23"/>
      <c r="AS2680" s="23"/>
      <c r="AT2680" s="23"/>
      <c r="AU2680" s="23"/>
      <c r="AV2680" s="23"/>
      <c r="AW2680" s="23"/>
      <c r="AX2680" s="23"/>
      <c r="AY2680" s="23"/>
      <c r="AZ2680" s="23"/>
      <c r="BA2680" s="23"/>
      <c r="BB2680" s="23"/>
    </row>
    <row r="2681" spans="5:54" x14ac:dyDescent="0.35"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  <c r="AA2681" s="23"/>
      <c r="AB2681" s="23"/>
      <c r="AC2681" s="23"/>
      <c r="AD2681" s="23"/>
      <c r="AE2681" s="23"/>
      <c r="AF2681" s="23"/>
      <c r="AG2681" s="23"/>
      <c r="AH2681" s="23"/>
      <c r="AI2681" s="23"/>
      <c r="AJ2681" s="23"/>
      <c r="AK2681" s="23"/>
      <c r="AL2681" s="23"/>
      <c r="AM2681" s="23"/>
      <c r="AN2681" s="23"/>
      <c r="AO2681" s="23"/>
      <c r="AP2681" s="23"/>
      <c r="AQ2681" s="23"/>
      <c r="AR2681" s="23"/>
      <c r="AS2681" s="23"/>
      <c r="AT2681" s="23"/>
      <c r="AU2681" s="23"/>
      <c r="AV2681" s="23"/>
      <c r="AW2681" s="23"/>
      <c r="AX2681" s="23"/>
      <c r="AY2681" s="23"/>
      <c r="AZ2681" s="23"/>
      <c r="BA2681" s="23"/>
      <c r="BB2681" s="23"/>
    </row>
    <row r="2682" spans="5:54" x14ac:dyDescent="0.35"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  <c r="AA2682" s="23"/>
      <c r="AB2682" s="23"/>
      <c r="AC2682" s="23"/>
      <c r="AD2682" s="23"/>
      <c r="AE2682" s="23"/>
      <c r="AF2682" s="23"/>
      <c r="AG2682" s="23"/>
      <c r="AH2682" s="23"/>
      <c r="AI2682" s="23"/>
      <c r="AJ2682" s="23"/>
      <c r="AK2682" s="23"/>
      <c r="AL2682" s="23"/>
      <c r="AM2682" s="23"/>
      <c r="AN2682" s="23"/>
      <c r="AO2682" s="23"/>
      <c r="AP2682" s="23"/>
      <c r="AQ2682" s="23"/>
      <c r="AR2682" s="23"/>
      <c r="AS2682" s="23"/>
      <c r="AT2682" s="23"/>
      <c r="AU2682" s="23"/>
      <c r="AV2682" s="23"/>
      <c r="AW2682" s="23"/>
      <c r="AX2682" s="23"/>
      <c r="AY2682" s="23"/>
      <c r="AZ2682" s="23"/>
      <c r="BA2682" s="23"/>
      <c r="BB2682" s="23"/>
    </row>
    <row r="2683" spans="5:54" x14ac:dyDescent="0.35"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  <c r="AA2683" s="23"/>
      <c r="AB2683" s="23"/>
      <c r="AC2683" s="23"/>
      <c r="AD2683" s="23"/>
      <c r="AE2683" s="23"/>
      <c r="AF2683" s="23"/>
      <c r="AG2683" s="23"/>
      <c r="AH2683" s="23"/>
      <c r="AI2683" s="23"/>
      <c r="AJ2683" s="23"/>
      <c r="AK2683" s="23"/>
      <c r="AL2683" s="23"/>
      <c r="AM2683" s="23"/>
      <c r="AN2683" s="23"/>
      <c r="AO2683" s="23"/>
      <c r="AP2683" s="23"/>
      <c r="AQ2683" s="23"/>
      <c r="AR2683" s="23"/>
      <c r="AS2683" s="23"/>
      <c r="AT2683" s="23"/>
      <c r="AU2683" s="23"/>
      <c r="AV2683" s="23"/>
      <c r="AW2683" s="23"/>
      <c r="AX2683" s="23"/>
      <c r="AY2683" s="23"/>
      <c r="AZ2683" s="23"/>
      <c r="BA2683" s="23"/>
      <c r="BB2683" s="23"/>
    </row>
    <row r="2684" spans="5:54" x14ac:dyDescent="0.35"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  <c r="AA2684" s="23"/>
      <c r="AB2684" s="23"/>
      <c r="AC2684" s="23"/>
      <c r="AD2684" s="23"/>
      <c r="AE2684" s="23"/>
      <c r="AF2684" s="23"/>
      <c r="AG2684" s="23"/>
      <c r="AH2684" s="23"/>
      <c r="AI2684" s="23"/>
      <c r="AJ2684" s="23"/>
      <c r="AK2684" s="23"/>
      <c r="AL2684" s="23"/>
      <c r="AM2684" s="23"/>
      <c r="AN2684" s="23"/>
      <c r="AO2684" s="23"/>
      <c r="AP2684" s="23"/>
      <c r="AQ2684" s="23"/>
      <c r="AR2684" s="23"/>
      <c r="AS2684" s="23"/>
      <c r="AT2684" s="23"/>
      <c r="AU2684" s="23"/>
      <c r="AV2684" s="23"/>
      <c r="AW2684" s="23"/>
      <c r="AX2684" s="23"/>
      <c r="AY2684" s="23"/>
      <c r="AZ2684" s="23"/>
      <c r="BA2684" s="23"/>
      <c r="BB2684" s="23"/>
    </row>
    <row r="2685" spans="5:54" x14ac:dyDescent="0.35"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  <c r="AA2685" s="23"/>
      <c r="AB2685" s="23"/>
      <c r="AC2685" s="23"/>
      <c r="AD2685" s="23"/>
      <c r="AE2685" s="23"/>
      <c r="AF2685" s="23"/>
      <c r="AG2685" s="23"/>
      <c r="AH2685" s="23"/>
      <c r="AI2685" s="23"/>
      <c r="AJ2685" s="23"/>
      <c r="AK2685" s="23"/>
      <c r="AL2685" s="23"/>
      <c r="AM2685" s="23"/>
      <c r="AN2685" s="23"/>
      <c r="AO2685" s="23"/>
      <c r="AP2685" s="23"/>
      <c r="AQ2685" s="23"/>
      <c r="AR2685" s="23"/>
      <c r="AS2685" s="23"/>
      <c r="AT2685" s="23"/>
      <c r="AU2685" s="23"/>
      <c r="AV2685" s="23"/>
      <c r="AW2685" s="23"/>
      <c r="AX2685" s="23"/>
      <c r="AY2685" s="23"/>
      <c r="AZ2685" s="23"/>
      <c r="BA2685" s="23"/>
      <c r="BB2685" s="23"/>
    </row>
    <row r="2686" spans="5:54" x14ac:dyDescent="0.35"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  <c r="AA2686" s="23"/>
      <c r="AB2686" s="23"/>
      <c r="AC2686" s="23"/>
      <c r="AD2686" s="23"/>
      <c r="AE2686" s="23"/>
      <c r="AF2686" s="23"/>
      <c r="AG2686" s="23"/>
      <c r="AH2686" s="23"/>
      <c r="AI2686" s="23"/>
      <c r="AJ2686" s="23"/>
      <c r="AK2686" s="23"/>
      <c r="AL2686" s="23"/>
      <c r="AM2686" s="23"/>
      <c r="AN2686" s="23"/>
      <c r="AO2686" s="23"/>
      <c r="AP2686" s="23"/>
      <c r="AQ2686" s="23"/>
      <c r="AR2686" s="23"/>
      <c r="AS2686" s="23"/>
      <c r="AT2686" s="23"/>
      <c r="AU2686" s="23"/>
      <c r="AV2686" s="23"/>
      <c r="AW2686" s="23"/>
      <c r="AX2686" s="23"/>
      <c r="AY2686" s="23"/>
      <c r="AZ2686" s="23"/>
      <c r="BA2686" s="23"/>
      <c r="BB2686" s="23"/>
    </row>
    <row r="2687" spans="5:54" x14ac:dyDescent="0.35"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  <c r="AA2687" s="23"/>
      <c r="AB2687" s="23"/>
      <c r="AC2687" s="23"/>
      <c r="AD2687" s="23"/>
      <c r="AE2687" s="23"/>
      <c r="AF2687" s="23"/>
      <c r="AG2687" s="23"/>
      <c r="AH2687" s="23"/>
      <c r="AI2687" s="23"/>
      <c r="AJ2687" s="23"/>
      <c r="AK2687" s="23"/>
      <c r="AL2687" s="23"/>
      <c r="AM2687" s="23"/>
      <c r="AN2687" s="23"/>
      <c r="AO2687" s="23"/>
      <c r="AP2687" s="23"/>
      <c r="AQ2687" s="23"/>
      <c r="AR2687" s="23"/>
      <c r="AS2687" s="23"/>
      <c r="AT2687" s="23"/>
      <c r="AU2687" s="23"/>
      <c r="AV2687" s="23"/>
      <c r="AW2687" s="23"/>
      <c r="AX2687" s="23"/>
      <c r="AY2687" s="23"/>
      <c r="AZ2687" s="23"/>
      <c r="BA2687" s="23"/>
      <c r="BB2687" s="23"/>
    </row>
    <row r="2688" spans="5:54" x14ac:dyDescent="0.35"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  <c r="AA2688" s="23"/>
      <c r="AB2688" s="23"/>
      <c r="AC2688" s="23"/>
      <c r="AD2688" s="23"/>
      <c r="AE2688" s="23"/>
      <c r="AF2688" s="23"/>
      <c r="AG2688" s="23"/>
      <c r="AH2688" s="23"/>
      <c r="AI2688" s="23"/>
      <c r="AJ2688" s="23"/>
      <c r="AK2688" s="23"/>
      <c r="AL2688" s="23"/>
      <c r="AM2688" s="23"/>
      <c r="AN2688" s="23"/>
      <c r="AO2688" s="23"/>
      <c r="AP2688" s="23"/>
      <c r="AQ2688" s="23"/>
      <c r="AR2688" s="23"/>
      <c r="AS2688" s="23"/>
      <c r="AT2688" s="23"/>
      <c r="AU2688" s="23"/>
      <c r="AV2688" s="23"/>
      <c r="AW2688" s="23"/>
      <c r="AX2688" s="23"/>
      <c r="AY2688" s="23"/>
      <c r="AZ2688" s="23"/>
      <c r="BA2688" s="23"/>
      <c r="BB2688" s="23"/>
    </row>
    <row r="2689" spans="5:54" x14ac:dyDescent="0.35"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  <c r="AA2689" s="23"/>
      <c r="AB2689" s="23"/>
      <c r="AC2689" s="23"/>
      <c r="AD2689" s="23"/>
      <c r="AE2689" s="23"/>
      <c r="AF2689" s="23"/>
      <c r="AG2689" s="23"/>
      <c r="AH2689" s="23"/>
      <c r="AI2689" s="23"/>
      <c r="AJ2689" s="23"/>
      <c r="AK2689" s="23"/>
      <c r="AL2689" s="23"/>
      <c r="AM2689" s="23"/>
      <c r="AN2689" s="23"/>
      <c r="AO2689" s="23"/>
      <c r="AP2689" s="23"/>
      <c r="AQ2689" s="23"/>
      <c r="AR2689" s="23"/>
      <c r="AS2689" s="23"/>
      <c r="AT2689" s="23"/>
      <c r="AU2689" s="23"/>
      <c r="AV2689" s="23"/>
      <c r="AW2689" s="23"/>
      <c r="AX2689" s="23"/>
      <c r="AY2689" s="23"/>
      <c r="AZ2689" s="23"/>
      <c r="BA2689" s="23"/>
      <c r="BB2689" s="23"/>
    </row>
    <row r="2690" spans="5:54" x14ac:dyDescent="0.35"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  <c r="AA2690" s="23"/>
      <c r="AB2690" s="23"/>
      <c r="AC2690" s="23"/>
      <c r="AD2690" s="23"/>
      <c r="AE2690" s="23"/>
      <c r="AF2690" s="23"/>
      <c r="AG2690" s="23"/>
      <c r="AH2690" s="23"/>
      <c r="AI2690" s="23"/>
      <c r="AJ2690" s="23"/>
      <c r="AK2690" s="23"/>
      <c r="AL2690" s="23"/>
      <c r="AM2690" s="23"/>
      <c r="AN2690" s="23"/>
      <c r="AO2690" s="23"/>
      <c r="AP2690" s="23"/>
      <c r="AQ2690" s="23"/>
      <c r="AR2690" s="23"/>
      <c r="AS2690" s="23"/>
      <c r="AT2690" s="23"/>
      <c r="AU2690" s="23"/>
      <c r="AV2690" s="23"/>
      <c r="AW2690" s="23"/>
      <c r="AX2690" s="23"/>
      <c r="AY2690" s="23"/>
      <c r="AZ2690" s="23"/>
      <c r="BA2690" s="23"/>
      <c r="BB2690" s="23"/>
    </row>
    <row r="2691" spans="5:54" x14ac:dyDescent="0.35"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  <c r="AA2691" s="23"/>
      <c r="AB2691" s="23"/>
      <c r="AC2691" s="23"/>
      <c r="AD2691" s="23"/>
      <c r="AE2691" s="23"/>
      <c r="AF2691" s="23"/>
      <c r="AG2691" s="23"/>
      <c r="AH2691" s="23"/>
      <c r="AI2691" s="23"/>
      <c r="AJ2691" s="23"/>
      <c r="AK2691" s="23"/>
      <c r="AL2691" s="23"/>
      <c r="AM2691" s="23"/>
      <c r="AN2691" s="23"/>
      <c r="AO2691" s="23"/>
      <c r="AP2691" s="23"/>
      <c r="AQ2691" s="23"/>
      <c r="AR2691" s="23"/>
      <c r="AS2691" s="23"/>
      <c r="AT2691" s="23"/>
      <c r="AU2691" s="23"/>
      <c r="AV2691" s="23"/>
      <c r="AW2691" s="23"/>
      <c r="AX2691" s="23"/>
      <c r="AY2691" s="23"/>
      <c r="AZ2691" s="23"/>
      <c r="BA2691" s="23"/>
      <c r="BB2691" s="23"/>
    </row>
    <row r="2692" spans="5:54" x14ac:dyDescent="0.35"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  <c r="AA2692" s="23"/>
      <c r="AB2692" s="23"/>
      <c r="AC2692" s="23"/>
      <c r="AD2692" s="23"/>
      <c r="AE2692" s="23"/>
      <c r="AF2692" s="23"/>
      <c r="AG2692" s="23"/>
      <c r="AH2692" s="23"/>
      <c r="AI2692" s="23"/>
      <c r="AJ2692" s="23"/>
      <c r="AK2692" s="23"/>
      <c r="AL2692" s="23"/>
      <c r="AM2692" s="23"/>
      <c r="AN2692" s="23"/>
      <c r="AO2692" s="23"/>
      <c r="AP2692" s="23"/>
      <c r="AQ2692" s="23"/>
      <c r="AR2692" s="23"/>
      <c r="AS2692" s="23"/>
      <c r="AT2692" s="23"/>
      <c r="AU2692" s="23"/>
      <c r="AV2692" s="23"/>
      <c r="AW2692" s="23"/>
      <c r="AX2692" s="23"/>
      <c r="AY2692" s="23"/>
      <c r="AZ2692" s="23"/>
      <c r="BA2692" s="23"/>
      <c r="BB2692" s="23"/>
    </row>
    <row r="2693" spans="5:54" x14ac:dyDescent="0.35"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  <c r="AA2693" s="23"/>
      <c r="AB2693" s="23"/>
      <c r="AC2693" s="23"/>
      <c r="AD2693" s="23"/>
      <c r="AE2693" s="23"/>
      <c r="AF2693" s="23"/>
      <c r="AG2693" s="23"/>
      <c r="AH2693" s="23"/>
      <c r="AI2693" s="23"/>
      <c r="AJ2693" s="23"/>
      <c r="AK2693" s="23"/>
      <c r="AL2693" s="23"/>
      <c r="AM2693" s="23"/>
      <c r="AN2693" s="23"/>
      <c r="AO2693" s="23"/>
      <c r="AP2693" s="23"/>
      <c r="AQ2693" s="23"/>
      <c r="AR2693" s="23"/>
      <c r="AS2693" s="23"/>
      <c r="AT2693" s="23"/>
      <c r="AU2693" s="23"/>
      <c r="AV2693" s="23"/>
      <c r="AW2693" s="23"/>
      <c r="AX2693" s="23"/>
      <c r="AY2693" s="23"/>
      <c r="AZ2693" s="23"/>
      <c r="BA2693" s="23"/>
      <c r="BB2693" s="23"/>
    </row>
    <row r="2694" spans="5:54" x14ac:dyDescent="0.35"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  <c r="AA2694" s="23"/>
      <c r="AB2694" s="23"/>
      <c r="AC2694" s="23"/>
      <c r="AD2694" s="23"/>
      <c r="AE2694" s="23"/>
      <c r="AF2694" s="23"/>
      <c r="AG2694" s="23"/>
      <c r="AH2694" s="23"/>
      <c r="AI2694" s="23"/>
      <c r="AJ2694" s="23"/>
      <c r="AK2694" s="23"/>
      <c r="AL2694" s="23"/>
      <c r="AM2694" s="23"/>
      <c r="AN2694" s="23"/>
      <c r="AO2694" s="23"/>
      <c r="AP2694" s="23"/>
      <c r="AQ2694" s="23"/>
      <c r="AR2694" s="23"/>
      <c r="AS2694" s="23"/>
      <c r="AT2694" s="23"/>
      <c r="AU2694" s="23"/>
      <c r="AV2694" s="23"/>
      <c r="AW2694" s="23"/>
      <c r="AX2694" s="23"/>
      <c r="AY2694" s="23"/>
      <c r="AZ2694" s="23"/>
      <c r="BA2694" s="23"/>
      <c r="BB2694" s="23"/>
    </row>
    <row r="2695" spans="5:54" x14ac:dyDescent="0.35"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  <c r="AA2695" s="23"/>
      <c r="AB2695" s="23"/>
      <c r="AC2695" s="23"/>
      <c r="AD2695" s="23"/>
      <c r="AE2695" s="23"/>
      <c r="AF2695" s="23"/>
      <c r="AG2695" s="23"/>
      <c r="AH2695" s="23"/>
      <c r="AI2695" s="23"/>
      <c r="AJ2695" s="23"/>
      <c r="AK2695" s="23"/>
      <c r="AL2695" s="23"/>
      <c r="AM2695" s="23"/>
      <c r="AN2695" s="23"/>
      <c r="AO2695" s="23"/>
      <c r="AP2695" s="23"/>
      <c r="AQ2695" s="23"/>
      <c r="AR2695" s="23"/>
      <c r="AS2695" s="23"/>
      <c r="AT2695" s="23"/>
      <c r="AU2695" s="23"/>
      <c r="AV2695" s="23"/>
      <c r="AW2695" s="23"/>
      <c r="AX2695" s="23"/>
      <c r="AY2695" s="23"/>
      <c r="AZ2695" s="23"/>
      <c r="BA2695" s="23"/>
      <c r="BB2695" s="23"/>
    </row>
    <row r="2696" spans="5:54" x14ac:dyDescent="0.35"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  <c r="AA2696" s="23"/>
      <c r="AB2696" s="23"/>
      <c r="AC2696" s="23"/>
      <c r="AD2696" s="23"/>
      <c r="AE2696" s="23"/>
      <c r="AF2696" s="23"/>
      <c r="AG2696" s="23"/>
      <c r="AH2696" s="23"/>
      <c r="AI2696" s="23"/>
      <c r="AJ2696" s="23"/>
      <c r="AK2696" s="23"/>
      <c r="AL2696" s="23"/>
      <c r="AM2696" s="23"/>
      <c r="AN2696" s="23"/>
      <c r="AO2696" s="23"/>
      <c r="AP2696" s="23"/>
      <c r="AQ2696" s="23"/>
      <c r="AR2696" s="23"/>
      <c r="AS2696" s="23"/>
      <c r="AT2696" s="23"/>
      <c r="AU2696" s="23"/>
      <c r="AV2696" s="23"/>
      <c r="AW2696" s="23"/>
      <c r="AX2696" s="23"/>
      <c r="AY2696" s="23"/>
      <c r="AZ2696" s="23"/>
      <c r="BA2696" s="23"/>
      <c r="BB2696" s="23"/>
    </row>
    <row r="2697" spans="5:54" x14ac:dyDescent="0.35"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  <c r="AA2697" s="23"/>
      <c r="AB2697" s="23"/>
      <c r="AC2697" s="23"/>
      <c r="AD2697" s="23"/>
      <c r="AE2697" s="23"/>
      <c r="AF2697" s="23"/>
      <c r="AG2697" s="23"/>
      <c r="AH2697" s="23"/>
      <c r="AI2697" s="23"/>
      <c r="AJ2697" s="23"/>
      <c r="AK2697" s="23"/>
      <c r="AL2697" s="23"/>
      <c r="AM2697" s="23"/>
      <c r="AN2697" s="23"/>
      <c r="AO2697" s="23"/>
      <c r="AP2697" s="23"/>
      <c r="AQ2697" s="23"/>
      <c r="AR2697" s="23"/>
      <c r="AS2697" s="23"/>
      <c r="AT2697" s="23"/>
      <c r="AU2697" s="23"/>
      <c r="AV2697" s="23"/>
      <c r="AW2697" s="23"/>
      <c r="AX2697" s="23"/>
      <c r="AY2697" s="23"/>
      <c r="AZ2697" s="23"/>
      <c r="BA2697" s="23"/>
      <c r="BB2697" s="23"/>
    </row>
    <row r="2698" spans="5:54" x14ac:dyDescent="0.35"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  <c r="AA2698" s="23"/>
      <c r="AB2698" s="23"/>
      <c r="AC2698" s="23"/>
      <c r="AD2698" s="23"/>
      <c r="AE2698" s="23"/>
      <c r="AF2698" s="23"/>
      <c r="AG2698" s="23"/>
      <c r="AH2698" s="23"/>
      <c r="AI2698" s="23"/>
      <c r="AJ2698" s="23"/>
      <c r="AK2698" s="23"/>
      <c r="AL2698" s="23"/>
      <c r="AM2698" s="23"/>
      <c r="AN2698" s="23"/>
      <c r="AO2698" s="23"/>
      <c r="AP2698" s="23"/>
      <c r="AQ2698" s="23"/>
      <c r="AR2698" s="23"/>
      <c r="AS2698" s="23"/>
      <c r="AT2698" s="23"/>
      <c r="AU2698" s="23"/>
      <c r="AV2698" s="23"/>
      <c r="AW2698" s="23"/>
      <c r="AX2698" s="23"/>
      <c r="AY2698" s="23"/>
      <c r="AZ2698" s="23"/>
      <c r="BA2698" s="23"/>
      <c r="BB2698" s="23"/>
    </row>
    <row r="2699" spans="5:54" x14ac:dyDescent="0.35"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  <c r="AA2699" s="23"/>
      <c r="AB2699" s="23"/>
      <c r="AC2699" s="23"/>
      <c r="AD2699" s="23"/>
      <c r="AE2699" s="23"/>
      <c r="AF2699" s="23"/>
      <c r="AG2699" s="23"/>
      <c r="AH2699" s="23"/>
      <c r="AI2699" s="23"/>
      <c r="AJ2699" s="23"/>
      <c r="AK2699" s="23"/>
      <c r="AL2699" s="23"/>
      <c r="AM2699" s="23"/>
      <c r="AN2699" s="23"/>
      <c r="AO2699" s="23"/>
      <c r="AP2699" s="23"/>
      <c r="AQ2699" s="23"/>
      <c r="AR2699" s="23"/>
      <c r="AS2699" s="23"/>
      <c r="AT2699" s="23"/>
      <c r="AU2699" s="23"/>
      <c r="AV2699" s="23"/>
      <c r="AW2699" s="23"/>
      <c r="AX2699" s="23"/>
      <c r="AY2699" s="23"/>
      <c r="AZ2699" s="23"/>
      <c r="BA2699" s="23"/>
      <c r="BB2699" s="23"/>
    </row>
    <row r="2700" spans="5:54" x14ac:dyDescent="0.35"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  <c r="AA2700" s="23"/>
      <c r="AB2700" s="23"/>
      <c r="AC2700" s="23"/>
      <c r="AD2700" s="23"/>
      <c r="AE2700" s="23"/>
      <c r="AF2700" s="23"/>
      <c r="AG2700" s="23"/>
      <c r="AH2700" s="23"/>
      <c r="AI2700" s="23"/>
      <c r="AJ2700" s="23"/>
      <c r="AK2700" s="23"/>
      <c r="AL2700" s="23"/>
      <c r="AM2700" s="23"/>
      <c r="AN2700" s="23"/>
      <c r="AO2700" s="23"/>
      <c r="AP2700" s="23"/>
      <c r="AQ2700" s="23"/>
      <c r="AR2700" s="23"/>
      <c r="AS2700" s="23"/>
      <c r="AT2700" s="23"/>
      <c r="AU2700" s="23"/>
      <c r="AV2700" s="23"/>
      <c r="AW2700" s="23"/>
      <c r="AX2700" s="23"/>
      <c r="AY2700" s="23"/>
      <c r="AZ2700" s="23"/>
      <c r="BA2700" s="23"/>
      <c r="BB2700" s="23"/>
    </row>
    <row r="2701" spans="5:54" x14ac:dyDescent="0.35"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  <c r="AA2701" s="23"/>
      <c r="AB2701" s="23"/>
      <c r="AC2701" s="23"/>
      <c r="AD2701" s="23"/>
      <c r="AE2701" s="23"/>
      <c r="AF2701" s="23"/>
      <c r="AG2701" s="23"/>
      <c r="AH2701" s="23"/>
      <c r="AI2701" s="23"/>
      <c r="AJ2701" s="23"/>
      <c r="AK2701" s="23"/>
      <c r="AL2701" s="23"/>
      <c r="AM2701" s="23"/>
      <c r="AN2701" s="23"/>
      <c r="AO2701" s="23"/>
      <c r="AP2701" s="23"/>
      <c r="AQ2701" s="23"/>
      <c r="AR2701" s="23"/>
      <c r="AS2701" s="23"/>
      <c r="AT2701" s="23"/>
      <c r="AU2701" s="23"/>
      <c r="AV2701" s="23"/>
      <c r="AW2701" s="23"/>
      <c r="AX2701" s="23"/>
      <c r="AY2701" s="23"/>
      <c r="AZ2701" s="23"/>
      <c r="BA2701" s="23"/>
      <c r="BB2701" s="23"/>
    </row>
    <row r="2702" spans="5:54" x14ac:dyDescent="0.35"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  <c r="AA2702" s="23"/>
      <c r="AB2702" s="23"/>
      <c r="AC2702" s="23"/>
      <c r="AD2702" s="23"/>
      <c r="AE2702" s="23"/>
      <c r="AF2702" s="23"/>
      <c r="AG2702" s="23"/>
      <c r="AH2702" s="23"/>
      <c r="AI2702" s="23"/>
      <c r="AJ2702" s="23"/>
      <c r="AK2702" s="23"/>
      <c r="AL2702" s="23"/>
      <c r="AM2702" s="23"/>
      <c r="AN2702" s="23"/>
      <c r="AO2702" s="23"/>
      <c r="AP2702" s="23"/>
      <c r="AQ2702" s="23"/>
      <c r="AR2702" s="23"/>
      <c r="AS2702" s="23"/>
      <c r="AT2702" s="23"/>
      <c r="AU2702" s="23"/>
      <c r="AV2702" s="23"/>
      <c r="AW2702" s="23"/>
      <c r="AX2702" s="23"/>
      <c r="AY2702" s="23"/>
      <c r="AZ2702" s="23"/>
      <c r="BA2702" s="23"/>
      <c r="BB2702" s="23"/>
    </row>
    <row r="2703" spans="5:54" x14ac:dyDescent="0.35"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  <c r="AA2703" s="23"/>
      <c r="AB2703" s="23"/>
      <c r="AC2703" s="23"/>
      <c r="AD2703" s="23"/>
      <c r="AE2703" s="23"/>
      <c r="AF2703" s="23"/>
      <c r="AG2703" s="23"/>
      <c r="AH2703" s="23"/>
      <c r="AI2703" s="23"/>
      <c r="AJ2703" s="23"/>
      <c r="AK2703" s="23"/>
      <c r="AL2703" s="23"/>
      <c r="AM2703" s="23"/>
      <c r="AN2703" s="23"/>
      <c r="AO2703" s="23"/>
      <c r="AP2703" s="23"/>
      <c r="AQ2703" s="23"/>
      <c r="AR2703" s="23"/>
      <c r="AS2703" s="23"/>
      <c r="AT2703" s="23"/>
      <c r="AU2703" s="23"/>
      <c r="AV2703" s="23"/>
      <c r="AW2703" s="23"/>
      <c r="AX2703" s="23"/>
      <c r="AY2703" s="23"/>
      <c r="AZ2703" s="23"/>
      <c r="BA2703" s="23"/>
      <c r="BB2703" s="23"/>
    </row>
    <row r="2704" spans="5:54" x14ac:dyDescent="0.35"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  <c r="AA2704" s="23"/>
      <c r="AB2704" s="23"/>
      <c r="AC2704" s="23"/>
      <c r="AD2704" s="23"/>
      <c r="AE2704" s="23"/>
      <c r="AF2704" s="23"/>
      <c r="AG2704" s="23"/>
      <c r="AH2704" s="23"/>
      <c r="AI2704" s="23"/>
      <c r="AJ2704" s="23"/>
      <c r="AK2704" s="23"/>
      <c r="AL2704" s="23"/>
      <c r="AM2704" s="23"/>
      <c r="AN2704" s="23"/>
      <c r="AO2704" s="23"/>
      <c r="AP2704" s="23"/>
      <c r="AQ2704" s="23"/>
      <c r="AR2704" s="23"/>
      <c r="AS2704" s="23"/>
      <c r="AT2704" s="23"/>
      <c r="AU2704" s="23"/>
      <c r="AV2704" s="23"/>
      <c r="AW2704" s="23"/>
      <c r="AX2704" s="23"/>
      <c r="AY2704" s="23"/>
      <c r="AZ2704" s="23"/>
      <c r="BA2704" s="23"/>
      <c r="BB2704" s="23"/>
    </row>
    <row r="2705" spans="5:54" x14ac:dyDescent="0.35"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  <c r="AA2705" s="23"/>
      <c r="AB2705" s="23"/>
      <c r="AC2705" s="23"/>
      <c r="AD2705" s="23"/>
      <c r="AE2705" s="23"/>
      <c r="AF2705" s="23"/>
      <c r="AG2705" s="23"/>
      <c r="AH2705" s="23"/>
      <c r="AI2705" s="23"/>
      <c r="AJ2705" s="23"/>
      <c r="AK2705" s="23"/>
      <c r="AL2705" s="23"/>
      <c r="AM2705" s="23"/>
      <c r="AN2705" s="23"/>
      <c r="AO2705" s="23"/>
      <c r="AP2705" s="23"/>
      <c r="AQ2705" s="23"/>
      <c r="AR2705" s="23"/>
      <c r="AS2705" s="23"/>
      <c r="AT2705" s="23"/>
      <c r="AU2705" s="23"/>
      <c r="AV2705" s="23"/>
      <c r="AW2705" s="23"/>
      <c r="AX2705" s="23"/>
      <c r="AY2705" s="23"/>
      <c r="AZ2705" s="23"/>
      <c r="BA2705" s="23"/>
      <c r="BB2705" s="23"/>
    </row>
    <row r="2706" spans="5:54" x14ac:dyDescent="0.35"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  <c r="AA2706" s="23"/>
      <c r="AB2706" s="23"/>
      <c r="AC2706" s="23"/>
      <c r="AD2706" s="23"/>
      <c r="AE2706" s="23"/>
      <c r="AF2706" s="23"/>
      <c r="AG2706" s="23"/>
      <c r="AH2706" s="23"/>
      <c r="AI2706" s="23"/>
      <c r="AJ2706" s="23"/>
      <c r="AK2706" s="23"/>
      <c r="AL2706" s="23"/>
      <c r="AM2706" s="23"/>
      <c r="AN2706" s="23"/>
      <c r="AO2706" s="23"/>
      <c r="AP2706" s="23"/>
      <c r="AQ2706" s="23"/>
      <c r="AR2706" s="23"/>
      <c r="AS2706" s="23"/>
      <c r="AT2706" s="23"/>
      <c r="AU2706" s="23"/>
      <c r="AV2706" s="23"/>
      <c r="AW2706" s="23"/>
      <c r="AX2706" s="23"/>
      <c r="AY2706" s="23"/>
      <c r="AZ2706" s="23"/>
      <c r="BA2706" s="23"/>
      <c r="BB2706" s="23"/>
    </row>
    <row r="2707" spans="5:54" x14ac:dyDescent="0.35"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  <c r="AA2707" s="23"/>
      <c r="AB2707" s="23"/>
      <c r="AC2707" s="23"/>
      <c r="AD2707" s="23"/>
      <c r="AE2707" s="23"/>
      <c r="AF2707" s="23"/>
      <c r="AG2707" s="23"/>
      <c r="AH2707" s="23"/>
      <c r="AI2707" s="23"/>
      <c r="AJ2707" s="23"/>
      <c r="AK2707" s="23"/>
      <c r="AL2707" s="23"/>
      <c r="AM2707" s="23"/>
      <c r="AN2707" s="23"/>
      <c r="AO2707" s="23"/>
      <c r="AP2707" s="23"/>
      <c r="AQ2707" s="23"/>
      <c r="AR2707" s="23"/>
      <c r="AS2707" s="23"/>
      <c r="AT2707" s="23"/>
      <c r="AU2707" s="23"/>
      <c r="AV2707" s="23"/>
      <c r="AW2707" s="23"/>
      <c r="AX2707" s="23"/>
      <c r="AY2707" s="23"/>
      <c r="AZ2707" s="23"/>
      <c r="BA2707" s="23"/>
      <c r="BB2707" s="23"/>
    </row>
    <row r="2708" spans="5:54" x14ac:dyDescent="0.35"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  <c r="AA2708" s="23"/>
      <c r="AB2708" s="23"/>
      <c r="AC2708" s="23"/>
      <c r="AD2708" s="23"/>
      <c r="AE2708" s="23"/>
      <c r="AF2708" s="23"/>
      <c r="AG2708" s="23"/>
      <c r="AH2708" s="23"/>
      <c r="AI2708" s="23"/>
      <c r="AJ2708" s="23"/>
      <c r="AK2708" s="23"/>
      <c r="AL2708" s="23"/>
      <c r="AM2708" s="23"/>
      <c r="AN2708" s="23"/>
      <c r="AO2708" s="23"/>
      <c r="AP2708" s="23"/>
      <c r="AQ2708" s="23"/>
      <c r="AR2708" s="23"/>
      <c r="AS2708" s="23"/>
      <c r="AT2708" s="23"/>
      <c r="AU2708" s="23"/>
      <c r="AV2708" s="23"/>
      <c r="AW2708" s="23"/>
      <c r="AX2708" s="23"/>
      <c r="AY2708" s="23"/>
      <c r="AZ2708" s="23"/>
      <c r="BA2708" s="23"/>
      <c r="BB2708" s="23"/>
    </row>
    <row r="2709" spans="5:54" x14ac:dyDescent="0.35"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  <c r="AA2709" s="23"/>
      <c r="AB2709" s="23"/>
      <c r="AC2709" s="23"/>
      <c r="AD2709" s="23"/>
      <c r="AE2709" s="23"/>
      <c r="AF2709" s="23"/>
      <c r="AG2709" s="23"/>
      <c r="AH2709" s="23"/>
      <c r="AI2709" s="23"/>
      <c r="AJ2709" s="23"/>
      <c r="AK2709" s="23"/>
      <c r="AL2709" s="23"/>
      <c r="AM2709" s="23"/>
      <c r="AN2709" s="23"/>
      <c r="AO2709" s="23"/>
      <c r="AP2709" s="23"/>
      <c r="AQ2709" s="23"/>
      <c r="AR2709" s="23"/>
      <c r="AS2709" s="23"/>
      <c r="AT2709" s="23"/>
      <c r="AU2709" s="23"/>
      <c r="AV2709" s="23"/>
      <c r="AW2709" s="23"/>
      <c r="AX2709" s="23"/>
      <c r="AY2709" s="23"/>
      <c r="AZ2709" s="23"/>
      <c r="BA2709" s="23"/>
      <c r="BB2709" s="23"/>
    </row>
    <row r="2710" spans="5:54" x14ac:dyDescent="0.35"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  <c r="AA2710" s="23"/>
      <c r="AB2710" s="23"/>
      <c r="AC2710" s="23"/>
      <c r="AD2710" s="23"/>
      <c r="AE2710" s="23"/>
      <c r="AF2710" s="23"/>
      <c r="AG2710" s="23"/>
      <c r="AH2710" s="23"/>
      <c r="AI2710" s="23"/>
      <c r="AJ2710" s="23"/>
      <c r="AK2710" s="23"/>
      <c r="AL2710" s="23"/>
      <c r="AM2710" s="23"/>
      <c r="AN2710" s="23"/>
      <c r="AO2710" s="23"/>
      <c r="AP2710" s="23"/>
      <c r="AQ2710" s="23"/>
      <c r="AR2710" s="23"/>
      <c r="AS2710" s="23"/>
      <c r="AT2710" s="23"/>
      <c r="AU2710" s="23"/>
      <c r="AV2710" s="23"/>
      <c r="AW2710" s="23"/>
      <c r="AX2710" s="23"/>
      <c r="AY2710" s="23"/>
      <c r="AZ2710" s="23"/>
      <c r="BA2710" s="23"/>
      <c r="BB2710" s="23"/>
    </row>
    <row r="2711" spans="5:54" x14ac:dyDescent="0.35"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  <c r="AA2711" s="23"/>
      <c r="AB2711" s="23"/>
      <c r="AC2711" s="23"/>
      <c r="AD2711" s="23"/>
      <c r="AE2711" s="23"/>
      <c r="AF2711" s="23"/>
      <c r="AG2711" s="23"/>
      <c r="AH2711" s="23"/>
      <c r="AI2711" s="23"/>
      <c r="AJ2711" s="23"/>
      <c r="AK2711" s="23"/>
      <c r="AL2711" s="23"/>
      <c r="AM2711" s="23"/>
      <c r="AN2711" s="23"/>
      <c r="AO2711" s="23"/>
      <c r="AP2711" s="23"/>
      <c r="AQ2711" s="23"/>
      <c r="AR2711" s="23"/>
      <c r="AS2711" s="23"/>
      <c r="AT2711" s="23"/>
      <c r="AU2711" s="23"/>
      <c r="AV2711" s="23"/>
      <c r="AW2711" s="23"/>
      <c r="AX2711" s="23"/>
      <c r="AY2711" s="23"/>
      <c r="AZ2711" s="23"/>
      <c r="BA2711" s="23"/>
      <c r="BB2711" s="23"/>
    </row>
    <row r="2712" spans="5:54" x14ac:dyDescent="0.35"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  <c r="AA2712" s="23"/>
      <c r="AB2712" s="23"/>
      <c r="AC2712" s="23"/>
      <c r="AD2712" s="23"/>
      <c r="AE2712" s="23"/>
      <c r="AF2712" s="23"/>
      <c r="AG2712" s="23"/>
      <c r="AH2712" s="23"/>
      <c r="AI2712" s="23"/>
      <c r="AJ2712" s="23"/>
      <c r="AK2712" s="23"/>
      <c r="AL2712" s="23"/>
      <c r="AM2712" s="23"/>
      <c r="AN2712" s="23"/>
      <c r="AO2712" s="23"/>
      <c r="AP2712" s="23"/>
      <c r="AQ2712" s="23"/>
      <c r="AR2712" s="23"/>
      <c r="AS2712" s="23"/>
      <c r="AT2712" s="23"/>
      <c r="AU2712" s="23"/>
      <c r="AV2712" s="23"/>
      <c r="AW2712" s="23"/>
      <c r="AX2712" s="23"/>
      <c r="AY2712" s="23"/>
      <c r="AZ2712" s="23"/>
      <c r="BA2712" s="23"/>
      <c r="BB2712" s="23"/>
    </row>
    <row r="2713" spans="5:54" x14ac:dyDescent="0.35"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  <c r="AA2713" s="23"/>
      <c r="AB2713" s="23"/>
      <c r="AC2713" s="23"/>
      <c r="AD2713" s="23"/>
      <c r="AE2713" s="23"/>
      <c r="AF2713" s="23"/>
      <c r="AG2713" s="23"/>
      <c r="AH2713" s="23"/>
      <c r="AI2713" s="23"/>
      <c r="AJ2713" s="23"/>
      <c r="AK2713" s="23"/>
      <c r="AL2713" s="23"/>
      <c r="AM2713" s="23"/>
      <c r="AN2713" s="23"/>
      <c r="AO2713" s="23"/>
      <c r="AP2713" s="23"/>
      <c r="AQ2713" s="23"/>
      <c r="AR2713" s="23"/>
      <c r="AS2713" s="23"/>
      <c r="AT2713" s="23"/>
      <c r="AU2713" s="23"/>
      <c r="AV2713" s="23"/>
      <c r="AW2713" s="23"/>
      <c r="AX2713" s="23"/>
      <c r="AY2713" s="23"/>
      <c r="AZ2713" s="23"/>
      <c r="BA2713" s="23"/>
      <c r="BB2713" s="23"/>
    </row>
    <row r="2714" spans="5:54" x14ac:dyDescent="0.35"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  <c r="AA2714" s="23"/>
      <c r="AB2714" s="23"/>
      <c r="AC2714" s="23"/>
      <c r="AD2714" s="23"/>
      <c r="AE2714" s="23"/>
      <c r="AF2714" s="23"/>
      <c r="AG2714" s="23"/>
      <c r="AH2714" s="23"/>
      <c r="AI2714" s="23"/>
      <c r="AJ2714" s="23"/>
      <c r="AK2714" s="23"/>
      <c r="AL2714" s="23"/>
      <c r="AM2714" s="23"/>
      <c r="AN2714" s="23"/>
      <c r="AO2714" s="23"/>
      <c r="AP2714" s="23"/>
      <c r="AQ2714" s="23"/>
      <c r="AR2714" s="23"/>
      <c r="AS2714" s="23"/>
      <c r="AT2714" s="23"/>
      <c r="AU2714" s="23"/>
      <c r="AV2714" s="23"/>
      <c r="AW2714" s="23"/>
      <c r="AX2714" s="23"/>
      <c r="AY2714" s="23"/>
      <c r="AZ2714" s="23"/>
      <c r="BA2714" s="23"/>
      <c r="BB2714" s="23"/>
    </row>
    <row r="2715" spans="5:54" x14ac:dyDescent="0.35"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  <c r="AA2715" s="23"/>
      <c r="AB2715" s="23"/>
      <c r="AC2715" s="23"/>
      <c r="AD2715" s="23"/>
      <c r="AE2715" s="23"/>
      <c r="AF2715" s="23"/>
      <c r="AG2715" s="23"/>
      <c r="AH2715" s="23"/>
      <c r="AI2715" s="23"/>
      <c r="AJ2715" s="23"/>
      <c r="AK2715" s="23"/>
      <c r="AL2715" s="23"/>
      <c r="AM2715" s="23"/>
      <c r="AN2715" s="23"/>
      <c r="AO2715" s="23"/>
      <c r="AP2715" s="23"/>
      <c r="AQ2715" s="23"/>
      <c r="AR2715" s="23"/>
      <c r="AS2715" s="23"/>
      <c r="AT2715" s="23"/>
      <c r="AU2715" s="23"/>
      <c r="AV2715" s="23"/>
      <c r="AW2715" s="23"/>
      <c r="AX2715" s="23"/>
      <c r="AY2715" s="23"/>
      <c r="AZ2715" s="23"/>
      <c r="BA2715" s="23"/>
      <c r="BB2715" s="23"/>
    </row>
    <row r="2716" spans="5:54" x14ac:dyDescent="0.35"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  <c r="AA2716" s="23"/>
      <c r="AB2716" s="23"/>
      <c r="AC2716" s="23"/>
      <c r="AD2716" s="23"/>
      <c r="AE2716" s="23"/>
      <c r="AF2716" s="23"/>
      <c r="AG2716" s="23"/>
      <c r="AH2716" s="23"/>
      <c r="AI2716" s="23"/>
      <c r="AJ2716" s="23"/>
      <c r="AK2716" s="23"/>
      <c r="AL2716" s="23"/>
      <c r="AM2716" s="23"/>
      <c r="AN2716" s="23"/>
      <c r="AO2716" s="23"/>
      <c r="AP2716" s="23"/>
      <c r="AQ2716" s="23"/>
      <c r="AR2716" s="23"/>
      <c r="AS2716" s="23"/>
      <c r="AT2716" s="23"/>
      <c r="AU2716" s="23"/>
      <c r="AV2716" s="23"/>
      <c r="AW2716" s="23"/>
      <c r="AX2716" s="23"/>
      <c r="AY2716" s="23"/>
      <c r="AZ2716" s="23"/>
      <c r="BA2716" s="23"/>
      <c r="BB2716" s="23"/>
    </row>
    <row r="2717" spans="5:54" x14ac:dyDescent="0.35"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  <c r="AA2717" s="23"/>
      <c r="AB2717" s="23"/>
      <c r="AC2717" s="23"/>
      <c r="AD2717" s="23"/>
      <c r="AE2717" s="23"/>
      <c r="AF2717" s="23"/>
      <c r="AG2717" s="23"/>
      <c r="AH2717" s="23"/>
      <c r="AI2717" s="23"/>
      <c r="AJ2717" s="23"/>
      <c r="AK2717" s="23"/>
      <c r="AL2717" s="23"/>
      <c r="AM2717" s="23"/>
      <c r="AN2717" s="23"/>
      <c r="AO2717" s="23"/>
      <c r="AP2717" s="23"/>
      <c r="AQ2717" s="23"/>
      <c r="AR2717" s="23"/>
      <c r="AS2717" s="23"/>
      <c r="AT2717" s="23"/>
      <c r="AU2717" s="23"/>
      <c r="AV2717" s="23"/>
      <c r="AW2717" s="23"/>
      <c r="AX2717" s="23"/>
      <c r="AY2717" s="23"/>
      <c r="AZ2717" s="23"/>
      <c r="BA2717" s="23"/>
      <c r="BB2717" s="23"/>
    </row>
    <row r="2718" spans="5:54" x14ac:dyDescent="0.35"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  <c r="AA2718" s="23"/>
      <c r="AB2718" s="23"/>
      <c r="AC2718" s="23"/>
      <c r="AD2718" s="23"/>
      <c r="AE2718" s="23"/>
      <c r="AF2718" s="23"/>
      <c r="AG2718" s="23"/>
      <c r="AH2718" s="23"/>
      <c r="AI2718" s="23"/>
      <c r="AJ2718" s="23"/>
      <c r="AK2718" s="23"/>
      <c r="AL2718" s="23"/>
      <c r="AM2718" s="23"/>
      <c r="AN2718" s="23"/>
      <c r="AO2718" s="23"/>
      <c r="AP2718" s="23"/>
      <c r="AQ2718" s="23"/>
      <c r="AR2718" s="23"/>
      <c r="AS2718" s="23"/>
      <c r="AT2718" s="23"/>
      <c r="AU2718" s="23"/>
      <c r="AV2718" s="23"/>
      <c r="AW2718" s="23"/>
      <c r="AX2718" s="23"/>
      <c r="AY2718" s="23"/>
      <c r="AZ2718" s="23"/>
      <c r="BA2718" s="23"/>
      <c r="BB2718" s="23"/>
    </row>
    <row r="2719" spans="5:54" x14ac:dyDescent="0.35"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  <c r="AA2719" s="23"/>
      <c r="AB2719" s="23"/>
      <c r="AC2719" s="23"/>
      <c r="AD2719" s="23"/>
      <c r="AE2719" s="23"/>
      <c r="AF2719" s="23"/>
      <c r="AG2719" s="23"/>
      <c r="AH2719" s="23"/>
      <c r="AI2719" s="23"/>
      <c r="AJ2719" s="23"/>
      <c r="AK2719" s="23"/>
      <c r="AL2719" s="23"/>
      <c r="AM2719" s="23"/>
      <c r="AN2719" s="23"/>
      <c r="AO2719" s="23"/>
      <c r="AP2719" s="23"/>
      <c r="AQ2719" s="23"/>
      <c r="AR2719" s="23"/>
      <c r="AS2719" s="23"/>
      <c r="AT2719" s="23"/>
      <c r="AU2719" s="23"/>
      <c r="AV2719" s="23"/>
      <c r="AW2719" s="23"/>
      <c r="AX2719" s="23"/>
      <c r="AY2719" s="23"/>
      <c r="AZ2719" s="23"/>
      <c r="BA2719" s="23"/>
      <c r="BB2719" s="23"/>
    </row>
    <row r="2720" spans="5:54" x14ac:dyDescent="0.35"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  <c r="AA2720" s="23"/>
      <c r="AB2720" s="23"/>
      <c r="AC2720" s="23"/>
      <c r="AD2720" s="23"/>
      <c r="AE2720" s="23"/>
      <c r="AF2720" s="23"/>
      <c r="AG2720" s="23"/>
      <c r="AH2720" s="23"/>
      <c r="AI2720" s="23"/>
      <c r="AJ2720" s="23"/>
      <c r="AK2720" s="23"/>
      <c r="AL2720" s="23"/>
      <c r="AM2720" s="23"/>
      <c r="AN2720" s="23"/>
      <c r="AO2720" s="23"/>
      <c r="AP2720" s="23"/>
      <c r="AQ2720" s="23"/>
      <c r="AR2720" s="23"/>
      <c r="AS2720" s="23"/>
      <c r="AT2720" s="23"/>
      <c r="AU2720" s="23"/>
      <c r="AV2720" s="23"/>
      <c r="AW2720" s="23"/>
      <c r="AX2720" s="23"/>
      <c r="AY2720" s="23"/>
      <c r="AZ2720" s="23"/>
      <c r="BA2720" s="23"/>
      <c r="BB2720" s="23"/>
    </row>
    <row r="2721" spans="5:54" x14ac:dyDescent="0.35"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  <c r="AA2721" s="23"/>
      <c r="AB2721" s="23"/>
      <c r="AC2721" s="23"/>
      <c r="AD2721" s="23"/>
      <c r="AE2721" s="23"/>
      <c r="AF2721" s="23"/>
      <c r="AG2721" s="23"/>
      <c r="AH2721" s="23"/>
      <c r="AI2721" s="23"/>
      <c r="AJ2721" s="23"/>
      <c r="AK2721" s="23"/>
      <c r="AL2721" s="23"/>
      <c r="AM2721" s="23"/>
      <c r="AN2721" s="23"/>
      <c r="AO2721" s="23"/>
      <c r="AP2721" s="23"/>
      <c r="AQ2721" s="23"/>
      <c r="AR2721" s="23"/>
      <c r="AS2721" s="23"/>
      <c r="AT2721" s="23"/>
      <c r="AU2721" s="23"/>
      <c r="AV2721" s="23"/>
      <c r="AW2721" s="23"/>
      <c r="AX2721" s="23"/>
      <c r="AY2721" s="23"/>
      <c r="AZ2721" s="23"/>
      <c r="BA2721" s="23"/>
      <c r="BB2721" s="23"/>
    </row>
    <row r="2722" spans="5:54" x14ac:dyDescent="0.35"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  <c r="AA2722" s="23"/>
      <c r="AB2722" s="23"/>
      <c r="AC2722" s="23"/>
      <c r="AD2722" s="23"/>
      <c r="AE2722" s="23"/>
      <c r="AF2722" s="23"/>
      <c r="AG2722" s="23"/>
      <c r="AH2722" s="23"/>
      <c r="AI2722" s="23"/>
      <c r="AJ2722" s="23"/>
      <c r="AK2722" s="23"/>
      <c r="AL2722" s="23"/>
      <c r="AM2722" s="23"/>
      <c r="AN2722" s="23"/>
      <c r="AO2722" s="23"/>
      <c r="AP2722" s="23"/>
      <c r="AQ2722" s="23"/>
      <c r="AR2722" s="23"/>
      <c r="AS2722" s="23"/>
      <c r="AT2722" s="23"/>
      <c r="AU2722" s="23"/>
      <c r="AV2722" s="23"/>
      <c r="AW2722" s="23"/>
      <c r="AX2722" s="23"/>
      <c r="AY2722" s="23"/>
      <c r="AZ2722" s="23"/>
      <c r="BA2722" s="23"/>
      <c r="BB2722" s="23"/>
    </row>
    <row r="2723" spans="5:54" x14ac:dyDescent="0.35"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  <c r="AA2723" s="23"/>
      <c r="AB2723" s="23"/>
      <c r="AC2723" s="23"/>
      <c r="AD2723" s="23"/>
      <c r="AE2723" s="23"/>
      <c r="AF2723" s="23"/>
      <c r="AG2723" s="23"/>
      <c r="AH2723" s="23"/>
      <c r="AI2723" s="23"/>
      <c r="AJ2723" s="23"/>
      <c r="AK2723" s="23"/>
      <c r="AL2723" s="23"/>
      <c r="AM2723" s="23"/>
      <c r="AN2723" s="23"/>
      <c r="AO2723" s="23"/>
      <c r="AP2723" s="23"/>
      <c r="AQ2723" s="23"/>
      <c r="AR2723" s="23"/>
      <c r="AS2723" s="23"/>
      <c r="AT2723" s="23"/>
      <c r="AU2723" s="23"/>
      <c r="AV2723" s="23"/>
      <c r="AW2723" s="23"/>
      <c r="AX2723" s="23"/>
      <c r="AY2723" s="23"/>
      <c r="AZ2723" s="23"/>
      <c r="BA2723" s="23"/>
      <c r="BB2723" s="23"/>
    </row>
    <row r="2724" spans="5:54" x14ac:dyDescent="0.35"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  <c r="AA2724" s="23"/>
      <c r="AB2724" s="23"/>
      <c r="AC2724" s="23"/>
      <c r="AD2724" s="23"/>
      <c r="AE2724" s="23"/>
      <c r="AF2724" s="23"/>
      <c r="AG2724" s="23"/>
      <c r="AH2724" s="23"/>
      <c r="AI2724" s="23"/>
      <c r="AJ2724" s="23"/>
      <c r="AK2724" s="23"/>
      <c r="AL2724" s="23"/>
      <c r="AM2724" s="23"/>
      <c r="AN2724" s="23"/>
      <c r="AO2724" s="23"/>
      <c r="AP2724" s="23"/>
      <c r="AQ2724" s="23"/>
      <c r="AR2724" s="23"/>
      <c r="AS2724" s="23"/>
      <c r="AT2724" s="23"/>
      <c r="AU2724" s="23"/>
      <c r="AV2724" s="23"/>
      <c r="AW2724" s="23"/>
      <c r="AX2724" s="23"/>
      <c r="AY2724" s="23"/>
      <c r="AZ2724" s="23"/>
      <c r="BA2724" s="23"/>
      <c r="BB2724" s="23"/>
    </row>
    <row r="2725" spans="5:54" x14ac:dyDescent="0.35"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  <c r="AA2725" s="23"/>
      <c r="AB2725" s="23"/>
      <c r="AC2725" s="23"/>
      <c r="AD2725" s="23"/>
      <c r="AE2725" s="23"/>
      <c r="AF2725" s="23"/>
      <c r="AG2725" s="23"/>
      <c r="AH2725" s="23"/>
      <c r="AI2725" s="23"/>
      <c r="AJ2725" s="23"/>
      <c r="AK2725" s="23"/>
      <c r="AL2725" s="23"/>
      <c r="AM2725" s="23"/>
      <c r="AN2725" s="23"/>
      <c r="AO2725" s="23"/>
      <c r="AP2725" s="23"/>
      <c r="AQ2725" s="23"/>
      <c r="AR2725" s="23"/>
      <c r="AS2725" s="23"/>
      <c r="AT2725" s="23"/>
      <c r="AU2725" s="23"/>
      <c r="AV2725" s="23"/>
      <c r="AW2725" s="23"/>
      <c r="AX2725" s="23"/>
      <c r="AY2725" s="23"/>
      <c r="AZ2725" s="23"/>
      <c r="BA2725" s="23"/>
      <c r="BB2725" s="23"/>
    </row>
    <row r="2726" spans="5:54" x14ac:dyDescent="0.35"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  <c r="AA2726" s="23"/>
      <c r="AB2726" s="23"/>
      <c r="AC2726" s="23"/>
      <c r="AD2726" s="23"/>
      <c r="AE2726" s="23"/>
      <c r="AF2726" s="23"/>
      <c r="AG2726" s="23"/>
      <c r="AH2726" s="23"/>
      <c r="AI2726" s="23"/>
      <c r="AJ2726" s="23"/>
      <c r="AK2726" s="23"/>
      <c r="AL2726" s="23"/>
      <c r="AM2726" s="23"/>
      <c r="AN2726" s="23"/>
      <c r="AO2726" s="23"/>
      <c r="AP2726" s="23"/>
      <c r="AQ2726" s="23"/>
      <c r="AR2726" s="23"/>
      <c r="AS2726" s="23"/>
      <c r="AT2726" s="23"/>
      <c r="AU2726" s="23"/>
      <c r="AV2726" s="23"/>
      <c r="AW2726" s="23"/>
      <c r="AX2726" s="23"/>
      <c r="AY2726" s="23"/>
      <c r="AZ2726" s="23"/>
      <c r="BA2726" s="23"/>
      <c r="BB2726" s="23"/>
    </row>
    <row r="2727" spans="5:54" x14ac:dyDescent="0.35"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  <c r="AA2727" s="23"/>
      <c r="AB2727" s="23"/>
      <c r="AC2727" s="23"/>
      <c r="AD2727" s="23"/>
      <c r="AE2727" s="23"/>
      <c r="AF2727" s="23"/>
      <c r="AG2727" s="23"/>
      <c r="AH2727" s="23"/>
      <c r="AI2727" s="23"/>
      <c r="AJ2727" s="23"/>
      <c r="AK2727" s="23"/>
      <c r="AL2727" s="23"/>
      <c r="AM2727" s="23"/>
      <c r="AN2727" s="23"/>
      <c r="AO2727" s="23"/>
      <c r="AP2727" s="23"/>
      <c r="AQ2727" s="23"/>
      <c r="AR2727" s="23"/>
      <c r="AS2727" s="23"/>
      <c r="AT2727" s="23"/>
      <c r="AU2727" s="23"/>
      <c r="AV2727" s="23"/>
      <c r="AW2727" s="23"/>
      <c r="AX2727" s="23"/>
      <c r="AY2727" s="23"/>
      <c r="AZ2727" s="23"/>
      <c r="BA2727" s="23"/>
      <c r="BB2727" s="23"/>
    </row>
    <row r="2728" spans="5:54" x14ac:dyDescent="0.35"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  <c r="AA2728" s="23"/>
      <c r="AB2728" s="23"/>
      <c r="AC2728" s="23"/>
      <c r="AD2728" s="23"/>
      <c r="AE2728" s="23"/>
      <c r="AF2728" s="23"/>
      <c r="AG2728" s="23"/>
      <c r="AH2728" s="23"/>
      <c r="AI2728" s="23"/>
      <c r="AJ2728" s="23"/>
      <c r="AK2728" s="23"/>
      <c r="AL2728" s="23"/>
      <c r="AM2728" s="23"/>
      <c r="AN2728" s="23"/>
      <c r="AO2728" s="23"/>
      <c r="AP2728" s="23"/>
      <c r="AQ2728" s="23"/>
      <c r="AR2728" s="23"/>
      <c r="AS2728" s="23"/>
      <c r="AT2728" s="23"/>
      <c r="AU2728" s="23"/>
      <c r="AV2728" s="23"/>
      <c r="AW2728" s="23"/>
      <c r="AX2728" s="23"/>
      <c r="AY2728" s="23"/>
      <c r="AZ2728" s="23"/>
      <c r="BA2728" s="23"/>
      <c r="BB2728" s="23"/>
    </row>
    <row r="2729" spans="5:54" x14ac:dyDescent="0.35"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  <c r="AA2729" s="23"/>
      <c r="AB2729" s="23"/>
      <c r="AC2729" s="23"/>
      <c r="AD2729" s="23"/>
      <c r="AE2729" s="23"/>
      <c r="AF2729" s="23"/>
      <c r="AG2729" s="23"/>
      <c r="AH2729" s="23"/>
      <c r="AI2729" s="23"/>
      <c r="AJ2729" s="23"/>
      <c r="AK2729" s="23"/>
      <c r="AL2729" s="23"/>
      <c r="AM2729" s="23"/>
      <c r="AN2729" s="23"/>
      <c r="AO2729" s="23"/>
      <c r="AP2729" s="23"/>
      <c r="AQ2729" s="23"/>
      <c r="AR2729" s="23"/>
      <c r="AS2729" s="23"/>
      <c r="AT2729" s="23"/>
      <c r="AU2729" s="23"/>
      <c r="AV2729" s="23"/>
      <c r="AW2729" s="23"/>
      <c r="AX2729" s="23"/>
      <c r="AY2729" s="23"/>
      <c r="AZ2729" s="23"/>
      <c r="BA2729" s="23"/>
      <c r="BB2729" s="23"/>
    </row>
    <row r="2730" spans="5:54" x14ac:dyDescent="0.35"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  <c r="AA2730" s="23"/>
      <c r="AB2730" s="23"/>
      <c r="AC2730" s="23"/>
      <c r="AD2730" s="23"/>
      <c r="AE2730" s="23"/>
      <c r="AF2730" s="23"/>
      <c r="AG2730" s="23"/>
      <c r="AH2730" s="23"/>
      <c r="AI2730" s="23"/>
      <c r="AJ2730" s="23"/>
      <c r="AK2730" s="23"/>
      <c r="AL2730" s="23"/>
      <c r="AM2730" s="23"/>
      <c r="AN2730" s="23"/>
      <c r="AO2730" s="23"/>
      <c r="AP2730" s="23"/>
      <c r="AQ2730" s="23"/>
      <c r="AR2730" s="23"/>
      <c r="AS2730" s="23"/>
      <c r="AT2730" s="23"/>
      <c r="AU2730" s="23"/>
      <c r="AV2730" s="23"/>
      <c r="AW2730" s="23"/>
      <c r="AX2730" s="23"/>
      <c r="AY2730" s="23"/>
      <c r="AZ2730" s="23"/>
      <c r="BA2730" s="23"/>
      <c r="BB2730" s="23"/>
    </row>
    <row r="2731" spans="5:54" x14ac:dyDescent="0.35"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  <c r="AA2731" s="23"/>
      <c r="AB2731" s="23"/>
      <c r="AC2731" s="23"/>
      <c r="AD2731" s="23"/>
      <c r="AE2731" s="23"/>
      <c r="AF2731" s="23"/>
      <c r="AG2731" s="23"/>
      <c r="AH2731" s="23"/>
      <c r="AI2731" s="23"/>
      <c r="AJ2731" s="23"/>
      <c r="AK2731" s="23"/>
      <c r="AL2731" s="23"/>
      <c r="AM2731" s="23"/>
      <c r="AN2731" s="23"/>
      <c r="AO2731" s="23"/>
      <c r="AP2731" s="23"/>
      <c r="AQ2731" s="23"/>
      <c r="AR2731" s="23"/>
      <c r="AS2731" s="23"/>
      <c r="AT2731" s="23"/>
      <c r="AU2731" s="23"/>
      <c r="AV2731" s="23"/>
      <c r="AW2731" s="23"/>
      <c r="AX2731" s="23"/>
      <c r="AY2731" s="23"/>
      <c r="AZ2731" s="23"/>
      <c r="BA2731" s="23"/>
      <c r="BB2731" s="23"/>
    </row>
    <row r="2732" spans="5:54" x14ac:dyDescent="0.35"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  <c r="AA2732" s="23"/>
      <c r="AB2732" s="23"/>
      <c r="AC2732" s="23"/>
      <c r="AD2732" s="23"/>
      <c r="AE2732" s="23"/>
      <c r="AF2732" s="23"/>
      <c r="AG2732" s="23"/>
      <c r="AH2732" s="23"/>
      <c r="AI2732" s="23"/>
      <c r="AJ2732" s="23"/>
      <c r="AK2732" s="23"/>
      <c r="AL2732" s="23"/>
      <c r="AM2732" s="23"/>
      <c r="AN2732" s="23"/>
      <c r="AO2732" s="23"/>
      <c r="AP2732" s="23"/>
      <c r="AQ2732" s="23"/>
      <c r="AR2732" s="23"/>
      <c r="AS2732" s="23"/>
      <c r="AT2732" s="23"/>
      <c r="AU2732" s="23"/>
      <c r="AV2732" s="23"/>
      <c r="AW2732" s="23"/>
      <c r="AX2732" s="23"/>
      <c r="AY2732" s="23"/>
      <c r="AZ2732" s="23"/>
      <c r="BA2732" s="23"/>
      <c r="BB2732" s="23"/>
    </row>
    <row r="2733" spans="5:54" x14ac:dyDescent="0.35"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  <c r="AA2733" s="23"/>
      <c r="AB2733" s="23"/>
      <c r="AC2733" s="23"/>
      <c r="AD2733" s="23"/>
      <c r="AE2733" s="23"/>
      <c r="AF2733" s="23"/>
      <c r="AG2733" s="23"/>
      <c r="AH2733" s="23"/>
      <c r="AI2733" s="23"/>
      <c r="AJ2733" s="23"/>
      <c r="AK2733" s="23"/>
      <c r="AL2733" s="23"/>
      <c r="AM2733" s="23"/>
      <c r="AN2733" s="23"/>
      <c r="AO2733" s="23"/>
      <c r="AP2733" s="23"/>
      <c r="AQ2733" s="23"/>
      <c r="AR2733" s="23"/>
      <c r="AS2733" s="23"/>
      <c r="AT2733" s="23"/>
      <c r="AU2733" s="23"/>
      <c r="AV2733" s="23"/>
      <c r="AW2733" s="23"/>
      <c r="AX2733" s="23"/>
      <c r="AY2733" s="23"/>
      <c r="AZ2733" s="23"/>
      <c r="BA2733" s="23"/>
      <c r="BB2733" s="23"/>
    </row>
    <row r="2734" spans="5:54" x14ac:dyDescent="0.35"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  <c r="AA2734" s="23"/>
      <c r="AB2734" s="23"/>
      <c r="AC2734" s="23"/>
      <c r="AD2734" s="23"/>
      <c r="AE2734" s="23"/>
      <c r="AF2734" s="23"/>
      <c r="AG2734" s="23"/>
      <c r="AH2734" s="23"/>
      <c r="AI2734" s="23"/>
      <c r="AJ2734" s="23"/>
      <c r="AK2734" s="23"/>
      <c r="AL2734" s="23"/>
      <c r="AM2734" s="23"/>
      <c r="AN2734" s="23"/>
      <c r="AO2734" s="23"/>
      <c r="AP2734" s="23"/>
      <c r="AQ2734" s="23"/>
      <c r="AR2734" s="23"/>
      <c r="AS2734" s="23"/>
      <c r="AT2734" s="23"/>
      <c r="AU2734" s="23"/>
      <c r="AV2734" s="23"/>
      <c r="AW2734" s="23"/>
      <c r="AX2734" s="23"/>
      <c r="AY2734" s="23"/>
      <c r="AZ2734" s="23"/>
      <c r="BA2734" s="23"/>
      <c r="BB2734" s="23"/>
    </row>
    <row r="2735" spans="5:54" x14ac:dyDescent="0.35"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  <c r="AA2735" s="23"/>
      <c r="AB2735" s="23"/>
      <c r="AC2735" s="23"/>
      <c r="AD2735" s="23"/>
      <c r="AE2735" s="23"/>
      <c r="AF2735" s="23"/>
      <c r="AG2735" s="23"/>
      <c r="AH2735" s="23"/>
      <c r="AI2735" s="23"/>
      <c r="AJ2735" s="23"/>
      <c r="AK2735" s="23"/>
      <c r="AL2735" s="23"/>
      <c r="AM2735" s="23"/>
      <c r="AN2735" s="23"/>
      <c r="AO2735" s="23"/>
      <c r="AP2735" s="23"/>
      <c r="AQ2735" s="23"/>
      <c r="AR2735" s="23"/>
      <c r="AS2735" s="23"/>
      <c r="AT2735" s="23"/>
      <c r="AU2735" s="23"/>
      <c r="AV2735" s="23"/>
      <c r="AW2735" s="23"/>
      <c r="AX2735" s="23"/>
      <c r="AY2735" s="23"/>
      <c r="AZ2735" s="23"/>
      <c r="BA2735" s="23"/>
      <c r="BB2735" s="23"/>
    </row>
    <row r="2736" spans="5:54" x14ac:dyDescent="0.35"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  <c r="AA2736" s="23"/>
      <c r="AB2736" s="23"/>
      <c r="AC2736" s="23"/>
      <c r="AD2736" s="23"/>
      <c r="AE2736" s="23"/>
      <c r="AF2736" s="23"/>
      <c r="AG2736" s="23"/>
      <c r="AH2736" s="23"/>
      <c r="AI2736" s="23"/>
      <c r="AJ2736" s="23"/>
      <c r="AK2736" s="23"/>
      <c r="AL2736" s="23"/>
      <c r="AM2736" s="23"/>
      <c r="AN2736" s="23"/>
      <c r="AO2736" s="23"/>
      <c r="AP2736" s="23"/>
      <c r="AQ2736" s="23"/>
      <c r="AR2736" s="23"/>
      <c r="AS2736" s="23"/>
      <c r="AT2736" s="23"/>
      <c r="AU2736" s="23"/>
      <c r="AV2736" s="23"/>
      <c r="AW2736" s="23"/>
      <c r="AX2736" s="23"/>
      <c r="AY2736" s="23"/>
      <c r="AZ2736" s="23"/>
      <c r="BA2736" s="23"/>
      <c r="BB2736" s="23"/>
    </row>
    <row r="2737" spans="5:54" x14ac:dyDescent="0.35"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  <c r="AA2737" s="23"/>
      <c r="AB2737" s="23"/>
      <c r="AC2737" s="23"/>
      <c r="AD2737" s="23"/>
      <c r="AE2737" s="23"/>
      <c r="AF2737" s="23"/>
      <c r="AG2737" s="23"/>
      <c r="AH2737" s="23"/>
      <c r="AI2737" s="23"/>
      <c r="AJ2737" s="23"/>
      <c r="AK2737" s="23"/>
      <c r="AL2737" s="23"/>
      <c r="AM2737" s="23"/>
      <c r="AN2737" s="23"/>
      <c r="AO2737" s="23"/>
      <c r="AP2737" s="23"/>
      <c r="AQ2737" s="23"/>
      <c r="AR2737" s="23"/>
      <c r="AS2737" s="23"/>
      <c r="AT2737" s="23"/>
      <c r="AU2737" s="23"/>
      <c r="AV2737" s="23"/>
      <c r="AW2737" s="23"/>
      <c r="AX2737" s="23"/>
      <c r="AY2737" s="23"/>
      <c r="AZ2737" s="23"/>
      <c r="BA2737" s="23"/>
      <c r="BB2737" s="23"/>
    </row>
    <row r="2738" spans="5:54" x14ac:dyDescent="0.35"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  <c r="AA2738" s="23"/>
      <c r="AB2738" s="23"/>
      <c r="AC2738" s="23"/>
      <c r="AD2738" s="23"/>
      <c r="AE2738" s="23"/>
      <c r="AF2738" s="23"/>
      <c r="AG2738" s="23"/>
      <c r="AH2738" s="23"/>
      <c r="AI2738" s="23"/>
      <c r="AJ2738" s="23"/>
      <c r="AK2738" s="23"/>
      <c r="AL2738" s="23"/>
      <c r="AM2738" s="23"/>
      <c r="AN2738" s="23"/>
      <c r="AO2738" s="23"/>
      <c r="AP2738" s="23"/>
      <c r="AQ2738" s="23"/>
      <c r="AR2738" s="23"/>
      <c r="AS2738" s="23"/>
      <c r="AT2738" s="23"/>
      <c r="AU2738" s="23"/>
      <c r="AV2738" s="23"/>
      <c r="AW2738" s="23"/>
      <c r="AX2738" s="23"/>
      <c r="AY2738" s="23"/>
      <c r="AZ2738" s="23"/>
      <c r="BA2738" s="23"/>
      <c r="BB2738" s="23"/>
    </row>
    <row r="2739" spans="5:54" x14ac:dyDescent="0.35"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  <c r="AA2739" s="23"/>
      <c r="AB2739" s="23"/>
      <c r="AC2739" s="23"/>
      <c r="AD2739" s="23"/>
      <c r="AE2739" s="23"/>
      <c r="AF2739" s="23"/>
      <c r="AG2739" s="23"/>
      <c r="AH2739" s="23"/>
      <c r="AI2739" s="23"/>
      <c r="AJ2739" s="23"/>
      <c r="AK2739" s="23"/>
      <c r="AL2739" s="23"/>
      <c r="AM2739" s="23"/>
      <c r="AN2739" s="23"/>
      <c r="AO2739" s="23"/>
      <c r="AP2739" s="23"/>
      <c r="AQ2739" s="23"/>
      <c r="AR2739" s="23"/>
      <c r="AS2739" s="23"/>
      <c r="AT2739" s="23"/>
      <c r="AU2739" s="23"/>
      <c r="AV2739" s="23"/>
      <c r="AW2739" s="23"/>
      <c r="AX2739" s="23"/>
      <c r="AY2739" s="23"/>
      <c r="AZ2739" s="23"/>
      <c r="BA2739" s="23"/>
      <c r="BB2739" s="23"/>
    </row>
    <row r="2740" spans="5:54" x14ac:dyDescent="0.35"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  <c r="AA2740" s="23"/>
      <c r="AB2740" s="23"/>
      <c r="AC2740" s="23"/>
      <c r="AD2740" s="23"/>
      <c r="AE2740" s="23"/>
      <c r="AF2740" s="23"/>
      <c r="AG2740" s="23"/>
      <c r="AH2740" s="23"/>
      <c r="AI2740" s="23"/>
      <c r="AJ2740" s="23"/>
      <c r="AK2740" s="23"/>
      <c r="AL2740" s="23"/>
      <c r="AM2740" s="23"/>
      <c r="AN2740" s="23"/>
      <c r="AO2740" s="23"/>
      <c r="AP2740" s="23"/>
      <c r="AQ2740" s="23"/>
      <c r="AR2740" s="23"/>
      <c r="AS2740" s="23"/>
      <c r="AT2740" s="23"/>
      <c r="AU2740" s="23"/>
      <c r="AV2740" s="23"/>
      <c r="AW2740" s="23"/>
      <c r="AX2740" s="23"/>
      <c r="AY2740" s="23"/>
      <c r="AZ2740" s="23"/>
      <c r="BA2740" s="23"/>
      <c r="BB2740" s="23"/>
    </row>
    <row r="2741" spans="5:54" x14ac:dyDescent="0.35"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  <c r="AA2741" s="23"/>
      <c r="AB2741" s="23"/>
      <c r="AC2741" s="23"/>
      <c r="AD2741" s="23"/>
      <c r="AE2741" s="23"/>
      <c r="AF2741" s="23"/>
      <c r="AG2741" s="23"/>
      <c r="AH2741" s="23"/>
      <c r="AI2741" s="23"/>
      <c r="AJ2741" s="23"/>
      <c r="AK2741" s="23"/>
      <c r="AL2741" s="23"/>
      <c r="AM2741" s="23"/>
      <c r="AN2741" s="23"/>
      <c r="AO2741" s="23"/>
      <c r="AP2741" s="23"/>
      <c r="AQ2741" s="23"/>
      <c r="AR2741" s="23"/>
      <c r="AS2741" s="23"/>
      <c r="AT2741" s="23"/>
      <c r="AU2741" s="23"/>
      <c r="AV2741" s="23"/>
      <c r="AW2741" s="23"/>
      <c r="AX2741" s="23"/>
      <c r="AY2741" s="23"/>
      <c r="AZ2741" s="23"/>
      <c r="BA2741" s="23"/>
      <c r="BB2741" s="23"/>
    </row>
    <row r="2742" spans="5:54" x14ac:dyDescent="0.35"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  <c r="AA2742" s="23"/>
      <c r="AB2742" s="23"/>
      <c r="AC2742" s="23"/>
      <c r="AD2742" s="23"/>
      <c r="AE2742" s="23"/>
      <c r="AF2742" s="23"/>
      <c r="AG2742" s="23"/>
      <c r="AH2742" s="23"/>
      <c r="AI2742" s="23"/>
      <c r="AJ2742" s="23"/>
      <c r="AK2742" s="23"/>
      <c r="AL2742" s="23"/>
      <c r="AM2742" s="23"/>
      <c r="AN2742" s="23"/>
      <c r="AO2742" s="23"/>
      <c r="AP2742" s="23"/>
      <c r="AQ2742" s="23"/>
      <c r="AR2742" s="23"/>
      <c r="AS2742" s="23"/>
      <c r="AT2742" s="23"/>
      <c r="AU2742" s="23"/>
      <c r="AV2742" s="23"/>
      <c r="AW2742" s="23"/>
      <c r="AX2742" s="23"/>
      <c r="AY2742" s="23"/>
      <c r="AZ2742" s="23"/>
      <c r="BA2742" s="23"/>
      <c r="BB2742" s="23"/>
    </row>
    <row r="2743" spans="5:54" x14ac:dyDescent="0.35"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  <c r="AA2743" s="23"/>
      <c r="AB2743" s="23"/>
      <c r="AC2743" s="23"/>
      <c r="AD2743" s="23"/>
      <c r="AE2743" s="23"/>
      <c r="AF2743" s="23"/>
      <c r="AG2743" s="23"/>
      <c r="AH2743" s="23"/>
      <c r="AI2743" s="23"/>
      <c r="AJ2743" s="23"/>
      <c r="AK2743" s="23"/>
      <c r="AL2743" s="23"/>
      <c r="AM2743" s="23"/>
      <c r="AN2743" s="23"/>
      <c r="AO2743" s="23"/>
      <c r="AP2743" s="23"/>
      <c r="AQ2743" s="23"/>
      <c r="AR2743" s="23"/>
      <c r="AS2743" s="23"/>
      <c r="AT2743" s="23"/>
      <c r="AU2743" s="23"/>
      <c r="AV2743" s="23"/>
      <c r="AW2743" s="23"/>
      <c r="AX2743" s="23"/>
      <c r="AY2743" s="23"/>
      <c r="AZ2743" s="23"/>
      <c r="BA2743" s="23"/>
      <c r="BB2743" s="23"/>
    </row>
    <row r="2744" spans="5:54" x14ac:dyDescent="0.35"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  <c r="AA2744" s="23"/>
      <c r="AB2744" s="23"/>
      <c r="AC2744" s="23"/>
      <c r="AD2744" s="23"/>
      <c r="AE2744" s="23"/>
      <c r="AF2744" s="23"/>
      <c r="AG2744" s="23"/>
      <c r="AH2744" s="23"/>
      <c r="AI2744" s="23"/>
      <c r="AJ2744" s="23"/>
      <c r="AK2744" s="23"/>
      <c r="AL2744" s="23"/>
      <c r="AM2744" s="23"/>
      <c r="AN2744" s="23"/>
      <c r="AO2744" s="23"/>
      <c r="AP2744" s="23"/>
      <c r="AQ2744" s="23"/>
      <c r="AR2744" s="23"/>
      <c r="AS2744" s="23"/>
      <c r="AT2744" s="23"/>
      <c r="AU2744" s="23"/>
      <c r="AV2744" s="23"/>
      <c r="AW2744" s="23"/>
      <c r="AX2744" s="23"/>
      <c r="AY2744" s="23"/>
      <c r="AZ2744" s="23"/>
      <c r="BA2744" s="23"/>
      <c r="BB2744" s="23"/>
    </row>
    <row r="2745" spans="5:54" x14ac:dyDescent="0.35"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  <c r="AA2745" s="23"/>
      <c r="AB2745" s="23"/>
      <c r="AC2745" s="23"/>
      <c r="AD2745" s="23"/>
      <c r="AE2745" s="23"/>
      <c r="AF2745" s="23"/>
      <c r="AG2745" s="23"/>
      <c r="AH2745" s="23"/>
      <c r="AI2745" s="23"/>
      <c r="AJ2745" s="23"/>
      <c r="AK2745" s="23"/>
      <c r="AL2745" s="23"/>
      <c r="AM2745" s="23"/>
      <c r="AN2745" s="23"/>
      <c r="AO2745" s="23"/>
      <c r="AP2745" s="23"/>
      <c r="AQ2745" s="23"/>
      <c r="AR2745" s="23"/>
      <c r="AS2745" s="23"/>
      <c r="AT2745" s="23"/>
      <c r="AU2745" s="23"/>
      <c r="AV2745" s="23"/>
      <c r="AW2745" s="23"/>
      <c r="AX2745" s="23"/>
      <c r="AY2745" s="23"/>
      <c r="AZ2745" s="23"/>
      <c r="BA2745" s="23"/>
      <c r="BB2745" s="23"/>
    </row>
    <row r="2746" spans="5:54" x14ac:dyDescent="0.35"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  <c r="AA2746" s="23"/>
      <c r="AB2746" s="23"/>
      <c r="AC2746" s="23"/>
      <c r="AD2746" s="23"/>
      <c r="AE2746" s="23"/>
      <c r="AF2746" s="23"/>
      <c r="AG2746" s="23"/>
      <c r="AH2746" s="23"/>
      <c r="AI2746" s="23"/>
      <c r="AJ2746" s="23"/>
      <c r="AK2746" s="23"/>
      <c r="AL2746" s="23"/>
      <c r="AM2746" s="23"/>
      <c r="AN2746" s="23"/>
      <c r="AO2746" s="23"/>
      <c r="AP2746" s="23"/>
      <c r="AQ2746" s="23"/>
      <c r="AR2746" s="23"/>
      <c r="AS2746" s="23"/>
      <c r="AT2746" s="23"/>
      <c r="AU2746" s="23"/>
      <c r="AV2746" s="23"/>
      <c r="AW2746" s="23"/>
      <c r="AX2746" s="23"/>
      <c r="AY2746" s="23"/>
      <c r="AZ2746" s="23"/>
      <c r="BA2746" s="23"/>
      <c r="BB2746" s="23"/>
    </row>
    <row r="2747" spans="5:54" x14ac:dyDescent="0.35"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  <c r="AA2747" s="23"/>
      <c r="AB2747" s="23"/>
      <c r="AC2747" s="23"/>
      <c r="AD2747" s="23"/>
      <c r="AE2747" s="23"/>
      <c r="AF2747" s="23"/>
      <c r="AG2747" s="23"/>
      <c r="AH2747" s="23"/>
      <c r="AI2747" s="23"/>
      <c r="AJ2747" s="23"/>
      <c r="AK2747" s="23"/>
      <c r="AL2747" s="23"/>
      <c r="AM2747" s="23"/>
      <c r="AN2747" s="23"/>
      <c r="AO2747" s="23"/>
      <c r="AP2747" s="23"/>
      <c r="AQ2747" s="23"/>
      <c r="AR2747" s="23"/>
      <c r="AS2747" s="23"/>
      <c r="AT2747" s="23"/>
      <c r="AU2747" s="23"/>
      <c r="AV2747" s="23"/>
      <c r="AW2747" s="23"/>
      <c r="AX2747" s="23"/>
      <c r="AY2747" s="23"/>
      <c r="AZ2747" s="23"/>
      <c r="BA2747" s="23"/>
      <c r="BB2747" s="23"/>
    </row>
    <row r="2748" spans="5:54" x14ac:dyDescent="0.35"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  <c r="AA2748" s="23"/>
      <c r="AB2748" s="23"/>
      <c r="AC2748" s="23"/>
      <c r="AD2748" s="23"/>
      <c r="AE2748" s="23"/>
      <c r="AF2748" s="23"/>
      <c r="AG2748" s="23"/>
      <c r="AH2748" s="23"/>
      <c r="AI2748" s="23"/>
      <c r="AJ2748" s="23"/>
      <c r="AK2748" s="23"/>
      <c r="AL2748" s="23"/>
      <c r="AM2748" s="23"/>
      <c r="AN2748" s="23"/>
      <c r="AO2748" s="23"/>
      <c r="AP2748" s="23"/>
      <c r="AQ2748" s="23"/>
      <c r="AR2748" s="23"/>
      <c r="AS2748" s="23"/>
      <c r="AT2748" s="23"/>
      <c r="AU2748" s="23"/>
      <c r="AV2748" s="23"/>
      <c r="AW2748" s="23"/>
      <c r="AX2748" s="23"/>
      <c r="AY2748" s="23"/>
      <c r="AZ2748" s="23"/>
      <c r="BA2748" s="23"/>
      <c r="BB2748" s="23"/>
    </row>
    <row r="2749" spans="5:54" x14ac:dyDescent="0.35"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  <c r="AA2749" s="23"/>
      <c r="AB2749" s="23"/>
      <c r="AC2749" s="23"/>
      <c r="AD2749" s="23"/>
      <c r="AE2749" s="23"/>
      <c r="AF2749" s="23"/>
      <c r="AG2749" s="23"/>
      <c r="AH2749" s="23"/>
      <c r="AI2749" s="23"/>
      <c r="AJ2749" s="23"/>
      <c r="AK2749" s="23"/>
      <c r="AL2749" s="23"/>
      <c r="AM2749" s="23"/>
      <c r="AN2749" s="23"/>
      <c r="AO2749" s="23"/>
      <c r="AP2749" s="23"/>
      <c r="AQ2749" s="23"/>
      <c r="AR2749" s="23"/>
      <c r="AS2749" s="23"/>
      <c r="AT2749" s="23"/>
      <c r="AU2749" s="23"/>
      <c r="AV2749" s="23"/>
      <c r="AW2749" s="23"/>
      <c r="AX2749" s="23"/>
      <c r="AY2749" s="23"/>
      <c r="AZ2749" s="23"/>
      <c r="BA2749" s="23"/>
      <c r="BB2749" s="23"/>
    </row>
    <row r="2750" spans="5:54" x14ac:dyDescent="0.35"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  <c r="AA2750" s="23"/>
      <c r="AB2750" s="23"/>
      <c r="AC2750" s="23"/>
      <c r="AD2750" s="23"/>
      <c r="AE2750" s="23"/>
      <c r="AF2750" s="23"/>
      <c r="AG2750" s="23"/>
      <c r="AH2750" s="23"/>
      <c r="AI2750" s="23"/>
      <c r="AJ2750" s="23"/>
      <c r="AK2750" s="23"/>
      <c r="AL2750" s="23"/>
      <c r="AM2750" s="23"/>
      <c r="AN2750" s="23"/>
      <c r="AO2750" s="23"/>
      <c r="AP2750" s="23"/>
      <c r="AQ2750" s="23"/>
      <c r="AR2750" s="23"/>
      <c r="AS2750" s="23"/>
      <c r="AT2750" s="23"/>
      <c r="AU2750" s="23"/>
      <c r="AV2750" s="23"/>
      <c r="AW2750" s="23"/>
      <c r="AX2750" s="23"/>
      <c r="AY2750" s="23"/>
      <c r="AZ2750" s="23"/>
      <c r="BA2750" s="23"/>
      <c r="BB2750" s="23"/>
    </row>
    <row r="2751" spans="5:54" x14ac:dyDescent="0.35"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  <c r="AA2751" s="23"/>
      <c r="AB2751" s="23"/>
      <c r="AC2751" s="23"/>
      <c r="AD2751" s="23"/>
      <c r="AE2751" s="23"/>
      <c r="AF2751" s="23"/>
      <c r="AG2751" s="23"/>
      <c r="AH2751" s="23"/>
      <c r="AI2751" s="23"/>
      <c r="AJ2751" s="23"/>
      <c r="AK2751" s="23"/>
      <c r="AL2751" s="23"/>
      <c r="AM2751" s="23"/>
      <c r="AN2751" s="23"/>
      <c r="AO2751" s="23"/>
      <c r="AP2751" s="23"/>
      <c r="AQ2751" s="23"/>
      <c r="AR2751" s="23"/>
      <c r="AS2751" s="23"/>
      <c r="AT2751" s="23"/>
      <c r="AU2751" s="23"/>
      <c r="AV2751" s="23"/>
      <c r="AW2751" s="23"/>
      <c r="AX2751" s="23"/>
      <c r="AY2751" s="23"/>
      <c r="AZ2751" s="23"/>
      <c r="BA2751" s="23"/>
      <c r="BB2751" s="23"/>
    </row>
    <row r="2752" spans="5:54" x14ac:dyDescent="0.35"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  <c r="AA2752" s="23"/>
      <c r="AB2752" s="23"/>
      <c r="AC2752" s="23"/>
      <c r="AD2752" s="23"/>
      <c r="AE2752" s="23"/>
      <c r="AF2752" s="23"/>
      <c r="AG2752" s="23"/>
      <c r="AH2752" s="23"/>
      <c r="AI2752" s="23"/>
      <c r="AJ2752" s="23"/>
      <c r="AK2752" s="23"/>
      <c r="AL2752" s="23"/>
      <c r="AM2752" s="23"/>
      <c r="AN2752" s="23"/>
      <c r="AO2752" s="23"/>
      <c r="AP2752" s="23"/>
      <c r="AQ2752" s="23"/>
      <c r="AR2752" s="23"/>
      <c r="AS2752" s="23"/>
      <c r="AT2752" s="23"/>
      <c r="AU2752" s="23"/>
      <c r="AV2752" s="23"/>
      <c r="AW2752" s="23"/>
      <c r="AX2752" s="23"/>
      <c r="AY2752" s="23"/>
      <c r="AZ2752" s="23"/>
      <c r="BA2752" s="23"/>
      <c r="BB2752" s="23"/>
    </row>
    <row r="2753" spans="5:54" x14ac:dyDescent="0.35"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  <c r="AA2753" s="23"/>
      <c r="AB2753" s="23"/>
      <c r="AC2753" s="23"/>
      <c r="AD2753" s="23"/>
      <c r="AE2753" s="23"/>
      <c r="AF2753" s="23"/>
      <c r="AG2753" s="23"/>
      <c r="AH2753" s="23"/>
      <c r="AI2753" s="23"/>
      <c r="AJ2753" s="23"/>
      <c r="AK2753" s="23"/>
      <c r="AL2753" s="23"/>
      <c r="AM2753" s="23"/>
      <c r="AN2753" s="23"/>
      <c r="AO2753" s="23"/>
      <c r="AP2753" s="23"/>
      <c r="AQ2753" s="23"/>
      <c r="AR2753" s="23"/>
      <c r="AS2753" s="23"/>
      <c r="AT2753" s="23"/>
      <c r="AU2753" s="23"/>
      <c r="AV2753" s="23"/>
      <c r="AW2753" s="23"/>
      <c r="AX2753" s="23"/>
      <c r="AY2753" s="23"/>
      <c r="AZ2753" s="23"/>
      <c r="BA2753" s="23"/>
      <c r="BB2753" s="23"/>
    </row>
    <row r="2754" spans="5:54" x14ac:dyDescent="0.35"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  <c r="AA2754" s="23"/>
      <c r="AB2754" s="23"/>
      <c r="AC2754" s="23"/>
      <c r="AD2754" s="23"/>
      <c r="AE2754" s="23"/>
      <c r="AF2754" s="23"/>
      <c r="AG2754" s="23"/>
      <c r="AH2754" s="23"/>
      <c r="AI2754" s="23"/>
      <c r="AJ2754" s="23"/>
      <c r="AK2754" s="23"/>
      <c r="AL2754" s="23"/>
      <c r="AM2754" s="23"/>
      <c r="AN2754" s="23"/>
      <c r="AO2754" s="23"/>
      <c r="AP2754" s="23"/>
      <c r="AQ2754" s="23"/>
      <c r="AR2754" s="23"/>
      <c r="AS2754" s="23"/>
      <c r="AT2754" s="23"/>
      <c r="AU2754" s="23"/>
      <c r="AV2754" s="23"/>
      <c r="AW2754" s="23"/>
      <c r="AX2754" s="23"/>
      <c r="AY2754" s="23"/>
      <c r="AZ2754" s="23"/>
      <c r="BA2754" s="23"/>
      <c r="BB2754" s="23"/>
    </row>
    <row r="2755" spans="5:54" x14ac:dyDescent="0.35"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  <c r="AA2755" s="23"/>
      <c r="AB2755" s="23"/>
      <c r="AC2755" s="23"/>
      <c r="AD2755" s="23"/>
      <c r="AE2755" s="23"/>
      <c r="AF2755" s="23"/>
      <c r="AG2755" s="23"/>
      <c r="AH2755" s="23"/>
      <c r="AI2755" s="23"/>
      <c r="AJ2755" s="23"/>
      <c r="AK2755" s="23"/>
      <c r="AL2755" s="23"/>
      <c r="AM2755" s="23"/>
      <c r="AN2755" s="23"/>
      <c r="AO2755" s="23"/>
      <c r="AP2755" s="23"/>
      <c r="AQ2755" s="23"/>
      <c r="AR2755" s="23"/>
      <c r="AS2755" s="23"/>
      <c r="AT2755" s="23"/>
      <c r="AU2755" s="23"/>
      <c r="AV2755" s="23"/>
      <c r="AW2755" s="23"/>
      <c r="AX2755" s="23"/>
      <c r="AY2755" s="23"/>
      <c r="AZ2755" s="23"/>
      <c r="BA2755" s="23"/>
      <c r="BB2755" s="23"/>
    </row>
    <row r="2756" spans="5:54" x14ac:dyDescent="0.35"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  <c r="AA2756" s="23"/>
      <c r="AB2756" s="23"/>
      <c r="AC2756" s="23"/>
      <c r="AD2756" s="23"/>
      <c r="AE2756" s="23"/>
      <c r="AF2756" s="23"/>
      <c r="AG2756" s="23"/>
      <c r="AH2756" s="23"/>
      <c r="AI2756" s="23"/>
      <c r="AJ2756" s="23"/>
      <c r="AK2756" s="23"/>
      <c r="AL2756" s="23"/>
      <c r="AM2756" s="23"/>
      <c r="AN2756" s="23"/>
      <c r="AO2756" s="23"/>
      <c r="AP2756" s="23"/>
      <c r="AQ2756" s="23"/>
      <c r="AR2756" s="23"/>
      <c r="AS2756" s="23"/>
      <c r="AT2756" s="23"/>
      <c r="AU2756" s="23"/>
      <c r="AV2756" s="23"/>
      <c r="AW2756" s="23"/>
      <c r="AX2756" s="23"/>
      <c r="AY2756" s="23"/>
      <c r="AZ2756" s="23"/>
      <c r="BA2756" s="23"/>
      <c r="BB2756" s="23"/>
    </row>
    <row r="2757" spans="5:54" x14ac:dyDescent="0.35"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  <c r="AA2757" s="23"/>
      <c r="AB2757" s="23"/>
      <c r="AC2757" s="23"/>
      <c r="AD2757" s="23"/>
      <c r="AE2757" s="23"/>
      <c r="AF2757" s="23"/>
      <c r="AG2757" s="23"/>
      <c r="AH2757" s="23"/>
      <c r="AI2757" s="23"/>
      <c r="AJ2757" s="23"/>
      <c r="AK2757" s="23"/>
      <c r="AL2757" s="23"/>
      <c r="AM2757" s="23"/>
      <c r="AN2757" s="23"/>
      <c r="AO2757" s="23"/>
      <c r="AP2757" s="23"/>
      <c r="AQ2757" s="23"/>
      <c r="AR2757" s="23"/>
      <c r="AS2757" s="23"/>
      <c r="AT2757" s="23"/>
      <c r="AU2757" s="23"/>
      <c r="AV2757" s="23"/>
      <c r="AW2757" s="23"/>
      <c r="AX2757" s="23"/>
      <c r="AY2757" s="23"/>
      <c r="AZ2757" s="23"/>
      <c r="BA2757" s="23"/>
      <c r="BB2757" s="23"/>
    </row>
    <row r="2758" spans="5:54" x14ac:dyDescent="0.35"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  <c r="AA2758" s="23"/>
      <c r="AB2758" s="23"/>
      <c r="AC2758" s="23"/>
      <c r="AD2758" s="23"/>
      <c r="AE2758" s="23"/>
      <c r="AF2758" s="23"/>
      <c r="AG2758" s="23"/>
      <c r="AH2758" s="23"/>
      <c r="AI2758" s="23"/>
      <c r="AJ2758" s="23"/>
      <c r="AK2758" s="23"/>
      <c r="AL2758" s="23"/>
      <c r="AM2758" s="23"/>
      <c r="AN2758" s="23"/>
      <c r="AO2758" s="23"/>
      <c r="AP2758" s="23"/>
      <c r="AQ2758" s="23"/>
      <c r="AR2758" s="23"/>
      <c r="AS2758" s="23"/>
      <c r="AT2758" s="23"/>
      <c r="AU2758" s="23"/>
      <c r="AV2758" s="23"/>
      <c r="AW2758" s="23"/>
      <c r="AX2758" s="23"/>
      <c r="AY2758" s="23"/>
      <c r="AZ2758" s="23"/>
      <c r="BA2758" s="23"/>
      <c r="BB2758" s="23"/>
    </row>
    <row r="2759" spans="5:54" x14ac:dyDescent="0.35"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  <c r="AA2759" s="23"/>
      <c r="AB2759" s="23"/>
      <c r="AC2759" s="23"/>
      <c r="AD2759" s="23"/>
      <c r="AE2759" s="23"/>
      <c r="AF2759" s="23"/>
      <c r="AG2759" s="23"/>
      <c r="AH2759" s="23"/>
      <c r="AI2759" s="23"/>
      <c r="AJ2759" s="23"/>
      <c r="AK2759" s="23"/>
      <c r="AL2759" s="23"/>
      <c r="AM2759" s="23"/>
      <c r="AN2759" s="23"/>
      <c r="AO2759" s="23"/>
      <c r="AP2759" s="23"/>
      <c r="AQ2759" s="23"/>
      <c r="AR2759" s="23"/>
      <c r="AS2759" s="23"/>
      <c r="AT2759" s="23"/>
      <c r="AU2759" s="23"/>
      <c r="AV2759" s="23"/>
      <c r="AW2759" s="23"/>
      <c r="AX2759" s="23"/>
      <c r="AY2759" s="23"/>
      <c r="AZ2759" s="23"/>
      <c r="BA2759" s="23"/>
      <c r="BB2759" s="23"/>
    </row>
    <row r="2760" spans="5:54" x14ac:dyDescent="0.35"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  <c r="AA2760" s="23"/>
      <c r="AB2760" s="23"/>
      <c r="AC2760" s="23"/>
      <c r="AD2760" s="23"/>
      <c r="AE2760" s="23"/>
      <c r="AF2760" s="23"/>
      <c r="AG2760" s="23"/>
      <c r="AH2760" s="23"/>
      <c r="AI2760" s="23"/>
      <c r="AJ2760" s="23"/>
      <c r="AK2760" s="23"/>
      <c r="AL2760" s="23"/>
      <c r="AM2760" s="23"/>
      <c r="AN2760" s="23"/>
      <c r="AO2760" s="23"/>
      <c r="AP2760" s="23"/>
      <c r="AQ2760" s="23"/>
      <c r="AR2760" s="23"/>
      <c r="AS2760" s="23"/>
      <c r="AT2760" s="23"/>
      <c r="AU2760" s="23"/>
      <c r="AV2760" s="23"/>
      <c r="AW2760" s="23"/>
      <c r="AX2760" s="23"/>
      <c r="AY2760" s="23"/>
      <c r="AZ2760" s="23"/>
      <c r="BA2760" s="23"/>
      <c r="BB2760" s="23"/>
    </row>
    <row r="2761" spans="5:54" x14ac:dyDescent="0.35"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  <c r="AA2761" s="23"/>
      <c r="AB2761" s="23"/>
      <c r="AC2761" s="23"/>
      <c r="AD2761" s="23"/>
      <c r="AE2761" s="23"/>
      <c r="AF2761" s="23"/>
      <c r="AG2761" s="23"/>
      <c r="AH2761" s="23"/>
      <c r="AI2761" s="23"/>
      <c r="AJ2761" s="23"/>
      <c r="AK2761" s="23"/>
      <c r="AL2761" s="23"/>
      <c r="AM2761" s="23"/>
      <c r="AN2761" s="23"/>
      <c r="AO2761" s="23"/>
      <c r="AP2761" s="23"/>
      <c r="AQ2761" s="23"/>
      <c r="AR2761" s="23"/>
      <c r="AS2761" s="23"/>
      <c r="AT2761" s="23"/>
      <c r="AU2761" s="23"/>
      <c r="AV2761" s="23"/>
      <c r="AW2761" s="23"/>
      <c r="AX2761" s="23"/>
      <c r="AY2761" s="23"/>
      <c r="AZ2761" s="23"/>
      <c r="BA2761" s="23"/>
      <c r="BB2761" s="23"/>
    </row>
    <row r="2762" spans="5:54" x14ac:dyDescent="0.35"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  <c r="AA2762" s="23"/>
      <c r="AB2762" s="23"/>
      <c r="AC2762" s="23"/>
      <c r="AD2762" s="23"/>
      <c r="AE2762" s="23"/>
      <c r="AF2762" s="23"/>
      <c r="AG2762" s="23"/>
      <c r="AH2762" s="23"/>
      <c r="AI2762" s="23"/>
      <c r="AJ2762" s="23"/>
      <c r="AK2762" s="23"/>
      <c r="AL2762" s="23"/>
      <c r="AM2762" s="23"/>
      <c r="AN2762" s="23"/>
      <c r="AO2762" s="23"/>
      <c r="AP2762" s="23"/>
      <c r="AQ2762" s="23"/>
      <c r="AR2762" s="23"/>
      <c r="AS2762" s="23"/>
      <c r="AT2762" s="23"/>
      <c r="AU2762" s="23"/>
      <c r="AV2762" s="23"/>
      <c r="AW2762" s="23"/>
      <c r="AX2762" s="23"/>
      <c r="AY2762" s="23"/>
      <c r="AZ2762" s="23"/>
      <c r="BA2762" s="23"/>
      <c r="BB2762" s="23"/>
    </row>
    <row r="2763" spans="5:54" x14ac:dyDescent="0.35"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  <c r="AA2763" s="23"/>
      <c r="AB2763" s="23"/>
      <c r="AC2763" s="23"/>
      <c r="AD2763" s="23"/>
      <c r="AE2763" s="23"/>
      <c r="AF2763" s="23"/>
      <c r="AG2763" s="23"/>
      <c r="AH2763" s="23"/>
      <c r="AI2763" s="23"/>
      <c r="AJ2763" s="23"/>
      <c r="AK2763" s="23"/>
      <c r="AL2763" s="23"/>
      <c r="AM2763" s="23"/>
      <c r="AN2763" s="23"/>
      <c r="AO2763" s="23"/>
      <c r="AP2763" s="23"/>
      <c r="AQ2763" s="23"/>
      <c r="AR2763" s="23"/>
      <c r="AS2763" s="23"/>
      <c r="AT2763" s="23"/>
      <c r="AU2763" s="23"/>
      <c r="AV2763" s="23"/>
      <c r="AW2763" s="23"/>
      <c r="AX2763" s="23"/>
      <c r="AY2763" s="23"/>
      <c r="AZ2763" s="23"/>
      <c r="BA2763" s="23"/>
      <c r="BB2763" s="23"/>
    </row>
    <row r="2764" spans="5:54" x14ac:dyDescent="0.35"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  <c r="AA2764" s="23"/>
      <c r="AB2764" s="23"/>
      <c r="AC2764" s="23"/>
      <c r="AD2764" s="23"/>
      <c r="AE2764" s="23"/>
      <c r="AF2764" s="23"/>
      <c r="AG2764" s="23"/>
      <c r="AH2764" s="23"/>
      <c r="AI2764" s="23"/>
      <c r="AJ2764" s="23"/>
      <c r="AK2764" s="23"/>
      <c r="AL2764" s="23"/>
      <c r="AM2764" s="23"/>
      <c r="AN2764" s="23"/>
      <c r="AO2764" s="23"/>
      <c r="AP2764" s="23"/>
      <c r="AQ2764" s="23"/>
      <c r="AR2764" s="23"/>
      <c r="AS2764" s="23"/>
      <c r="AT2764" s="23"/>
      <c r="AU2764" s="23"/>
      <c r="AV2764" s="23"/>
      <c r="AW2764" s="23"/>
      <c r="AX2764" s="23"/>
      <c r="AY2764" s="23"/>
      <c r="AZ2764" s="23"/>
      <c r="BA2764" s="23"/>
      <c r="BB2764" s="23"/>
    </row>
    <row r="2765" spans="5:54" x14ac:dyDescent="0.35"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  <c r="AA2765" s="23"/>
      <c r="AB2765" s="23"/>
      <c r="AC2765" s="23"/>
      <c r="AD2765" s="23"/>
      <c r="AE2765" s="23"/>
      <c r="AF2765" s="23"/>
      <c r="AG2765" s="23"/>
      <c r="AH2765" s="23"/>
      <c r="AI2765" s="23"/>
      <c r="AJ2765" s="23"/>
      <c r="AK2765" s="23"/>
      <c r="AL2765" s="23"/>
      <c r="AM2765" s="23"/>
      <c r="AN2765" s="23"/>
      <c r="AO2765" s="23"/>
      <c r="AP2765" s="23"/>
      <c r="AQ2765" s="23"/>
      <c r="AR2765" s="23"/>
      <c r="AS2765" s="23"/>
      <c r="AT2765" s="23"/>
      <c r="AU2765" s="23"/>
      <c r="AV2765" s="23"/>
      <c r="AW2765" s="23"/>
      <c r="AX2765" s="23"/>
      <c r="AY2765" s="23"/>
      <c r="AZ2765" s="23"/>
      <c r="BA2765" s="23"/>
      <c r="BB2765" s="23"/>
    </row>
    <row r="2766" spans="5:54" x14ac:dyDescent="0.35"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  <c r="AA2766" s="23"/>
      <c r="AB2766" s="23"/>
      <c r="AC2766" s="23"/>
      <c r="AD2766" s="23"/>
      <c r="AE2766" s="23"/>
      <c r="AF2766" s="23"/>
      <c r="AG2766" s="23"/>
      <c r="AH2766" s="23"/>
      <c r="AI2766" s="23"/>
      <c r="AJ2766" s="23"/>
      <c r="AK2766" s="23"/>
      <c r="AL2766" s="23"/>
      <c r="AM2766" s="23"/>
      <c r="AN2766" s="23"/>
      <c r="AO2766" s="23"/>
      <c r="AP2766" s="23"/>
      <c r="AQ2766" s="23"/>
      <c r="AR2766" s="23"/>
      <c r="AS2766" s="23"/>
      <c r="AT2766" s="23"/>
      <c r="AU2766" s="23"/>
      <c r="AV2766" s="23"/>
      <c r="AW2766" s="23"/>
      <c r="AX2766" s="23"/>
      <c r="AY2766" s="23"/>
      <c r="AZ2766" s="23"/>
      <c r="BA2766" s="23"/>
      <c r="BB2766" s="23"/>
    </row>
    <row r="2767" spans="5:54" x14ac:dyDescent="0.35"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  <c r="AA2767" s="23"/>
      <c r="AB2767" s="23"/>
      <c r="AC2767" s="23"/>
      <c r="AD2767" s="23"/>
      <c r="AE2767" s="23"/>
      <c r="AF2767" s="23"/>
      <c r="AG2767" s="23"/>
      <c r="AH2767" s="23"/>
      <c r="AI2767" s="23"/>
      <c r="AJ2767" s="23"/>
      <c r="AK2767" s="23"/>
      <c r="AL2767" s="23"/>
      <c r="AM2767" s="23"/>
      <c r="AN2767" s="23"/>
      <c r="AO2767" s="23"/>
      <c r="AP2767" s="23"/>
      <c r="AQ2767" s="23"/>
      <c r="AR2767" s="23"/>
      <c r="AS2767" s="23"/>
      <c r="AT2767" s="23"/>
      <c r="AU2767" s="23"/>
      <c r="AV2767" s="23"/>
      <c r="AW2767" s="23"/>
      <c r="AX2767" s="23"/>
      <c r="AY2767" s="23"/>
      <c r="AZ2767" s="23"/>
      <c r="BA2767" s="23"/>
      <c r="BB2767" s="23"/>
    </row>
    <row r="2768" spans="5:54" x14ac:dyDescent="0.35"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  <c r="AA2768" s="23"/>
      <c r="AB2768" s="23"/>
      <c r="AC2768" s="23"/>
      <c r="AD2768" s="23"/>
      <c r="AE2768" s="23"/>
      <c r="AF2768" s="23"/>
      <c r="AG2768" s="23"/>
      <c r="AH2768" s="23"/>
      <c r="AI2768" s="23"/>
      <c r="AJ2768" s="23"/>
      <c r="AK2768" s="23"/>
      <c r="AL2768" s="23"/>
      <c r="AM2768" s="23"/>
      <c r="AN2768" s="23"/>
      <c r="AO2768" s="23"/>
      <c r="AP2768" s="23"/>
      <c r="AQ2768" s="23"/>
      <c r="AR2768" s="23"/>
      <c r="AS2768" s="23"/>
      <c r="AT2768" s="23"/>
      <c r="AU2768" s="23"/>
      <c r="AV2768" s="23"/>
      <c r="AW2768" s="23"/>
      <c r="AX2768" s="23"/>
      <c r="AY2768" s="23"/>
      <c r="AZ2768" s="23"/>
      <c r="BA2768" s="23"/>
      <c r="BB2768" s="23"/>
    </row>
    <row r="2769" spans="5:54" x14ac:dyDescent="0.35"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  <c r="AA2769" s="23"/>
      <c r="AB2769" s="23"/>
      <c r="AC2769" s="23"/>
      <c r="AD2769" s="23"/>
      <c r="AE2769" s="23"/>
      <c r="AF2769" s="23"/>
      <c r="AG2769" s="23"/>
      <c r="AH2769" s="23"/>
      <c r="AI2769" s="23"/>
      <c r="AJ2769" s="23"/>
      <c r="AK2769" s="23"/>
      <c r="AL2769" s="23"/>
      <c r="AM2769" s="23"/>
      <c r="AN2769" s="23"/>
      <c r="AO2769" s="23"/>
      <c r="AP2769" s="23"/>
      <c r="AQ2769" s="23"/>
      <c r="AR2769" s="23"/>
      <c r="AS2769" s="23"/>
      <c r="AT2769" s="23"/>
      <c r="AU2769" s="23"/>
      <c r="AV2769" s="23"/>
      <c r="AW2769" s="23"/>
      <c r="AX2769" s="23"/>
      <c r="AY2769" s="23"/>
      <c r="AZ2769" s="23"/>
      <c r="BA2769" s="23"/>
      <c r="BB2769" s="23"/>
    </row>
    <row r="2770" spans="5:54" x14ac:dyDescent="0.35"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  <c r="AA2770" s="23"/>
      <c r="AB2770" s="23"/>
      <c r="AC2770" s="23"/>
      <c r="AD2770" s="23"/>
      <c r="AE2770" s="23"/>
      <c r="AF2770" s="23"/>
      <c r="AG2770" s="23"/>
      <c r="AH2770" s="23"/>
      <c r="AI2770" s="23"/>
      <c r="AJ2770" s="23"/>
      <c r="AK2770" s="23"/>
      <c r="AL2770" s="23"/>
      <c r="AM2770" s="23"/>
      <c r="AN2770" s="23"/>
      <c r="AO2770" s="23"/>
      <c r="AP2770" s="23"/>
      <c r="AQ2770" s="23"/>
      <c r="AR2770" s="23"/>
      <c r="AS2770" s="23"/>
      <c r="AT2770" s="23"/>
      <c r="AU2770" s="23"/>
      <c r="AV2770" s="23"/>
      <c r="AW2770" s="23"/>
      <c r="AX2770" s="23"/>
      <c r="AY2770" s="23"/>
      <c r="AZ2770" s="23"/>
      <c r="BA2770" s="23"/>
      <c r="BB2770" s="23"/>
    </row>
    <row r="2771" spans="5:54" x14ac:dyDescent="0.35"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  <c r="AA2771" s="23"/>
      <c r="AB2771" s="23"/>
      <c r="AC2771" s="23"/>
      <c r="AD2771" s="23"/>
      <c r="AE2771" s="23"/>
      <c r="AF2771" s="23"/>
      <c r="AG2771" s="23"/>
      <c r="AH2771" s="23"/>
      <c r="AI2771" s="23"/>
      <c r="AJ2771" s="23"/>
      <c r="AK2771" s="23"/>
      <c r="AL2771" s="23"/>
      <c r="AM2771" s="23"/>
      <c r="AN2771" s="23"/>
      <c r="AO2771" s="23"/>
      <c r="AP2771" s="23"/>
      <c r="AQ2771" s="23"/>
      <c r="AR2771" s="23"/>
      <c r="AS2771" s="23"/>
      <c r="AT2771" s="23"/>
      <c r="AU2771" s="23"/>
      <c r="AV2771" s="23"/>
      <c r="AW2771" s="23"/>
      <c r="AX2771" s="23"/>
      <c r="AY2771" s="23"/>
      <c r="AZ2771" s="23"/>
      <c r="BA2771" s="23"/>
      <c r="BB2771" s="23"/>
    </row>
    <row r="2772" spans="5:54" x14ac:dyDescent="0.35"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  <c r="AA2772" s="23"/>
      <c r="AB2772" s="23"/>
      <c r="AC2772" s="23"/>
      <c r="AD2772" s="23"/>
      <c r="AE2772" s="23"/>
      <c r="AF2772" s="23"/>
      <c r="AG2772" s="23"/>
      <c r="AH2772" s="23"/>
      <c r="AI2772" s="23"/>
      <c r="AJ2772" s="23"/>
      <c r="AK2772" s="23"/>
      <c r="AL2772" s="23"/>
      <c r="AM2772" s="23"/>
      <c r="AN2772" s="23"/>
      <c r="AO2772" s="23"/>
      <c r="AP2772" s="23"/>
      <c r="AQ2772" s="23"/>
      <c r="AR2772" s="23"/>
      <c r="AS2772" s="23"/>
      <c r="AT2772" s="23"/>
      <c r="AU2772" s="23"/>
      <c r="AV2772" s="23"/>
      <c r="AW2772" s="23"/>
      <c r="AX2772" s="23"/>
      <c r="AY2772" s="23"/>
      <c r="AZ2772" s="23"/>
      <c r="BA2772" s="23"/>
      <c r="BB2772" s="23"/>
    </row>
    <row r="2773" spans="5:54" x14ac:dyDescent="0.35"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  <c r="AA2773" s="23"/>
      <c r="AB2773" s="23"/>
      <c r="AC2773" s="23"/>
      <c r="AD2773" s="23"/>
      <c r="AE2773" s="23"/>
      <c r="AF2773" s="23"/>
      <c r="AG2773" s="23"/>
      <c r="AH2773" s="23"/>
      <c r="AI2773" s="23"/>
      <c r="AJ2773" s="23"/>
      <c r="AK2773" s="23"/>
      <c r="AL2773" s="23"/>
      <c r="AM2773" s="23"/>
      <c r="AN2773" s="23"/>
      <c r="AO2773" s="23"/>
      <c r="AP2773" s="23"/>
      <c r="AQ2773" s="23"/>
      <c r="AR2773" s="23"/>
      <c r="AS2773" s="23"/>
      <c r="AT2773" s="23"/>
      <c r="AU2773" s="23"/>
      <c r="AV2773" s="23"/>
      <c r="AW2773" s="23"/>
      <c r="AX2773" s="23"/>
      <c r="AY2773" s="23"/>
      <c r="AZ2773" s="23"/>
      <c r="BA2773" s="23"/>
      <c r="BB2773" s="23"/>
    </row>
    <row r="2774" spans="5:54" x14ac:dyDescent="0.35"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  <c r="AA2774" s="23"/>
      <c r="AB2774" s="23"/>
      <c r="AC2774" s="23"/>
      <c r="AD2774" s="23"/>
      <c r="AE2774" s="23"/>
      <c r="AF2774" s="23"/>
      <c r="AG2774" s="23"/>
      <c r="AH2774" s="23"/>
      <c r="AI2774" s="23"/>
      <c r="AJ2774" s="23"/>
      <c r="AK2774" s="23"/>
      <c r="AL2774" s="23"/>
      <c r="AM2774" s="23"/>
      <c r="AN2774" s="23"/>
      <c r="AO2774" s="23"/>
      <c r="AP2774" s="23"/>
      <c r="AQ2774" s="23"/>
      <c r="AR2774" s="23"/>
      <c r="AS2774" s="23"/>
      <c r="AT2774" s="23"/>
      <c r="AU2774" s="23"/>
      <c r="AV2774" s="23"/>
      <c r="AW2774" s="23"/>
      <c r="AX2774" s="23"/>
      <c r="AY2774" s="23"/>
      <c r="AZ2774" s="23"/>
      <c r="BA2774" s="23"/>
      <c r="BB2774" s="23"/>
    </row>
    <row r="2775" spans="5:54" x14ac:dyDescent="0.35"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  <c r="AA2775" s="23"/>
      <c r="AB2775" s="23"/>
      <c r="AC2775" s="23"/>
      <c r="AD2775" s="23"/>
      <c r="AE2775" s="23"/>
      <c r="AF2775" s="23"/>
      <c r="AG2775" s="23"/>
      <c r="AH2775" s="23"/>
      <c r="AI2775" s="23"/>
      <c r="AJ2775" s="23"/>
      <c r="AK2775" s="23"/>
      <c r="AL2775" s="23"/>
      <c r="AM2775" s="23"/>
      <c r="AN2775" s="23"/>
      <c r="AO2775" s="23"/>
      <c r="AP2775" s="23"/>
      <c r="AQ2775" s="23"/>
      <c r="AR2775" s="23"/>
      <c r="AS2775" s="23"/>
      <c r="AT2775" s="23"/>
      <c r="AU2775" s="23"/>
      <c r="AV2775" s="23"/>
      <c r="AW2775" s="23"/>
      <c r="AX2775" s="23"/>
      <c r="AY2775" s="23"/>
      <c r="AZ2775" s="23"/>
      <c r="BA2775" s="23"/>
      <c r="BB2775" s="23"/>
    </row>
    <row r="2776" spans="5:54" x14ac:dyDescent="0.35"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  <c r="AA2776" s="23"/>
      <c r="AB2776" s="23"/>
      <c r="AC2776" s="23"/>
      <c r="AD2776" s="23"/>
      <c r="AE2776" s="23"/>
      <c r="AF2776" s="23"/>
      <c r="AG2776" s="23"/>
      <c r="AH2776" s="23"/>
      <c r="AI2776" s="23"/>
      <c r="AJ2776" s="23"/>
      <c r="AK2776" s="23"/>
      <c r="AL2776" s="23"/>
      <c r="AM2776" s="23"/>
      <c r="AN2776" s="23"/>
      <c r="AO2776" s="23"/>
      <c r="AP2776" s="23"/>
      <c r="AQ2776" s="23"/>
      <c r="AR2776" s="23"/>
      <c r="AS2776" s="23"/>
      <c r="AT2776" s="23"/>
      <c r="AU2776" s="23"/>
      <c r="AV2776" s="23"/>
      <c r="AW2776" s="23"/>
      <c r="AX2776" s="23"/>
      <c r="AY2776" s="23"/>
      <c r="AZ2776" s="23"/>
      <c r="BA2776" s="23"/>
      <c r="BB2776" s="23"/>
    </row>
    <row r="2777" spans="5:54" x14ac:dyDescent="0.35"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  <c r="AA2777" s="23"/>
      <c r="AB2777" s="23"/>
      <c r="AC2777" s="23"/>
      <c r="AD2777" s="23"/>
      <c r="AE2777" s="23"/>
      <c r="AF2777" s="23"/>
      <c r="AG2777" s="23"/>
      <c r="AH2777" s="23"/>
      <c r="AI2777" s="23"/>
      <c r="AJ2777" s="23"/>
      <c r="AK2777" s="23"/>
      <c r="AL2777" s="23"/>
      <c r="AM2777" s="23"/>
      <c r="AN2777" s="23"/>
      <c r="AO2777" s="23"/>
      <c r="AP2777" s="23"/>
      <c r="AQ2777" s="23"/>
      <c r="AR2777" s="23"/>
      <c r="AS2777" s="23"/>
      <c r="AT2777" s="23"/>
      <c r="AU2777" s="23"/>
      <c r="AV2777" s="23"/>
      <c r="AW2777" s="23"/>
      <c r="AX2777" s="23"/>
      <c r="AY2777" s="23"/>
      <c r="AZ2777" s="23"/>
      <c r="BA2777" s="23"/>
      <c r="BB2777" s="23"/>
    </row>
    <row r="2778" spans="5:54" x14ac:dyDescent="0.35"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  <c r="AA2778" s="23"/>
      <c r="AB2778" s="23"/>
      <c r="AC2778" s="23"/>
      <c r="AD2778" s="23"/>
      <c r="AE2778" s="23"/>
      <c r="AF2778" s="23"/>
      <c r="AG2778" s="23"/>
      <c r="AH2778" s="23"/>
      <c r="AI2778" s="23"/>
      <c r="AJ2778" s="23"/>
      <c r="AK2778" s="23"/>
      <c r="AL2778" s="23"/>
      <c r="AM2778" s="23"/>
      <c r="AN2778" s="23"/>
      <c r="AO2778" s="23"/>
      <c r="AP2778" s="23"/>
      <c r="AQ2778" s="23"/>
      <c r="AR2778" s="23"/>
      <c r="AS2778" s="23"/>
      <c r="AT2778" s="23"/>
      <c r="AU2778" s="23"/>
      <c r="AV2778" s="23"/>
      <c r="AW2778" s="23"/>
      <c r="AX2778" s="23"/>
      <c r="AY2778" s="23"/>
      <c r="AZ2778" s="23"/>
      <c r="BA2778" s="23"/>
      <c r="BB2778" s="23"/>
    </row>
    <row r="2779" spans="5:54" x14ac:dyDescent="0.35"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  <c r="AA2779" s="23"/>
      <c r="AB2779" s="23"/>
      <c r="AC2779" s="23"/>
      <c r="AD2779" s="23"/>
      <c r="AE2779" s="23"/>
      <c r="AF2779" s="23"/>
      <c r="AG2779" s="23"/>
      <c r="AH2779" s="23"/>
      <c r="AI2779" s="23"/>
      <c r="AJ2779" s="23"/>
      <c r="AK2779" s="23"/>
      <c r="AL2779" s="23"/>
      <c r="AM2779" s="23"/>
      <c r="AN2779" s="23"/>
      <c r="AO2779" s="23"/>
      <c r="AP2779" s="23"/>
      <c r="AQ2779" s="23"/>
      <c r="AR2779" s="23"/>
      <c r="AS2779" s="23"/>
      <c r="AT2779" s="23"/>
      <c r="AU2779" s="23"/>
      <c r="AV2779" s="23"/>
      <c r="AW2779" s="23"/>
      <c r="AX2779" s="23"/>
      <c r="AY2779" s="23"/>
      <c r="AZ2779" s="23"/>
      <c r="BA2779" s="23"/>
      <c r="BB2779" s="23"/>
    </row>
    <row r="2780" spans="5:54" x14ac:dyDescent="0.35"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  <c r="AA2780" s="23"/>
      <c r="AB2780" s="23"/>
      <c r="AC2780" s="23"/>
      <c r="AD2780" s="23"/>
      <c r="AE2780" s="23"/>
      <c r="AF2780" s="23"/>
      <c r="AG2780" s="23"/>
      <c r="AH2780" s="23"/>
      <c r="AI2780" s="23"/>
      <c r="AJ2780" s="23"/>
      <c r="AK2780" s="23"/>
      <c r="AL2780" s="23"/>
      <c r="AM2780" s="23"/>
      <c r="AN2780" s="23"/>
      <c r="AO2780" s="23"/>
      <c r="AP2780" s="23"/>
      <c r="AQ2780" s="23"/>
      <c r="AR2780" s="23"/>
      <c r="AS2780" s="23"/>
      <c r="AT2780" s="23"/>
      <c r="AU2780" s="23"/>
      <c r="AV2780" s="23"/>
      <c r="AW2780" s="23"/>
      <c r="AX2780" s="23"/>
      <c r="AY2780" s="23"/>
      <c r="AZ2780" s="23"/>
      <c r="BA2780" s="23"/>
      <c r="BB2780" s="23"/>
    </row>
    <row r="2781" spans="5:54" x14ac:dyDescent="0.35"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  <c r="AA2781" s="23"/>
      <c r="AB2781" s="23"/>
      <c r="AC2781" s="23"/>
      <c r="AD2781" s="23"/>
      <c r="AE2781" s="23"/>
      <c r="AF2781" s="23"/>
      <c r="AG2781" s="23"/>
      <c r="AH2781" s="23"/>
      <c r="AI2781" s="23"/>
      <c r="AJ2781" s="23"/>
      <c r="AK2781" s="23"/>
      <c r="AL2781" s="23"/>
      <c r="AM2781" s="23"/>
      <c r="AN2781" s="23"/>
      <c r="AO2781" s="23"/>
      <c r="AP2781" s="23"/>
      <c r="AQ2781" s="23"/>
      <c r="AR2781" s="23"/>
      <c r="AS2781" s="23"/>
      <c r="AT2781" s="23"/>
      <c r="AU2781" s="23"/>
      <c r="AV2781" s="23"/>
      <c r="AW2781" s="23"/>
      <c r="AX2781" s="23"/>
      <c r="AY2781" s="23"/>
      <c r="AZ2781" s="23"/>
      <c r="BA2781" s="23"/>
      <c r="BB2781" s="23"/>
    </row>
    <row r="2782" spans="5:54" x14ac:dyDescent="0.35"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  <c r="AA2782" s="23"/>
      <c r="AB2782" s="23"/>
      <c r="AC2782" s="23"/>
      <c r="AD2782" s="23"/>
      <c r="AE2782" s="23"/>
      <c r="AF2782" s="23"/>
      <c r="AG2782" s="23"/>
      <c r="AH2782" s="23"/>
      <c r="AI2782" s="23"/>
      <c r="AJ2782" s="23"/>
      <c r="AK2782" s="23"/>
      <c r="AL2782" s="23"/>
      <c r="AM2782" s="23"/>
      <c r="AN2782" s="23"/>
      <c r="AO2782" s="23"/>
      <c r="AP2782" s="23"/>
      <c r="AQ2782" s="23"/>
      <c r="AR2782" s="23"/>
      <c r="AS2782" s="23"/>
      <c r="AT2782" s="23"/>
      <c r="AU2782" s="23"/>
      <c r="AV2782" s="23"/>
      <c r="AW2782" s="23"/>
      <c r="AX2782" s="23"/>
      <c r="AY2782" s="23"/>
      <c r="AZ2782" s="23"/>
      <c r="BA2782" s="23"/>
      <c r="BB2782" s="23"/>
    </row>
    <row r="2783" spans="5:54" x14ac:dyDescent="0.35"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  <c r="AA2783" s="23"/>
      <c r="AB2783" s="23"/>
      <c r="AC2783" s="23"/>
      <c r="AD2783" s="23"/>
      <c r="AE2783" s="23"/>
      <c r="AF2783" s="23"/>
      <c r="AG2783" s="23"/>
      <c r="AH2783" s="23"/>
      <c r="AI2783" s="23"/>
      <c r="AJ2783" s="23"/>
      <c r="AK2783" s="23"/>
      <c r="AL2783" s="23"/>
      <c r="AM2783" s="23"/>
      <c r="AN2783" s="23"/>
      <c r="AO2783" s="23"/>
      <c r="AP2783" s="23"/>
      <c r="AQ2783" s="23"/>
      <c r="AR2783" s="23"/>
      <c r="AS2783" s="23"/>
      <c r="AT2783" s="23"/>
      <c r="AU2783" s="23"/>
      <c r="AV2783" s="23"/>
      <c r="AW2783" s="23"/>
      <c r="AX2783" s="23"/>
      <c r="AY2783" s="23"/>
      <c r="AZ2783" s="23"/>
      <c r="BA2783" s="23"/>
      <c r="BB2783" s="23"/>
    </row>
    <row r="2784" spans="5:54" x14ac:dyDescent="0.35"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  <c r="AA2784" s="23"/>
      <c r="AB2784" s="23"/>
      <c r="AC2784" s="23"/>
      <c r="AD2784" s="23"/>
      <c r="AE2784" s="23"/>
      <c r="AF2784" s="23"/>
      <c r="AG2784" s="23"/>
      <c r="AH2784" s="23"/>
      <c r="AI2784" s="23"/>
      <c r="AJ2784" s="23"/>
      <c r="AK2784" s="23"/>
      <c r="AL2784" s="23"/>
      <c r="AM2784" s="23"/>
      <c r="AN2784" s="23"/>
      <c r="AO2784" s="23"/>
      <c r="AP2784" s="23"/>
      <c r="AQ2784" s="23"/>
      <c r="AR2784" s="23"/>
      <c r="AS2784" s="23"/>
      <c r="AT2784" s="23"/>
      <c r="AU2784" s="23"/>
      <c r="AV2784" s="23"/>
      <c r="AW2784" s="23"/>
      <c r="AX2784" s="23"/>
      <c r="AY2784" s="23"/>
      <c r="AZ2784" s="23"/>
      <c r="BA2784" s="23"/>
      <c r="BB2784" s="23"/>
    </row>
    <row r="2785" spans="5:54" x14ac:dyDescent="0.35"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  <c r="AA2785" s="23"/>
      <c r="AB2785" s="23"/>
      <c r="AC2785" s="23"/>
      <c r="AD2785" s="23"/>
      <c r="AE2785" s="23"/>
      <c r="AF2785" s="23"/>
      <c r="AG2785" s="23"/>
      <c r="AH2785" s="23"/>
      <c r="AI2785" s="23"/>
      <c r="AJ2785" s="23"/>
      <c r="AK2785" s="23"/>
      <c r="AL2785" s="23"/>
      <c r="AM2785" s="23"/>
      <c r="AN2785" s="23"/>
      <c r="AO2785" s="23"/>
      <c r="AP2785" s="23"/>
      <c r="AQ2785" s="23"/>
      <c r="AR2785" s="23"/>
      <c r="AS2785" s="23"/>
      <c r="AT2785" s="23"/>
      <c r="AU2785" s="23"/>
      <c r="AV2785" s="23"/>
      <c r="AW2785" s="23"/>
      <c r="AX2785" s="23"/>
      <c r="AY2785" s="23"/>
      <c r="AZ2785" s="23"/>
      <c r="BA2785" s="23"/>
      <c r="BB2785" s="23"/>
    </row>
    <row r="2786" spans="5:54" x14ac:dyDescent="0.35"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  <c r="AA2786" s="23"/>
      <c r="AB2786" s="23"/>
      <c r="AC2786" s="23"/>
      <c r="AD2786" s="23"/>
      <c r="AE2786" s="23"/>
      <c r="AF2786" s="23"/>
      <c r="AG2786" s="23"/>
      <c r="AH2786" s="23"/>
      <c r="AI2786" s="23"/>
      <c r="AJ2786" s="23"/>
      <c r="AK2786" s="23"/>
      <c r="AL2786" s="23"/>
      <c r="AM2786" s="23"/>
      <c r="AN2786" s="23"/>
      <c r="AO2786" s="23"/>
      <c r="AP2786" s="23"/>
      <c r="AQ2786" s="23"/>
      <c r="AR2786" s="23"/>
      <c r="AS2786" s="23"/>
      <c r="AT2786" s="23"/>
      <c r="AU2786" s="23"/>
      <c r="AV2786" s="23"/>
      <c r="AW2786" s="23"/>
      <c r="AX2786" s="23"/>
      <c r="AY2786" s="23"/>
      <c r="AZ2786" s="23"/>
      <c r="BA2786" s="23"/>
      <c r="BB2786" s="23"/>
    </row>
    <row r="2787" spans="5:54" x14ac:dyDescent="0.35"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  <c r="AA2787" s="23"/>
      <c r="AB2787" s="23"/>
      <c r="AC2787" s="23"/>
      <c r="AD2787" s="23"/>
      <c r="AE2787" s="23"/>
      <c r="AF2787" s="23"/>
      <c r="AG2787" s="23"/>
      <c r="AH2787" s="23"/>
      <c r="AI2787" s="23"/>
      <c r="AJ2787" s="23"/>
      <c r="AK2787" s="23"/>
      <c r="AL2787" s="23"/>
      <c r="AM2787" s="23"/>
      <c r="AN2787" s="23"/>
      <c r="AO2787" s="23"/>
      <c r="AP2787" s="23"/>
      <c r="AQ2787" s="23"/>
      <c r="AR2787" s="23"/>
      <c r="AS2787" s="23"/>
      <c r="AT2787" s="23"/>
      <c r="AU2787" s="23"/>
      <c r="AV2787" s="23"/>
      <c r="AW2787" s="23"/>
      <c r="AX2787" s="23"/>
      <c r="AY2787" s="23"/>
      <c r="AZ2787" s="23"/>
      <c r="BA2787" s="23"/>
      <c r="BB2787" s="23"/>
    </row>
    <row r="2788" spans="5:54" x14ac:dyDescent="0.35"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  <c r="AA2788" s="23"/>
      <c r="AB2788" s="23"/>
      <c r="AC2788" s="23"/>
      <c r="AD2788" s="23"/>
      <c r="AE2788" s="23"/>
      <c r="AF2788" s="23"/>
      <c r="AG2788" s="23"/>
      <c r="AH2788" s="23"/>
      <c r="AI2788" s="23"/>
      <c r="AJ2788" s="23"/>
      <c r="AK2788" s="23"/>
      <c r="AL2788" s="23"/>
      <c r="AM2788" s="23"/>
      <c r="AN2788" s="23"/>
      <c r="AO2788" s="23"/>
      <c r="AP2788" s="23"/>
      <c r="AQ2788" s="23"/>
      <c r="AR2788" s="23"/>
      <c r="AS2788" s="23"/>
      <c r="AT2788" s="23"/>
      <c r="AU2788" s="23"/>
      <c r="AV2788" s="23"/>
      <c r="AW2788" s="23"/>
      <c r="AX2788" s="23"/>
      <c r="AY2788" s="23"/>
      <c r="AZ2788" s="23"/>
      <c r="BA2788" s="23"/>
      <c r="BB2788" s="23"/>
    </row>
    <row r="2789" spans="5:54" x14ac:dyDescent="0.35"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  <c r="AA2789" s="23"/>
      <c r="AB2789" s="23"/>
      <c r="AC2789" s="23"/>
      <c r="AD2789" s="23"/>
      <c r="AE2789" s="23"/>
      <c r="AF2789" s="23"/>
      <c r="AG2789" s="23"/>
      <c r="AH2789" s="23"/>
      <c r="AI2789" s="23"/>
      <c r="AJ2789" s="23"/>
      <c r="AK2789" s="23"/>
      <c r="AL2789" s="23"/>
      <c r="AM2789" s="23"/>
      <c r="AN2789" s="23"/>
      <c r="AO2789" s="23"/>
      <c r="AP2789" s="23"/>
      <c r="AQ2789" s="23"/>
      <c r="AR2789" s="23"/>
      <c r="AS2789" s="23"/>
      <c r="AT2789" s="23"/>
      <c r="AU2789" s="23"/>
      <c r="AV2789" s="23"/>
      <c r="AW2789" s="23"/>
      <c r="AX2789" s="23"/>
      <c r="AY2789" s="23"/>
      <c r="AZ2789" s="23"/>
      <c r="BA2789" s="23"/>
      <c r="BB2789" s="23"/>
    </row>
    <row r="2790" spans="5:54" x14ac:dyDescent="0.35"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  <c r="AA2790" s="23"/>
      <c r="AB2790" s="23"/>
      <c r="AC2790" s="23"/>
      <c r="AD2790" s="23"/>
      <c r="AE2790" s="23"/>
      <c r="AF2790" s="23"/>
      <c r="AG2790" s="23"/>
      <c r="AH2790" s="23"/>
      <c r="AI2790" s="23"/>
      <c r="AJ2790" s="23"/>
      <c r="AK2790" s="23"/>
      <c r="AL2790" s="23"/>
      <c r="AM2790" s="23"/>
      <c r="AN2790" s="23"/>
      <c r="AO2790" s="23"/>
      <c r="AP2790" s="23"/>
      <c r="AQ2790" s="23"/>
      <c r="AR2790" s="23"/>
      <c r="AS2790" s="23"/>
      <c r="AT2790" s="23"/>
      <c r="AU2790" s="23"/>
      <c r="AV2790" s="23"/>
      <c r="AW2790" s="23"/>
      <c r="AX2790" s="23"/>
      <c r="AY2790" s="23"/>
      <c r="AZ2790" s="23"/>
      <c r="BA2790" s="23"/>
      <c r="BB2790" s="23"/>
    </row>
    <row r="2791" spans="5:54" x14ac:dyDescent="0.35"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  <c r="AA2791" s="23"/>
      <c r="AB2791" s="23"/>
      <c r="AC2791" s="23"/>
      <c r="AD2791" s="23"/>
      <c r="AE2791" s="23"/>
      <c r="AF2791" s="23"/>
      <c r="AG2791" s="23"/>
      <c r="AH2791" s="23"/>
      <c r="AI2791" s="23"/>
      <c r="AJ2791" s="23"/>
      <c r="AK2791" s="23"/>
      <c r="AL2791" s="23"/>
      <c r="AM2791" s="23"/>
      <c r="AN2791" s="23"/>
      <c r="AO2791" s="23"/>
      <c r="AP2791" s="23"/>
      <c r="AQ2791" s="23"/>
      <c r="AR2791" s="23"/>
      <c r="AS2791" s="23"/>
      <c r="AT2791" s="23"/>
      <c r="AU2791" s="23"/>
      <c r="AV2791" s="23"/>
      <c r="AW2791" s="23"/>
      <c r="AX2791" s="23"/>
      <c r="AY2791" s="23"/>
      <c r="AZ2791" s="23"/>
      <c r="BA2791" s="23"/>
      <c r="BB2791" s="23"/>
    </row>
    <row r="2792" spans="5:54" x14ac:dyDescent="0.35"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  <c r="AA2792" s="23"/>
      <c r="AB2792" s="23"/>
      <c r="AC2792" s="23"/>
      <c r="AD2792" s="23"/>
      <c r="AE2792" s="23"/>
      <c r="AF2792" s="23"/>
      <c r="AG2792" s="23"/>
      <c r="AH2792" s="23"/>
      <c r="AI2792" s="23"/>
      <c r="AJ2792" s="23"/>
      <c r="AK2792" s="23"/>
      <c r="AL2792" s="23"/>
      <c r="AM2792" s="23"/>
      <c r="AN2792" s="23"/>
      <c r="AO2792" s="23"/>
      <c r="AP2792" s="23"/>
      <c r="AQ2792" s="23"/>
      <c r="AR2792" s="23"/>
      <c r="AS2792" s="23"/>
      <c r="AT2792" s="23"/>
      <c r="AU2792" s="23"/>
      <c r="AV2792" s="23"/>
      <c r="AW2792" s="23"/>
      <c r="AX2792" s="23"/>
      <c r="AY2792" s="23"/>
      <c r="AZ2792" s="23"/>
      <c r="BA2792" s="23"/>
      <c r="BB2792" s="23"/>
    </row>
    <row r="2793" spans="5:54" x14ac:dyDescent="0.35"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  <c r="AA2793" s="23"/>
      <c r="AB2793" s="23"/>
      <c r="AC2793" s="23"/>
      <c r="AD2793" s="23"/>
      <c r="AE2793" s="23"/>
      <c r="AF2793" s="23"/>
      <c r="AG2793" s="23"/>
      <c r="AH2793" s="23"/>
      <c r="AI2793" s="23"/>
      <c r="AJ2793" s="23"/>
      <c r="AK2793" s="23"/>
      <c r="AL2793" s="23"/>
      <c r="AM2793" s="23"/>
      <c r="AN2793" s="23"/>
      <c r="AO2793" s="23"/>
      <c r="AP2793" s="23"/>
      <c r="AQ2793" s="23"/>
      <c r="AR2793" s="23"/>
      <c r="AS2793" s="23"/>
      <c r="AT2793" s="23"/>
      <c r="AU2793" s="23"/>
      <c r="AV2793" s="23"/>
      <c r="AW2793" s="23"/>
      <c r="AX2793" s="23"/>
      <c r="AY2793" s="23"/>
      <c r="AZ2793" s="23"/>
      <c r="BA2793" s="23"/>
      <c r="BB2793" s="23"/>
    </row>
    <row r="2794" spans="5:54" x14ac:dyDescent="0.35"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  <c r="AA2794" s="23"/>
      <c r="AB2794" s="23"/>
      <c r="AC2794" s="23"/>
      <c r="AD2794" s="23"/>
      <c r="AE2794" s="23"/>
      <c r="AF2794" s="23"/>
      <c r="AG2794" s="23"/>
      <c r="AH2794" s="23"/>
      <c r="AI2794" s="23"/>
      <c r="AJ2794" s="23"/>
      <c r="AK2794" s="23"/>
      <c r="AL2794" s="23"/>
      <c r="AM2794" s="23"/>
      <c r="AN2794" s="23"/>
      <c r="AO2794" s="23"/>
      <c r="AP2794" s="23"/>
      <c r="AQ2794" s="23"/>
      <c r="AR2794" s="23"/>
      <c r="AS2794" s="23"/>
      <c r="AT2794" s="23"/>
      <c r="AU2794" s="23"/>
      <c r="AV2794" s="23"/>
      <c r="AW2794" s="23"/>
      <c r="AX2794" s="23"/>
      <c r="AY2794" s="23"/>
      <c r="AZ2794" s="23"/>
      <c r="BA2794" s="23"/>
      <c r="BB2794" s="23"/>
    </row>
    <row r="2795" spans="5:54" x14ac:dyDescent="0.35"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  <c r="AA2795" s="23"/>
      <c r="AB2795" s="23"/>
      <c r="AC2795" s="23"/>
      <c r="AD2795" s="23"/>
      <c r="AE2795" s="23"/>
      <c r="AF2795" s="23"/>
      <c r="AG2795" s="23"/>
      <c r="AH2795" s="23"/>
      <c r="AI2795" s="23"/>
      <c r="AJ2795" s="23"/>
      <c r="AK2795" s="23"/>
      <c r="AL2795" s="23"/>
      <c r="AM2795" s="23"/>
      <c r="AN2795" s="23"/>
      <c r="AO2795" s="23"/>
      <c r="AP2795" s="23"/>
      <c r="AQ2795" s="23"/>
      <c r="AR2795" s="23"/>
      <c r="AS2795" s="23"/>
      <c r="AT2795" s="23"/>
      <c r="AU2795" s="23"/>
      <c r="AV2795" s="23"/>
      <c r="AW2795" s="23"/>
      <c r="AX2795" s="23"/>
      <c r="AY2795" s="23"/>
      <c r="AZ2795" s="23"/>
      <c r="BA2795" s="23"/>
      <c r="BB2795" s="23"/>
    </row>
    <row r="2796" spans="5:54" x14ac:dyDescent="0.35"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  <c r="AA2796" s="23"/>
      <c r="AB2796" s="23"/>
      <c r="AC2796" s="23"/>
      <c r="AD2796" s="23"/>
      <c r="AE2796" s="23"/>
      <c r="AF2796" s="23"/>
      <c r="AG2796" s="23"/>
      <c r="AH2796" s="23"/>
      <c r="AI2796" s="23"/>
      <c r="AJ2796" s="23"/>
      <c r="AK2796" s="23"/>
      <c r="AL2796" s="23"/>
      <c r="AM2796" s="23"/>
      <c r="AN2796" s="23"/>
      <c r="AO2796" s="23"/>
      <c r="AP2796" s="23"/>
      <c r="AQ2796" s="23"/>
      <c r="AR2796" s="23"/>
      <c r="AS2796" s="23"/>
      <c r="AT2796" s="23"/>
      <c r="AU2796" s="23"/>
      <c r="AV2796" s="23"/>
      <c r="AW2796" s="23"/>
      <c r="AX2796" s="23"/>
      <c r="AY2796" s="23"/>
      <c r="AZ2796" s="23"/>
      <c r="BA2796" s="23"/>
      <c r="BB2796" s="23"/>
    </row>
    <row r="2797" spans="5:54" x14ac:dyDescent="0.35"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  <c r="AA2797" s="23"/>
      <c r="AB2797" s="23"/>
      <c r="AC2797" s="23"/>
      <c r="AD2797" s="23"/>
      <c r="AE2797" s="23"/>
      <c r="AF2797" s="23"/>
      <c r="AG2797" s="23"/>
      <c r="AH2797" s="23"/>
      <c r="AI2797" s="23"/>
      <c r="AJ2797" s="23"/>
      <c r="AK2797" s="23"/>
      <c r="AL2797" s="23"/>
      <c r="AM2797" s="23"/>
      <c r="AN2797" s="23"/>
      <c r="AO2797" s="23"/>
      <c r="AP2797" s="23"/>
      <c r="AQ2797" s="23"/>
      <c r="AR2797" s="23"/>
      <c r="AS2797" s="23"/>
      <c r="AT2797" s="23"/>
      <c r="AU2797" s="23"/>
      <c r="AV2797" s="23"/>
      <c r="AW2797" s="23"/>
      <c r="AX2797" s="23"/>
      <c r="AY2797" s="23"/>
      <c r="AZ2797" s="23"/>
      <c r="BA2797" s="23"/>
      <c r="BB2797" s="23"/>
    </row>
    <row r="2798" spans="5:54" x14ac:dyDescent="0.35"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  <c r="AA2798" s="23"/>
      <c r="AB2798" s="23"/>
      <c r="AC2798" s="23"/>
      <c r="AD2798" s="23"/>
      <c r="AE2798" s="23"/>
      <c r="AF2798" s="23"/>
      <c r="AG2798" s="23"/>
      <c r="AH2798" s="23"/>
      <c r="AI2798" s="23"/>
      <c r="AJ2798" s="23"/>
      <c r="AK2798" s="23"/>
      <c r="AL2798" s="23"/>
      <c r="AM2798" s="23"/>
      <c r="AN2798" s="23"/>
      <c r="AO2798" s="23"/>
      <c r="AP2798" s="23"/>
      <c r="AQ2798" s="23"/>
      <c r="AR2798" s="23"/>
      <c r="AS2798" s="23"/>
      <c r="AT2798" s="23"/>
      <c r="AU2798" s="23"/>
      <c r="AV2798" s="23"/>
      <c r="AW2798" s="23"/>
      <c r="AX2798" s="23"/>
      <c r="AY2798" s="23"/>
      <c r="AZ2798" s="23"/>
      <c r="BA2798" s="23"/>
      <c r="BB2798" s="23"/>
    </row>
    <row r="2799" spans="5:54" x14ac:dyDescent="0.35"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  <c r="AA2799" s="23"/>
      <c r="AB2799" s="23"/>
      <c r="AC2799" s="23"/>
      <c r="AD2799" s="23"/>
      <c r="AE2799" s="23"/>
      <c r="AF2799" s="23"/>
      <c r="AG2799" s="23"/>
      <c r="AH2799" s="23"/>
      <c r="AI2799" s="23"/>
      <c r="AJ2799" s="23"/>
      <c r="AK2799" s="23"/>
      <c r="AL2799" s="23"/>
      <c r="AM2799" s="23"/>
      <c r="AN2799" s="23"/>
      <c r="AO2799" s="23"/>
      <c r="AP2799" s="23"/>
      <c r="AQ2799" s="23"/>
      <c r="AR2799" s="23"/>
      <c r="AS2799" s="23"/>
      <c r="AT2799" s="23"/>
      <c r="AU2799" s="23"/>
      <c r="AV2799" s="23"/>
      <c r="AW2799" s="23"/>
      <c r="AX2799" s="23"/>
      <c r="AY2799" s="23"/>
      <c r="AZ2799" s="23"/>
      <c r="BA2799" s="23"/>
      <c r="BB2799" s="23"/>
    </row>
    <row r="2800" spans="5:54" x14ac:dyDescent="0.35"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  <c r="AA2800" s="23"/>
      <c r="AB2800" s="23"/>
      <c r="AC2800" s="23"/>
      <c r="AD2800" s="23"/>
      <c r="AE2800" s="23"/>
      <c r="AF2800" s="23"/>
      <c r="AG2800" s="23"/>
      <c r="AH2800" s="23"/>
      <c r="AI2800" s="23"/>
      <c r="AJ2800" s="23"/>
      <c r="AK2800" s="23"/>
      <c r="AL2800" s="23"/>
      <c r="AM2800" s="23"/>
      <c r="AN2800" s="23"/>
      <c r="AO2800" s="23"/>
      <c r="AP2800" s="23"/>
      <c r="AQ2800" s="23"/>
      <c r="AR2800" s="23"/>
      <c r="AS2800" s="23"/>
      <c r="AT2800" s="23"/>
      <c r="AU2800" s="23"/>
      <c r="AV2800" s="23"/>
      <c r="AW2800" s="23"/>
      <c r="AX2800" s="23"/>
      <c r="AY2800" s="23"/>
      <c r="AZ2800" s="23"/>
      <c r="BA2800" s="23"/>
      <c r="BB2800" s="23"/>
    </row>
    <row r="2801" spans="5:54" x14ac:dyDescent="0.35"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  <c r="AA2801" s="23"/>
      <c r="AB2801" s="23"/>
      <c r="AC2801" s="23"/>
      <c r="AD2801" s="23"/>
      <c r="AE2801" s="23"/>
      <c r="AF2801" s="23"/>
      <c r="AG2801" s="23"/>
      <c r="AH2801" s="23"/>
      <c r="AI2801" s="23"/>
      <c r="AJ2801" s="23"/>
      <c r="AK2801" s="23"/>
      <c r="AL2801" s="23"/>
      <c r="AM2801" s="23"/>
      <c r="AN2801" s="23"/>
      <c r="AO2801" s="23"/>
      <c r="AP2801" s="23"/>
      <c r="AQ2801" s="23"/>
      <c r="AR2801" s="23"/>
      <c r="AS2801" s="23"/>
      <c r="AT2801" s="23"/>
      <c r="AU2801" s="23"/>
      <c r="AV2801" s="23"/>
      <c r="AW2801" s="23"/>
      <c r="AX2801" s="23"/>
      <c r="AY2801" s="23"/>
      <c r="AZ2801" s="23"/>
      <c r="BA2801" s="23"/>
      <c r="BB2801" s="23"/>
    </row>
    <row r="2802" spans="5:54" x14ac:dyDescent="0.35"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  <c r="AA2802" s="23"/>
      <c r="AB2802" s="23"/>
      <c r="AC2802" s="23"/>
      <c r="AD2802" s="23"/>
      <c r="AE2802" s="23"/>
      <c r="AF2802" s="23"/>
      <c r="AG2802" s="23"/>
      <c r="AH2802" s="23"/>
      <c r="AI2802" s="23"/>
      <c r="AJ2802" s="23"/>
      <c r="AK2802" s="23"/>
      <c r="AL2802" s="23"/>
      <c r="AM2802" s="23"/>
      <c r="AN2802" s="23"/>
      <c r="AO2802" s="23"/>
      <c r="AP2802" s="23"/>
      <c r="AQ2802" s="23"/>
      <c r="AR2802" s="23"/>
      <c r="AS2802" s="23"/>
      <c r="AT2802" s="23"/>
      <c r="AU2802" s="23"/>
      <c r="AV2802" s="23"/>
      <c r="AW2802" s="23"/>
      <c r="AX2802" s="23"/>
      <c r="AY2802" s="23"/>
      <c r="AZ2802" s="23"/>
      <c r="BA2802" s="23"/>
      <c r="BB2802" s="23"/>
    </row>
    <row r="2803" spans="5:54" x14ac:dyDescent="0.35"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  <c r="AA2803" s="23"/>
      <c r="AB2803" s="23"/>
      <c r="AC2803" s="23"/>
      <c r="AD2803" s="23"/>
      <c r="AE2803" s="23"/>
      <c r="AF2803" s="23"/>
      <c r="AG2803" s="23"/>
      <c r="AH2803" s="23"/>
      <c r="AI2803" s="23"/>
      <c r="AJ2803" s="23"/>
      <c r="AK2803" s="23"/>
      <c r="AL2803" s="23"/>
      <c r="AM2803" s="23"/>
      <c r="AN2803" s="23"/>
      <c r="AO2803" s="23"/>
      <c r="AP2803" s="23"/>
      <c r="AQ2803" s="23"/>
      <c r="AR2803" s="23"/>
      <c r="AS2803" s="23"/>
      <c r="AT2803" s="23"/>
      <c r="AU2803" s="23"/>
      <c r="AV2803" s="23"/>
      <c r="AW2803" s="23"/>
      <c r="AX2803" s="23"/>
      <c r="AY2803" s="23"/>
      <c r="AZ2803" s="23"/>
      <c r="BA2803" s="23"/>
      <c r="BB2803" s="23"/>
    </row>
    <row r="2804" spans="5:54" x14ac:dyDescent="0.35"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  <c r="AA2804" s="23"/>
      <c r="AB2804" s="23"/>
      <c r="AC2804" s="23"/>
      <c r="AD2804" s="23"/>
      <c r="AE2804" s="23"/>
      <c r="AF2804" s="23"/>
      <c r="AG2804" s="23"/>
      <c r="AH2804" s="23"/>
      <c r="AI2804" s="23"/>
      <c r="AJ2804" s="23"/>
      <c r="AK2804" s="23"/>
      <c r="AL2804" s="23"/>
      <c r="AM2804" s="23"/>
      <c r="AN2804" s="23"/>
      <c r="AO2804" s="23"/>
      <c r="AP2804" s="23"/>
      <c r="AQ2804" s="23"/>
      <c r="AR2804" s="23"/>
      <c r="AS2804" s="23"/>
      <c r="AT2804" s="23"/>
      <c r="AU2804" s="23"/>
      <c r="AV2804" s="23"/>
      <c r="AW2804" s="23"/>
      <c r="AX2804" s="23"/>
      <c r="AY2804" s="23"/>
      <c r="AZ2804" s="23"/>
      <c r="BA2804" s="23"/>
      <c r="BB2804" s="23"/>
    </row>
    <row r="2805" spans="5:54" x14ac:dyDescent="0.35"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  <c r="AA2805" s="23"/>
      <c r="AB2805" s="23"/>
      <c r="AC2805" s="23"/>
      <c r="AD2805" s="23"/>
      <c r="AE2805" s="23"/>
      <c r="AF2805" s="23"/>
      <c r="AG2805" s="23"/>
      <c r="AH2805" s="23"/>
      <c r="AI2805" s="23"/>
      <c r="AJ2805" s="23"/>
      <c r="AK2805" s="23"/>
      <c r="AL2805" s="23"/>
      <c r="AM2805" s="23"/>
      <c r="AN2805" s="23"/>
      <c r="AO2805" s="23"/>
      <c r="AP2805" s="23"/>
      <c r="AQ2805" s="23"/>
      <c r="AR2805" s="23"/>
      <c r="AS2805" s="23"/>
      <c r="AT2805" s="23"/>
      <c r="AU2805" s="23"/>
      <c r="AV2805" s="23"/>
      <c r="AW2805" s="23"/>
      <c r="AX2805" s="23"/>
      <c r="AY2805" s="23"/>
      <c r="AZ2805" s="23"/>
      <c r="BA2805" s="23"/>
      <c r="BB2805" s="23"/>
    </row>
    <row r="2806" spans="5:54" x14ac:dyDescent="0.35"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  <c r="AA2806" s="23"/>
      <c r="AB2806" s="23"/>
      <c r="AC2806" s="23"/>
      <c r="AD2806" s="23"/>
      <c r="AE2806" s="23"/>
      <c r="AF2806" s="23"/>
      <c r="AG2806" s="23"/>
      <c r="AH2806" s="23"/>
      <c r="AI2806" s="23"/>
      <c r="AJ2806" s="23"/>
      <c r="AK2806" s="23"/>
      <c r="AL2806" s="23"/>
      <c r="AM2806" s="23"/>
      <c r="AN2806" s="23"/>
      <c r="AO2806" s="23"/>
      <c r="AP2806" s="23"/>
      <c r="AQ2806" s="23"/>
      <c r="AR2806" s="23"/>
      <c r="AS2806" s="23"/>
      <c r="AT2806" s="23"/>
      <c r="AU2806" s="23"/>
      <c r="AV2806" s="23"/>
      <c r="AW2806" s="23"/>
      <c r="AX2806" s="23"/>
      <c r="AY2806" s="23"/>
      <c r="AZ2806" s="23"/>
      <c r="BA2806" s="23"/>
      <c r="BB2806" s="23"/>
    </row>
    <row r="2807" spans="5:54" x14ac:dyDescent="0.35"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  <c r="AA2807" s="23"/>
      <c r="AB2807" s="23"/>
      <c r="AC2807" s="23"/>
      <c r="AD2807" s="23"/>
      <c r="AE2807" s="23"/>
      <c r="AF2807" s="23"/>
      <c r="AG2807" s="23"/>
      <c r="AH2807" s="23"/>
      <c r="AI2807" s="23"/>
      <c r="AJ2807" s="23"/>
      <c r="AK2807" s="23"/>
      <c r="AL2807" s="23"/>
      <c r="AM2807" s="23"/>
      <c r="AN2807" s="23"/>
      <c r="AO2807" s="23"/>
      <c r="AP2807" s="23"/>
      <c r="AQ2807" s="23"/>
      <c r="AR2807" s="23"/>
      <c r="AS2807" s="23"/>
      <c r="AT2807" s="23"/>
      <c r="AU2807" s="23"/>
      <c r="AV2807" s="23"/>
      <c r="AW2807" s="23"/>
      <c r="AX2807" s="23"/>
      <c r="AY2807" s="23"/>
      <c r="AZ2807" s="23"/>
      <c r="BA2807" s="23"/>
      <c r="BB2807" s="23"/>
    </row>
    <row r="2808" spans="5:54" x14ac:dyDescent="0.35"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  <c r="AA2808" s="23"/>
      <c r="AB2808" s="23"/>
      <c r="AC2808" s="23"/>
      <c r="AD2808" s="23"/>
      <c r="AE2808" s="23"/>
      <c r="AF2808" s="23"/>
      <c r="AG2808" s="23"/>
      <c r="AH2808" s="23"/>
      <c r="AI2808" s="23"/>
      <c r="AJ2808" s="23"/>
      <c r="AK2808" s="23"/>
      <c r="AL2808" s="23"/>
      <c r="AM2808" s="23"/>
      <c r="AN2808" s="23"/>
      <c r="AO2808" s="23"/>
      <c r="AP2808" s="23"/>
      <c r="AQ2808" s="23"/>
      <c r="AR2808" s="23"/>
      <c r="AS2808" s="23"/>
      <c r="AT2808" s="23"/>
      <c r="AU2808" s="23"/>
      <c r="AV2808" s="23"/>
      <c r="AW2808" s="23"/>
      <c r="AX2808" s="23"/>
      <c r="AY2808" s="23"/>
      <c r="AZ2808" s="23"/>
      <c r="BA2808" s="23"/>
      <c r="BB2808" s="23"/>
    </row>
    <row r="2809" spans="5:54" x14ac:dyDescent="0.35"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  <c r="AA2809" s="23"/>
      <c r="AB2809" s="23"/>
      <c r="AC2809" s="23"/>
      <c r="AD2809" s="23"/>
      <c r="AE2809" s="23"/>
      <c r="AF2809" s="23"/>
      <c r="AG2809" s="23"/>
      <c r="AH2809" s="23"/>
      <c r="AI2809" s="23"/>
      <c r="AJ2809" s="23"/>
      <c r="AK2809" s="23"/>
      <c r="AL2809" s="23"/>
      <c r="AM2809" s="23"/>
      <c r="AN2809" s="23"/>
      <c r="AO2809" s="23"/>
      <c r="AP2809" s="23"/>
      <c r="AQ2809" s="23"/>
      <c r="AR2809" s="23"/>
      <c r="AS2809" s="23"/>
      <c r="AT2809" s="23"/>
      <c r="AU2809" s="23"/>
      <c r="AV2809" s="23"/>
      <c r="AW2809" s="23"/>
      <c r="AX2809" s="23"/>
      <c r="AY2809" s="23"/>
      <c r="AZ2809" s="23"/>
      <c r="BA2809" s="23"/>
      <c r="BB2809" s="23"/>
    </row>
    <row r="2810" spans="5:54" x14ac:dyDescent="0.35"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  <c r="AA2810" s="23"/>
      <c r="AB2810" s="23"/>
      <c r="AC2810" s="23"/>
      <c r="AD2810" s="23"/>
      <c r="AE2810" s="23"/>
      <c r="AF2810" s="23"/>
      <c r="AG2810" s="23"/>
      <c r="AH2810" s="23"/>
      <c r="AI2810" s="23"/>
      <c r="AJ2810" s="23"/>
      <c r="AK2810" s="23"/>
      <c r="AL2810" s="23"/>
      <c r="AM2810" s="23"/>
      <c r="AN2810" s="23"/>
      <c r="AO2810" s="23"/>
      <c r="AP2810" s="23"/>
      <c r="AQ2810" s="23"/>
      <c r="AR2810" s="23"/>
      <c r="AS2810" s="23"/>
      <c r="AT2810" s="23"/>
      <c r="AU2810" s="23"/>
      <c r="AV2810" s="23"/>
      <c r="AW2810" s="23"/>
      <c r="AX2810" s="23"/>
      <c r="AY2810" s="23"/>
      <c r="AZ2810" s="23"/>
      <c r="BA2810" s="23"/>
      <c r="BB2810" s="23"/>
    </row>
    <row r="2811" spans="5:54" x14ac:dyDescent="0.35"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  <c r="AA2811" s="23"/>
      <c r="AB2811" s="23"/>
      <c r="AC2811" s="23"/>
      <c r="AD2811" s="23"/>
      <c r="AE2811" s="23"/>
      <c r="AF2811" s="23"/>
      <c r="AG2811" s="23"/>
      <c r="AH2811" s="23"/>
      <c r="AI2811" s="23"/>
      <c r="AJ2811" s="23"/>
      <c r="AK2811" s="23"/>
      <c r="AL2811" s="23"/>
      <c r="AM2811" s="23"/>
      <c r="AN2811" s="23"/>
      <c r="AO2811" s="23"/>
      <c r="AP2811" s="23"/>
      <c r="AQ2811" s="23"/>
      <c r="AR2811" s="23"/>
      <c r="AS2811" s="23"/>
      <c r="AT2811" s="23"/>
      <c r="AU2811" s="23"/>
      <c r="AV2811" s="23"/>
      <c r="AW2811" s="23"/>
      <c r="AX2811" s="23"/>
      <c r="AY2811" s="23"/>
      <c r="AZ2811" s="23"/>
      <c r="BA2811" s="23"/>
      <c r="BB2811" s="23"/>
    </row>
    <row r="2812" spans="5:54" x14ac:dyDescent="0.35"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  <c r="AA2812" s="23"/>
      <c r="AB2812" s="23"/>
      <c r="AC2812" s="23"/>
      <c r="AD2812" s="23"/>
      <c r="AE2812" s="23"/>
      <c r="AF2812" s="23"/>
      <c r="AG2812" s="23"/>
      <c r="AH2812" s="23"/>
      <c r="AI2812" s="23"/>
      <c r="AJ2812" s="23"/>
      <c r="AK2812" s="23"/>
      <c r="AL2812" s="23"/>
      <c r="AM2812" s="23"/>
      <c r="AN2812" s="23"/>
      <c r="AO2812" s="23"/>
      <c r="AP2812" s="23"/>
      <c r="AQ2812" s="23"/>
      <c r="AR2812" s="23"/>
      <c r="AS2812" s="23"/>
      <c r="AT2812" s="23"/>
      <c r="AU2812" s="23"/>
      <c r="AV2812" s="23"/>
      <c r="AW2812" s="23"/>
      <c r="AX2812" s="23"/>
      <c r="AY2812" s="23"/>
      <c r="AZ2812" s="23"/>
      <c r="BA2812" s="23"/>
      <c r="BB2812" s="23"/>
    </row>
    <row r="2813" spans="5:54" x14ac:dyDescent="0.35"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  <c r="AA2813" s="23"/>
      <c r="AB2813" s="23"/>
      <c r="AC2813" s="23"/>
      <c r="AD2813" s="23"/>
      <c r="AE2813" s="23"/>
      <c r="AF2813" s="23"/>
      <c r="AG2813" s="23"/>
      <c r="AH2813" s="23"/>
      <c r="AI2813" s="23"/>
      <c r="AJ2813" s="23"/>
      <c r="AK2813" s="23"/>
      <c r="AL2813" s="23"/>
      <c r="AM2813" s="23"/>
      <c r="AN2813" s="23"/>
      <c r="AO2813" s="23"/>
      <c r="AP2813" s="23"/>
      <c r="AQ2813" s="23"/>
      <c r="AR2813" s="23"/>
      <c r="AS2813" s="23"/>
      <c r="AT2813" s="23"/>
      <c r="AU2813" s="23"/>
      <c r="AV2813" s="23"/>
      <c r="AW2813" s="23"/>
      <c r="AX2813" s="23"/>
      <c r="AY2813" s="23"/>
      <c r="AZ2813" s="23"/>
      <c r="BA2813" s="23"/>
      <c r="BB2813" s="23"/>
    </row>
    <row r="2814" spans="5:54" x14ac:dyDescent="0.35"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  <c r="AA2814" s="23"/>
      <c r="AB2814" s="23"/>
      <c r="AC2814" s="23"/>
      <c r="AD2814" s="23"/>
      <c r="AE2814" s="23"/>
      <c r="AF2814" s="23"/>
      <c r="AG2814" s="23"/>
      <c r="AH2814" s="23"/>
      <c r="AI2814" s="23"/>
      <c r="AJ2814" s="23"/>
      <c r="AK2814" s="23"/>
      <c r="AL2814" s="23"/>
      <c r="AM2814" s="23"/>
      <c r="AN2814" s="23"/>
      <c r="AO2814" s="23"/>
      <c r="AP2814" s="23"/>
      <c r="AQ2814" s="23"/>
      <c r="AR2814" s="23"/>
      <c r="AS2814" s="23"/>
      <c r="AT2814" s="23"/>
      <c r="AU2814" s="23"/>
      <c r="AV2814" s="23"/>
      <c r="AW2814" s="23"/>
      <c r="AX2814" s="23"/>
      <c r="AY2814" s="23"/>
      <c r="AZ2814" s="23"/>
      <c r="BA2814" s="23"/>
      <c r="BB2814" s="23"/>
    </row>
    <row r="2815" spans="5:54" x14ac:dyDescent="0.35"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  <c r="AA2815" s="23"/>
      <c r="AB2815" s="23"/>
      <c r="AC2815" s="23"/>
      <c r="AD2815" s="23"/>
      <c r="AE2815" s="23"/>
      <c r="AF2815" s="23"/>
      <c r="AG2815" s="23"/>
      <c r="AH2815" s="23"/>
      <c r="AI2815" s="23"/>
      <c r="AJ2815" s="23"/>
      <c r="AK2815" s="23"/>
      <c r="AL2815" s="23"/>
      <c r="AM2815" s="23"/>
      <c r="AN2815" s="23"/>
      <c r="AO2815" s="23"/>
      <c r="AP2815" s="23"/>
      <c r="AQ2815" s="23"/>
      <c r="AR2815" s="23"/>
      <c r="AS2815" s="23"/>
      <c r="AT2815" s="23"/>
      <c r="AU2815" s="23"/>
      <c r="AV2815" s="23"/>
      <c r="AW2815" s="23"/>
      <c r="AX2815" s="23"/>
      <c r="AY2815" s="23"/>
      <c r="AZ2815" s="23"/>
      <c r="BA2815" s="23"/>
      <c r="BB2815" s="23"/>
    </row>
    <row r="2816" spans="5:54" x14ac:dyDescent="0.35"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  <c r="AA2816" s="23"/>
      <c r="AB2816" s="23"/>
      <c r="AC2816" s="23"/>
      <c r="AD2816" s="23"/>
      <c r="AE2816" s="23"/>
      <c r="AF2816" s="23"/>
      <c r="AG2816" s="23"/>
      <c r="AH2816" s="23"/>
      <c r="AI2816" s="23"/>
      <c r="AJ2816" s="23"/>
      <c r="AK2816" s="23"/>
      <c r="AL2816" s="23"/>
      <c r="AM2816" s="23"/>
      <c r="AN2816" s="23"/>
      <c r="AO2816" s="23"/>
      <c r="AP2816" s="23"/>
      <c r="AQ2816" s="23"/>
      <c r="AR2816" s="23"/>
      <c r="AS2816" s="23"/>
      <c r="AT2816" s="23"/>
      <c r="AU2816" s="23"/>
      <c r="AV2816" s="23"/>
      <c r="AW2816" s="23"/>
      <c r="AX2816" s="23"/>
      <c r="AY2816" s="23"/>
      <c r="AZ2816" s="23"/>
      <c r="BA2816" s="23"/>
      <c r="BB2816" s="23"/>
    </row>
    <row r="2817" spans="5:54" x14ac:dyDescent="0.35"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  <c r="AA2817" s="23"/>
      <c r="AB2817" s="23"/>
      <c r="AC2817" s="23"/>
      <c r="AD2817" s="23"/>
      <c r="AE2817" s="23"/>
      <c r="AF2817" s="23"/>
      <c r="AG2817" s="23"/>
      <c r="AH2817" s="23"/>
      <c r="AI2817" s="23"/>
      <c r="AJ2817" s="23"/>
      <c r="AK2817" s="23"/>
      <c r="AL2817" s="23"/>
      <c r="AM2817" s="23"/>
      <c r="AN2817" s="23"/>
      <c r="AO2817" s="23"/>
      <c r="AP2817" s="23"/>
      <c r="AQ2817" s="23"/>
      <c r="AR2817" s="23"/>
      <c r="AS2817" s="23"/>
      <c r="AT2817" s="23"/>
      <c r="AU2817" s="23"/>
      <c r="AV2817" s="23"/>
      <c r="AW2817" s="23"/>
      <c r="AX2817" s="23"/>
      <c r="AY2817" s="23"/>
      <c r="AZ2817" s="23"/>
      <c r="BA2817" s="23"/>
      <c r="BB2817" s="23"/>
    </row>
    <row r="2818" spans="5:54" x14ac:dyDescent="0.35"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  <c r="AA2818" s="23"/>
      <c r="AB2818" s="23"/>
      <c r="AC2818" s="23"/>
      <c r="AD2818" s="23"/>
      <c r="AE2818" s="23"/>
      <c r="AF2818" s="23"/>
      <c r="AG2818" s="23"/>
      <c r="AH2818" s="23"/>
      <c r="AI2818" s="23"/>
      <c r="AJ2818" s="23"/>
      <c r="AK2818" s="23"/>
      <c r="AL2818" s="23"/>
      <c r="AM2818" s="23"/>
      <c r="AN2818" s="23"/>
      <c r="AO2818" s="23"/>
      <c r="AP2818" s="23"/>
      <c r="AQ2818" s="23"/>
      <c r="AR2818" s="23"/>
      <c r="AS2818" s="23"/>
      <c r="AT2818" s="23"/>
      <c r="AU2818" s="23"/>
      <c r="AV2818" s="23"/>
      <c r="AW2818" s="23"/>
      <c r="AX2818" s="23"/>
      <c r="AY2818" s="23"/>
      <c r="AZ2818" s="23"/>
      <c r="BA2818" s="23"/>
      <c r="BB2818" s="23"/>
    </row>
    <row r="2819" spans="5:54" x14ac:dyDescent="0.35"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  <c r="AA2819" s="23"/>
      <c r="AB2819" s="23"/>
      <c r="AC2819" s="23"/>
      <c r="AD2819" s="23"/>
      <c r="AE2819" s="23"/>
      <c r="AF2819" s="23"/>
      <c r="AG2819" s="23"/>
      <c r="AH2819" s="23"/>
      <c r="AI2819" s="23"/>
      <c r="AJ2819" s="23"/>
      <c r="AK2819" s="23"/>
      <c r="AL2819" s="23"/>
      <c r="AM2819" s="23"/>
      <c r="AN2819" s="23"/>
      <c r="AO2819" s="23"/>
      <c r="AP2819" s="23"/>
      <c r="AQ2819" s="23"/>
      <c r="AR2819" s="23"/>
      <c r="AS2819" s="23"/>
      <c r="AT2819" s="23"/>
      <c r="AU2819" s="23"/>
      <c r="AV2819" s="23"/>
      <c r="AW2819" s="23"/>
      <c r="AX2819" s="23"/>
      <c r="AY2819" s="23"/>
      <c r="AZ2819" s="23"/>
      <c r="BA2819" s="23"/>
      <c r="BB2819" s="23"/>
    </row>
    <row r="2820" spans="5:54" x14ac:dyDescent="0.35"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  <c r="AA2820" s="23"/>
      <c r="AB2820" s="23"/>
      <c r="AC2820" s="23"/>
      <c r="AD2820" s="23"/>
      <c r="AE2820" s="23"/>
      <c r="AF2820" s="23"/>
      <c r="AG2820" s="23"/>
      <c r="AH2820" s="23"/>
      <c r="AI2820" s="23"/>
      <c r="AJ2820" s="23"/>
      <c r="AK2820" s="23"/>
      <c r="AL2820" s="23"/>
      <c r="AM2820" s="23"/>
      <c r="AN2820" s="23"/>
      <c r="AO2820" s="23"/>
      <c r="AP2820" s="23"/>
      <c r="AQ2820" s="23"/>
      <c r="AR2820" s="23"/>
      <c r="AS2820" s="23"/>
      <c r="AT2820" s="23"/>
      <c r="AU2820" s="23"/>
      <c r="AV2820" s="23"/>
      <c r="AW2820" s="23"/>
      <c r="AX2820" s="23"/>
      <c r="AY2820" s="23"/>
      <c r="AZ2820" s="23"/>
      <c r="BA2820" s="23"/>
      <c r="BB2820" s="23"/>
    </row>
    <row r="2821" spans="5:54" x14ac:dyDescent="0.35"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  <c r="AA2821" s="23"/>
      <c r="AB2821" s="23"/>
      <c r="AC2821" s="23"/>
      <c r="AD2821" s="23"/>
      <c r="AE2821" s="23"/>
      <c r="AF2821" s="23"/>
      <c r="AG2821" s="23"/>
      <c r="AH2821" s="23"/>
      <c r="AI2821" s="23"/>
      <c r="AJ2821" s="23"/>
      <c r="AK2821" s="23"/>
      <c r="AL2821" s="23"/>
      <c r="AM2821" s="23"/>
      <c r="AN2821" s="23"/>
      <c r="AO2821" s="23"/>
      <c r="AP2821" s="23"/>
      <c r="AQ2821" s="23"/>
      <c r="AR2821" s="23"/>
      <c r="AS2821" s="23"/>
      <c r="AT2821" s="23"/>
      <c r="AU2821" s="23"/>
      <c r="AV2821" s="23"/>
      <c r="AW2821" s="23"/>
      <c r="AX2821" s="23"/>
      <c r="AY2821" s="23"/>
      <c r="AZ2821" s="23"/>
      <c r="BA2821" s="23"/>
      <c r="BB2821" s="23"/>
    </row>
    <row r="2822" spans="5:54" x14ac:dyDescent="0.35"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  <c r="AA2822" s="23"/>
      <c r="AB2822" s="23"/>
      <c r="AC2822" s="23"/>
      <c r="AD2822" s="23"/>
      <c r="AE2822" s="23"/>
      <c r="AF2822" s="23"/>
      <c r="AG2822" s="23"/>
      <c r="AH2822" s="23"/>
      <c r="AI2822" s="23"/>
      <c r="AJ2822" s="23"/>
      <c r="AK2822" s="23"/>
      <c r="AL2822" s="23"/>
      <c r="AM2822" s="23"/>
      <c r="AN2822" s="23"/>
      <c r="AO2822" s="23"/>
      <c r="AP2822" s="23"/>
      <c r="AQ2822" s="23"/>
      <c r="AR2822" s="23"/>
      <c r="AS2822" s="23"/>
      <c r="AT2822" s="23"/>
      <c r="AU2822" s="23"/>
      <c r="AV2822" s="23"/>
      <c r="AW2822" s="23"/>
      <c r="AX2822" s="23"/>
      <c r="AY2822" s="23"/>
      <c r="AZ2822" s="23"/>
      <c r="BA2822" s="23"/>
      <c r="BB2822" s="23"/>
    </row>
    <row r="2823" spans="5:54" x14ac:dyDescent="0.35"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  <c r="AA2823" s="23"/>
      <c r="AB2823" s="23"/>
      <c r="AC2823" s="23"/>
      <c r="AD2823" s="23"/>
      <c r="AE2823" s="23"/>
      <c r="AF2823" s="23"/>
      <c r="AG2823" s="23"/>
      <c r="AH2823" s="23"/>
      <c r="AI2823" s="23"/>
      <c r="AJ2823" s="23"/>
      <c r="AK2823" s="23"/>
      <c r="AL2823" s="23"/>
      <c r="AM2823" s="23"/>
      <c r="AN2823" s="23"/>
      <c r="AO2823" s="23"/>
      <c r="AP2823" s="23"/>
      <c r="AQ2823" s="23"/>
      <c r="AR2823" s="23"/>
      <c r="AS2823" s="23"/>
      <c r="AT2823" s="23"/>
      <c r="AU2823" s="23"/>
      <c r="AV2823" s="23"/>
      <c r="AW2823" s="23"/>
      <c r="AX2823" s="23"/>
      <c r="AY2823" s="23"/>
      <c r="AZ2823" s="23"/>
      <c r="BA2823" s="23"/>
      <c r="BB2823" s="23"/>
    </row>
    <row r="2824" spans="5:54" x14ac:dyDescent="0.35"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  <c r="AA2824" s="23"/>
      <c r="AB2824" s="23"/>
      <c r="AC2824" s="23"/>
      <c r="AD2824" s="23"/>
      <c r="AE2824" s="23"/>
      <c r="AF2824" s="23"/>
      <c r="AG2824" s="23"/>
      <c r="AH2824" s="23"/>
      <c r="AI2824" s="23"/>
      <c r="AJ2824" s="23"/>
      <c r="AK2824" s="23"/>
      <c r="AL2824" s="23"/>
      <c r="AM2824" s="23"/>
      <c r="AN2824" s="23"/>
      <c r="AO2824" s="23"/>
      <c r="AP2824" s="23"/>
      <c r="AQ2824" s="23"/>
      <c r="AR2824" s="23"/>
      <c r="AS2824" s="23"/>
      <c r="AT2824" s="23"/>
      <c r="AU2824" s="23"/>
      <c r="AV2824" s="23"/>
      <c r="AW2824" s="23"/>
      <c r="AX2824" s="23"/>
      <c r="AY2824" s="23"/>
      <c r="AZ2824" s="23"/>
      <c r="BA2824" s="23"/>
      <c r="BB2824" s="23"/>
    </row>
    <row r="2825" spans="5:54" x14ac:dyDescent="0.35"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  <c r="AA2825" s="23"/>
      <c r="AB2825" s="23"/>
      <c r="AC2825" s="23"/>
      <c r="AD2825" s="23"/>
      <c r="AE2825" s="23"/>
      <c r="AF2825" s="23"/>
      <c r="AG2825" s="23"/>
      <c r="AH2825" s="23"/>
      <c r="AI2825" s="23"/>
      <c r="AJ2825" s="23"/>
      <c r="AK2825" s="23"/>
      <c r="AL2825" s="23"/>
      <c r="AM2825" s="23"/>
      <c r="AN2825" s="23"/>
      <c r="AO2825" s="23"/>
      <c r="AP2825" s="23"/>
      <c r="AQ2825" s="23"/>
      <c r="AR2825" s="23"/>
      <c r="AS2825" s="23"/>
      <c r="AT2825" s="23"/>
      <c r="AU2825" s="23"/>
      <c r="AV2825" s="23"/>
      <c r="AW2825" s="23"/>
      <c r="AX2825" s="23"/>
      <c r="AY2825" s="23"/>
      <c r="AZ2825" s="23"/>
      <c r="BA2825" s="23"/>
      <c r="BB2825" s="23"/>
    </row>
    <row r="2826" spans="5:54" x14ac:dyDescent="0.35"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  <c r="AA2826" s="23"/>
      <c r="AB2826" s="23"/>
      <c r="AC2826" s="23"/>
      <c r="AD2826" s="23"/>
      <c r="AE2826" s="23"/>
      <c r="AF2826" s="23"/>
      <c r="AG2826" s="23"/>
      <c r="AH2826" s="23"/>
      <c r="AI2826" s="23"/>
      <c r="AJ2826" s="23"/>
      <c r="AK2826" s="23"/>
      <c r="AL2826" s="23"/>
      <c r="AM2826" s="23"/>
      <c r="AN2826" s="23"/>
      <c r="AO2826" s="23"/>
      <c r="AP2826" s="23"/>
      <c r="AQ2826" s="23"/>
      <c r="AR2826" s="23"/>
      <c r="AS2826" s="23"/>
      <c r="AT2826" s="23"/>
      <c r="AU2826" s="23"/>
      <c r="AV2826" s="23"/>
      <c r="AW2826" s="23"/>
      <c r="AX2826" s="23"/>
      <c r="AY2826" s="23"/>
      <c r="AZ2826" s="23"/>
      <c r="BA2826" s="23"/>
      <c r="BB2826" s="23"/>
    </row>
    <row r="2827" spans="5:54" x14ac:dyDescent="0.35"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  <c r="AA2827" s="23"/>
      <c r="AB2827" s="23"/>
      <c r="AC2827" s="23"/>
      <c r="AD2827" s="23"/>
      <c r="AE2827" s="23"/>
      <c r="AF2827" s="23"/>
      <c r="AG2827" s="23"/>
      <c r="AH2827" s="23"/>
      <c r="AI2827" s="23"/>
      <c r="AJ2827" s="23"/>
      <c r="AK2827" s="23"/>
      <c r="AL2827" s="23"/>
      <c r="AM2827" s="23"/>
      <c r="AN2827" s="23"/>
      <c r="AO2827" s="23"/>
      <c r="AP2827" s="23"/>
      <c r="AQ2827" s="23"/>
      <c r="AR2827" s="23"/>
      <c r="AS2827" s="23"/>
      <c r="AT2827" s="23"/>
      <c r="AU2827" s="23"/>
      <c r="AV2827" s="23"/>
      <c r="AW2827" s="23"/>
      <c r="AX2827" s="23"/>
      <c r="AY2827" s="23"/>
      <c r="AZ2827" s="23"/>
      <c r="BA2827" s="23"/>
      <c r="BB2827" s="23"/>
    </row>
    <row r="2828" spans="5:54" x14ac:dyDescent="0.35"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  <c r="AA2828" s="23"/>
      <c r="AB2828" s="23"/>
      <c r="AC2828" s="23"/>
      <c r="AD2828" s="23"/>
      <c r="AE2828" s="23"/>
      <c r="AF2828" s="23"/>
      <c r="AG2828" s="23"/>
      <c r="AH2828" s="23"/>
      <c r="AI2828" s="23"/>
      <c r="AJ2828" s="23"/>
      <c r="AK2828" s="23"/>
      <c r="AL2828" s="23"/>
      <c r="AM2828" s="23"/>
      <c r="AN2828" s="23"/>
      <c r="AO2828" s="23"/>
      <c r="AP2828" s="23"/>
      <c r="AQ2828" s="23"/>
      <c r="AR2828" s="23"/>
      <c r="AS2828" s="23"/>
      <c r="AT2828" s="23"/>
      <c r="AU2828" s="23"/>
      <c r="AV2828" s="23"/>
      <c r="AW2828" s="23"/>
      <c r="AX2828" s="23"/>
      <c r="AY2828" s="23"/>
      <c r="AZ2828" s="23"/>
      <c r="BA2828" s="23"/>
      <c r="BB2828" s="23"/>
    </row>
    <row r="2829" spans="5:54" x14ac:dyDescent="0.35"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  <c r="AA2829" s="23"/>
      <c r="AB2829" s="23"/>
      <c r="AC2829" s="23"/>
      <c r="AD2829" s="23"/>
      <c r="AE2829" s="23"/>
      <c r="AF2829" s="23"/>
      <c r="AG2829" s="23"/>
      <c r="AH2829" s="23"/>
      <c r="AI2829" s="23"/>
      <c r="AJ2829" s="23"/>
      <c r="AK2829" s="23"/>
      <c r="AL2829" s="23"/>
      <c r="AM2829" s="23"/>
      <c r="AN2829" s="23"/>
      <c r="AO2829" s="23"/>
      <c r="AP2829" s="23"/>
      <c r="AQ2829" s="23"/>
      <c r="AR2829" s="23"/>
      <c r="AS2829" s="23"/>
      <c r="AT2829" s="23"/>
      <c r="AU2829" s="23"/>
      <c r="AV2829" s="23"/>
      <c r="AW2829" s="23"/>
      <c r="AX2829" s="23"/>
      <c r="AY2829" s="23"/>
      <c r="AZ2829" s="23"/>
      <c r="BA2829" s="23"/>
      <c r="BB2829" s="23"/>
    </row>
    <row r="2830" spans="5:54" x14ac:dyDescent="0.35"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  <c r="AA2830" s="23"/>
      <c r="AB2830" s="23"/>
      <c r="AC2830" s="23"/>
      <c r="AD2830" s="23"/>
      <c r="AE2830" s="23"/>
      <c r="AF2830" s="23"/>
      <c r="AG2830" s="23"/>
      <c r="AH2830" s="23"/>
      <c r="AI2830" s="23"/>
      <c r="AJ2830" s="23"/>
      <c r="AK2830" s="23"/>
      <c r="AL2830" s="23"/>
      <c r="AM2830" s="23"/>
      <c r="AN2830" s="23"/>
      <c r="AO2830" s="23"/>
      <c r="AP2830" s="23"/>
      <c r="AQ2830" s="23"/>
      <c r="AR2830" s="23"/>
      <c r="AS2830" s="23"/>
      <c r="AT2830" s="23"/>
      <c r="AU2830" s="23"/>
      <c r="AV2830" s="23"/>
      <c r="AW2830" s="23"/>
      <c r="AX2830" s="23"/>
      <c r="AY2830" s="23"/>
      <c r="AZ2830" s="23"/>
      <c r="BA2830" s="23"/>
      <c r="BB2830" s="23"/>
    </row>
    <row r="2831" spans="5:54" x14ac:dyDescent="0.35"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  <c r="AA2831" s="23"/>
      <c r="AB2831" s="23"/>
      <c r="AC2831" s="23"/>
      <c r="AD2831" s="23"/>
      <c r="AE2831" s="23"/>
      <c r="AF2831" s="23"/>
      <c r="AG2831" s="23"/>
      <c r="AH2831" s="23"/>
      <c r="AI2831" s="23"/>
      <c r="AJ2831" s="23"/>
      <c r="AK2831" s="23"/>
      <c r="AL2831" s="23"/>
      <c r="AM2831" s="23"/>
      <c r="AN2831" s="23"/>
      <c r="AO2831" s="23"/>
      <c r="AP2831" s="23"/>
      <c r="AQ2831" s="23"/>
      <c r="AR2831" s="23"/>
      <c r="AS2831" s="23"/>
      <c r="AT2831" s="23"/>
      <c r="AU2831" s="23"/>
      <c r="AV2831" s="23"/>
      <c r="AW2831" s="23"/>
      <c r="AX2831" s="23"/>
      <c r="AY2831" s="23"/>
      <c r="AZ2831" s="23"/>
      <c r="BA2831" s="23"/>
      <c r="BB2831" s="23"/>
    </row>
    <row r="2832" spans="5:54" x14ac:dyDescent="0.35"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  <c r="AA2832" s="23"/>
      <c r="AB2832" s="23"/>
      <c r="AC2832" s="23"/>
      <c r="AD2832" s="23"/>
      <c r="AE2832" s="23"/>
      <c r="AF2832" s="23"/>
      <c r="AG2832" s="23"/>
      <c r="AH2832" s="23"/>
      <c r="AI2832" s="23"/>
      <c r="AJ2832" s="23"/>
      <c r="AK2832" s="23"/>
      <c r="AL2832" s="23"/>
      <c r="AM2832" s="23"/>
      <c r="AN2832" s="23"/>
      <c r="AO2832" s="23"/>
      <c r="AP2832" s="23"/>
      <c r="AQ2832" s="23"/>
      <c r="AR2832" s="23"/>
      <c r="AS2832" s="23"/>
      <c r="AT2832" s="23"/>
      <c r="AU2832" s="23"/>
      <c r="AV2832" s="23"/>
      <c r="AW2832" s="23"/>
      <c r="AX2832" s="23"/>
      <c r="AY2832" s="23"/>
      <c r="AZ2832" s="23"/>
      <c r="BA2832" s="23"/>
      <c r="BB2832" s="23"/>
    </row>
    <row r="2833" spans="5:54" x14ac:dyDescent="0.35"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  <c r="AA2833" s="23"/>
      <c r="AB2833" s="23"/>
      <c r="AC2833" s="23"/>
      <c r="AD2833" s="23"/>
      <c r="AE2833" s="23"/>
      <c r="AF2833" s="23"/>
      <c r="AG2833" s="23"/>
      <c r="AH2833" s="23"/>
      <c r="AI2833" s="23"/>
      <c r="AJ2833" s="23"/>
      <c r="AK2833" s="23"/>
      <c r="AL2833" s="23"/>
      <c r="AM2833" s="23"/>
      <c r="AN2833" s="23"/>
      <c r="AO2833" s="23"/>
      <c r="AP2833" s="23"/>
      <c r="AQ2833" s="23"/>
      <c r="AR2833" s="23"/>
      <c r="AS2833" s="23"/>
      <c r="AT2833" s="23"/>
      <c r="AU2833" s="23"/>
      <c r="AV2833" s="23"/>
      <c r="AW2833" s="23"/>
      <c r="AX2833" s="23"/>
      <c r="AY2833" s="23"/>
      <c r="AZ2833" s="23"/>
      <c r="BA2833" s="23"/>
      <c r="BB2833" s="23"/>
    </row>
    <row r="2834" spans="5:54" x14ac:dyDescent="0.35"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  <c r="AA2834" s="23"/>
      <c r="AB2834" s="23"/>
      <c r="AC2834" s="23"/>
      <c r="AD2834" s="23"/>
      <c r="AE2834" s="23"/>
      <c r="AF2834" s="23"/>
      <c r="AG2834" s="23"/>
      <c r="AH2834" s="23"/>
      <c r="AI2834" s="23"/>
      <c r="AJ2834" s="23"/>
      <c r="AK2834" s="23"/>
      <c r="AL2834" s="23"/>
      <c r="AM2834" s="23"/>
      <c r="AN2834" s="23"/>
      <c r="AO2834" s="23"/>
      <c r="AP2834" s="23"/>
      <c r="AQ2834" s="23"/>
      <c r="AR2834" s="23"/>
      <c r="AS2834" s="23"/>
      <c r="AT2834" s="23"/>
      <c r="AU2834" s="23"/>
      <c r="AV2834" s="23"/>
      <c r="AW2834" s="23"/>
      <c r="AX2834" s="23"/>
      <c r="AY2834" s="23"/>
      <c r="AZ2834" s="23"/>
      <c r="BA2834" s="23"/>
      <c r="BB2834" s="23"/>
    </row>
    <row r="2835" spans="5:54" x14ac:dyDescent="0.35"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  <c r="AA2835" s="23"/>
      <c r="AB2835" s="23"/>
      <c r="AC2835" s="23"/>
      <c r="AD2835" s="23"/>
      <c r="AE2835" s="23"/>
      <c r="AF2835" s="23"/>
      <c r="AG2835" s="23"/>
      <c r="AH2835" s="23"/>
      <c r="AI2835" s="23"/>
      <c r="AJ2835" s="23"/>
      <c r="AK2835" s="23"/>
      <c r="AL2835" s="23"/>
      <c r="AM2835" s="23"/>
      <c r="AN2835" s="23"/>
      <c r="AO2835" s="23"/>
      <c r="AP2835" s="23"/>
      <c r="AQ2835" s="23"/>
      <c r="AR2835" s="23"/>
      <c r="AS2835" s="23"/>
      <c r="AT2835" s="23"/>
      <c r="AU2835" s="23"/>
      <c r="AV2835" s="23"/>
      <c r="AW2835" s="23"/>
      <c r="AX2835" s="23"/>
      <c r="AY2835" s="23"/>
      <c r="AZ2835" s="23"/>
      <c r="BA2835" s="23"/>
      <c r="BB2835" s="23"/>
    </row>
    <row r="2836" spans="5:54" x14ac:dyDescent="0.35"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  <c r="AA2836" s="23"/>
      <c r="AB2836" s="23"/>
      <c r="AC2836" s="23"/>
      <c r="AD2836" s="23"/>
      <c r="AE2836" s="23"/>
      <c r="AF2836" s="23"/>
      <c r="AG2836" s="23"/>
      <c r="AH2836" s="23"/>
      <c r="AI2836" s="23"/>
      <c r="AJ2836" s="23"/>
      <c r="AK2836" s="23"/>
      <c r="AL2836" s="23"/>
      <c r="AM2836" s="23"/>
      <c r="AN2836" s="23"/>
      <c r="AO2836" s="23"/>
      <c r="AP2836" s="23"/>
      <c r="AQ2836" s="23"/>
      <c r="AR2836" s="23"/>
      <c r="AS2836" s="23"/>
      <c r="AT2836" s="23"/>
      <c r="AU2836" s="23"/>
      <c r="AV2836" s="23"/>
      <c r="AW2836" s="23"/>
      <c r="AX2836" s="23"/>
      <c r="AY2836" s="23"/>
      <c r="AZ2836" s="23"/>
      <c r="BA2836" s="23"/>
      <c r="BB2836" s="23"/>
    </row>
    <row r="2837" spans="5:54" x14ac:dyDescent="0.35"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  <c r="AA2837" s="23"/>
      <c r="AB2837" s="23"/>
      <c r="AC2837" s="23"/>
      <c r="AD2837" s="23"/>
      <c r="AE2837" s="23"/>
      <c r="AF2837" s="23"/>
      <c r="AG2837" s="23"/>
      <c r="AH2837" s="23"/>
      <c r="AI2837" s="23"/>
      <c r="AJ2837" s="23"/>
      <c r="AK2837" s="23"/>
      <c r="AL2837" s="23"/>
      <c r="AM2837" s="23"/>
      <c r="AN2837" s="23"/>
      <c r="AO2837" s="23"/>
      <c r="AP2837" s="23"/>
      <c r="AQ2837" s="23"/>
      <c r="AR2837" s="23"/>
      <c r="AS2837" s="23"/>
      <c r="AT2837" s="23"/>
      <c r="AU2837" s="23"/>
      <c r="AV2837" s="23"/>
      <c r="AW2837" s="23"/>
      <c r="AX2837" s="23"/>
      <c r="AY2837" s="23"/>
      <c r="AZ2837" s="23"/>
      <c r="BA2837" s="23"/>
      <c r="BB2837" s="23"/>
    </row>
    <row r="2838" spans="5:54" x14ac:dyDescent="0.35"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  <c r="AA2838" s="23"/>
      <c r="AB2838" s="23"/>
      <c r="AC2838" s="23"/>
      <c r="AD2838" s="23"/>
      <c r="AE2838" s="23"/>
      <c r="AF2838" s="23"/>
      <c r="AG2838" s="23"/>
      <c r="AH2838" s="23"/>
      <c r="AI2838" s="23"/>
      <c r="AJ2838" s="23"/>
      <c r="AK2838" s="23"/>
      <c r="AL2838" s="23"/>
      <c r="AM2838" s="23"/>
      <c r="AN2838" s="23"/>
      <c r="AO2838" s="23"/>
      <c r="AP2838" s="23"/>
      <c r="AQ2838" s="23"/>
      <c r="AR2838" s="23"/>
      <c r="AS2838" s="23"/>
      <c r="AT2838" s="23"/>
      <c r="AU2838" s="23"/>
      <c r="AV2838" s="23"/>
      <c r="AW2838" s="23"/>
      <c r="AX2838" s="23"/>
      <c r="AY2838" s="23"/>
      <c r="AZ2838" s="23"/>
      <c r="BA2838" s="23"/>
      <c r="BB2838" s="23"/>
    </row>
    <row r="2839" spans="5:54" x14ac:dyDescent="0.35"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  <c r="AA2839" s="23"/>
      <c r="AB2839" s="23"/>
      <c r="AC2839" s="23"/>
      <c r="AD2839" s="23"/>
      <c r="AE2839" s="23"/>
      <c r="AF2839" s="23"/>
      <c r="AG2839" s="23"/>
      <c r="AH2839" s="23"/>
      <c r="AI2839" s="23"/>
      <c r="AJ2839" s="23"/>
      <c r="AK2839" s="23"/>
      <c r="AL2839" s="23"/>
      <c r="AM2839" s="23"/>
      <c r="AN2839" s="23"/>
      <c r="AO2839" s="23"/>
      <c r="AP2839" s="23"/>
      <c r="AQ2839" s="23"/>
      <c r="AR2839" s="23"/>
      <c r="AS2839" s="23"/>
      <c r="AT2839" s="23"/>
      <c r="AU2839" s="23"/>
      <c r="AV2839" s="23"/>
      <c r="AW2839" s="23"/>
      <c r="AX2839" s="23"/>
      <c r="AY2839" s="23"/>
      <c r="AZ2839" s="23"/>
      <c r="BA2839" s="23"/>
      <c r="BB2839" s="23"/>
    </row>
    <row r="2840" spans="5:54" x14ac:dyDescent="0.35"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  <c r="AA2840" s="23"/>
      <c r="AB2840" s="23"/>
      <c r="AC2840" s="23"/>
      <c r="AD2840" s="23"/>
      <c r="AE2840" s="23"/>
      <c r="AF2840" s="23"/>
      <c r="AG2840" s="23"/>
      <c r="AH2840" s="23"/>
      <c r="AI2840" s="23"/>
      <c r="AJ2840" s="23"/>
      <c r="AK2840" s="23"/>
      <c r="AL2840" s="23"/>
      <c r="AM2840" s="23"/>
      <c r="AN2840" s="23"/>
      <c r="AO2840" s="23"/>
      <c r="AP2840" s="23"/>
      <c r="AQ2840" s="23"/>
      <c r="AR2840" s="23"/>
      <c r="AS2840" s="23"/>
      <c r="AT2840" s="23"/>
      <c r="AU2840" s="23"/>
      <c r="AV2840" s="23"/>
      <c r="AW2840" s="23"/>
      <c r="AX2840" s="23"/>
      <c r="AY2840" s="23"/>
      <c r="AZ2840" s="23"/>
      <c r="BA2840" s="23"/>
      <c r="BB2840" s="23"/>
    </row>
    <row r="2841" spans="5:54" x14ac:dyDescent="0.35"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  <c r="AA2841" s="23"/>
      <c r="AB2841" s="23"/>
      <c r="AC2841" s="23"/>
      <c r="AD2841" s="23"/>
      <c r="AE2841" s="23"/>
      <c r="AF2841" s="23"/>
      <c r="AG2841" s="23"/>
      <c r="AH2841" s="23"/>
      <c r="AI2841" s="23"/>
      <c r="AJ2841" s="23"/>
      <c r="AK2841" s="23"/>
      <c r="AL2841" s="23"/>
      <c r="AM2841" s="23"/>
      <c r="AN2841" s="23"/>
      <c r="AO2841" s="23"/>
      <c r="AP2841" s="23"/>
      <c r="AQ2841" s="23"/>
      <c r="AR2841" s="23"/>
      <c r="AS2841" s="23"/>
      <c r="AT2841" s="23"/>
      <c r="AU2841" s="23"/>
      <c r="AV2841" s="23"/>
      <c r="AW2841" s="23"/>
      <c r="AX2841" s="23"/>
      <c r="AY2841" s="23"/>
      <c r="AZ2841" s="23"/>
      <c r="BA2841" s="23"/>
      <c r="BB2841" s="23"/>
    </row>
    <row r="2842" spans="5:54" x14ac:dyDescent="0.35"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  <c r="AA2842" s="23"/>
      <c r="AB2842" s="23"/>
      <c r="AC2842" s="23"/>
      <c r="AD2842" s="23"/>
      <c r="AE2842" s="23"/>
      <c r="AF2842" s="23"/>
      <c r="AG2842" s="23"/>
      <c r="AH2842" s="23"/>
      <c r="AI2842" s="23"/>
      <c r="AJ2842" s="23"/>
      <c r="AK2842" s="23"/>
      <c r="AL2842" s="23"/>
      <c r="AM2842" s="23"/>
      <c r="AN2842" s="23"/>
      <c r="AO2842" s="23"/>
      <c r="AP2842" s="23"/>
      <c r="AQ2842" s="23"/>
      <c r="AR2842" s="23"/>
      <c r="AS2842" s="23"/>
      <c r="AT2842" s="23"/>
      <c r="AU2842" s="23"/>
      <c r="AV2842" s="23"/>
      <c r="AW2842" s="23"/>
      <c r="AX2842" s="23"/>
      <c r="AY2842" s="23"/>
      <c r="AZ2842" s="23"/>
      <c r="BA2842" s="23"/>
      <c r="BB2842" s="23"/>
    </row>
    <row r="2843" spans="5:54" x14ac:dyDescent="0.35"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  <c r="AA2843" s="23"/>
      <c r="AB2843" s="23"/>
      <c r="AC2843" s="23"/>
      <c r="AD2843" s="23"/>
      <c r="AE2843" s="23"/>
      <c r="AF2843" s="23"/>
      <c r="AG2843" s="23"/>
      <c r="AH2843" s="23"/>
      <c r="AI2843" s="23"/>
      <c r="AJ2843" s="23"/>
      <c r="AK2843" s="23"/>
      <c r="AL2843" s="23"/>
      <c r="AM2843" s="23"/>
      <c r="AN2843" s="23"/>
      <c r="AO2843" s="23"/>
      <c r="AP2843" s="23"/>
      <c r="AQ2843" s="23"/>
      <c r="AR2843" s="23"/>
      <c r="AS2843" s="23"/>
      <c r="AT2843" s="23"/>
      <c r="AU2843" s="23"/>
      <c r="AV2843" s="23"/>
      <c r="AW2843" s="23"/>
      <c r="AX2843" s="23"/>
      <c r="AY2843" s="23"/>
      <c r="AZ2843" s="23"/>
      <c r="BA2843" s="23"/>
      <c r="BB2843" s="23"/>
    </row>
    <row r="2844" spans="5:54" x14ac:dyDescent="0.35"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  <c r="AA2844" s="23"/>
      <c r="AB2844" s="23"/>
      <c r="AC2844" s="23"/>
      <c r="AD2844" s="23"/>
      <c r="AE2844" s="23"/>
      <c r="AF2844" s="23"/>
      <c r="AG2844" s="23"/>
      <c r="AH2844" s="23"/>
      <c r="AI2844" s="23"/>
      <c r="AJ2844" s="23"/>
      <c r="AK2844" s="23"/>
      <c r="AL2844" s="23"/>
      <c r="AM2844" s="23"/>
      <c r="AN2844" s="23"/>
      <c r="AO2844" s="23"/>
      <c r="AP2844" s="23"/>
      <c r="AQ2844" s="23"/>
      <c r="AR2844" s="23"/>
      <c r="AS2844" s="23"/>
      <c r="AT2844" s="23"/>
      <c r="AU2844" s="23"/>
      <c r="AV2844" s="23"/>
      <c r="AW2844" s="23"/>
      <c r="AX2844" s="23"/>
      <c r="AY2844" s="23"/>
      <c r="AZ2844" s="23"/>
      <c r="BA2844" s="23"/>
      <c r="BB2844" s="23"/>
    </row>
    <row r="2845" spans="5:54" x14ac:dyDescent="0.35"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  <c r="AA2845" s="23"/>
      <c r="AB2845" s="23"/>
      <c r="AC2845" s="23"/>
      <c r="AD2845" s="23"/>
      <c r="AE2845" s="23"/>
      <c r="AF2845" s="23"/>
      <c r="AG2845" s="23"/>
      <c r="AH2845" s="23"/>
      <c r="AI2845" s="23"/>
      <c r="AJ2845" s="23"/>
      <c r="AK2845" s="23"/>
      <c r="AL2845" s="23"/>
      <c r="AM2845" s="23"/>
      <c r="AN2845" s="23"/>
      <c r="AO2845" s="23"/>
      <c r="AP2845" s="23"/>
      <c r="AQ2845" s="23"/>
      <c r="AR2845" s="23"/>
      <c r="AS2845" s="23"/>
      <c r="AT2845" s="23"/>
      <c r="AU2845" s="23"/>
      <c r="AV2845" s="23"/>
      <c r="AW2845" s="23"/>
      <c r="AX2845" s="23"/>
      <c r="AY2845" s="23"/>
      <c r="AZ2845" s="23"/>
      <c r="BA2845" s="23"/>
      <c r="BB2845" s="23"/>
    </row>
    <row r="2846" spans="5:54" x14ac:dyDescent="0.35"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  <c r="AA2846" s="23"/>
      <c r="AB2846" s="23"/>
      <c r="AC2846" s="23"/>
      <c r="AD2846" s="23"/>
      <c r="AE2846" s="23"/>
      <c r="AF2846" s="23"/>
      <c r="AG2846" s="23"/>
      <c r="AH2846" s="23"/>
      <c r="AI2846" s="23"/>
      <c r="AJ2846" s="23"/>
      <c r="AK2846" s="23"/>
      <c r="AL2846" s="23"/>
      <c r="AM2846" s="23"/>
      <c r="AN2846" s="23"/>
      <c r="AO2846" s="23"/>
      <c r="AP2846" s="23"/>
      <c r="AQ2846" s="23"/>
      <c r="AR2846" s="23"/>
      <c r="AS2846" s="23"/>
      <c r="AT2846" s="23"/>
      <c r="AU2846" s="23"/>
      <c r="AV2846" s="23"/>
      <c r="AW2846" s="23"/>
      <c r="AX2846" s="23"/>
      <c r="AY2846" s="23"/>
      <c r="AZ2846" s="23"/>
      <c r="BA2846" s="23"/>
      <c r="BB2846" s="23"/>
    </row>
    <row r="2847" spans="5:54" x14ac:dyDescent="0.35"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  <c r="AA2847" s="23"/>
      <c r="AB2847" s="23"/>
      <c r="AC2847" s="23"/>
      <c r="AD2847" s="23"/>
      <c r="AE2847" s="23"/>
      <c r="AF2847" s="23"/>
      <c r="AG2847" s="23"/>
      <c r="AH2847" s="23"/>
      <c r="AI2847" s="23"/>
      <c r="AJ2847" s="23"/>
      <c r="AK2847" s="23"/>
      <c r="AL2847" s="23"/>
      <c r="AM2847" s="23"/>
      <c r="AN2847" s="23"/>
      <c r="AO2847" s="23"/>
      <c r="AP2847" s="23"/>
      <c r="AQ2847" s="23"/>
      <c r="AR2847" s="23"/>
      <c r="AS2847" s="23"/>
      <c r="AT2847" s="23"/>
      <c r="AU2847" s="23"/>
      <c r="AV2847" s="23"/>
      <c r="AW2847" s="23"/>
      <c r="AX2847" s="23"/>
      <c r="AY2847" s="23"/>
      <c r="AZ2847" s="23"/>
      <c r="BA2847" s="23"/>
      <c r="BB2847" s="23"/>
    </row>
    <row r="2848" spans="5:54" x14ac:dyDescent="0.35"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  <c r="AA2848" s="23"/>
      <c r="AB2848" s="23"/>
      <c r="AC2848" s="23"/>
      <c r="AD2848" s="23"/>
      <c r="AE2848" s="23"/>
      <c r="AF2848" s="23"/>
      <c r="AG2848" s="23"/>
      <c r="AH2848" s="23"/>
      <c r="AI2848" s="23"/>
      <c r="AJ2848" s="23"/>
      <c r="AK2848" s="23"/>
      <c r="AL2848" s="23"/>
      <c r="AM2848" s="23"/>
      <c r="AN2848" s="23"/>
      <c r="AO2848" s="23"/>
      <c r="AP2848" s="23"/>
      <c r="AQ2848" s="23"/>
      <c r="AR2848" s="23"/>
      <c r="AS2848" s="23"/>
      <c r="AT2848" s="23"/>
      <c r="AU2848" s="23"/>
      <c r="AV2848" s="23"/>
      <c r="AW2848" s="23"/>
      <c r="AX2848" s="23"/>
      <c r="AY2848" s="23"/>
      <c r="AZ2848" s="23"/>
      <c r="BA2848" s="23"/>
      <c r="BB2848" s="23"/>
    </row>
    <row r="2849" spans="5:54" x14ac:dyDescent="0.35"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  <c r="AA2849" s="23"/>
      <c r="AB2849" s="23"/>
      <c r="AC2849" s="23"/>
      <c r="AD2849" s="23"/>
      <c r="AE2849" s="23"/>
      <c r="AF2849" s="23"/>
      <c r="AG2849" s="23"/>
      <c r="AH2849" s="23"/>
      <c r="AI2849" s="23"/>
      <c r="AJ2849" s="23"/>
      <c r="AK2849" s="23"/>
      <c r="AL2849" s="23"/>
      <c r="AM2849" s="23"/>
      <c r="AN2849" s="23"/>
      <c r="AO2849" s="23"/>
      <c r="AP2849" s="23"/>
      <c r="AQ2849" s="23"/>
      <c r="AR2849" s="23"/>
      <c r="AS2849" s="23"/>
      <c r="AT2849" s="23"/>
      <c r="AU2849" s="23"/>
      <c r="AV2849" s="23"/>
      <c r="AW2849" s="23"/>
      <c r="AX2849" s="23"/>
      <c r="AY2849" s="23"/>
      <c r="AZ2849" s="23"/>
      <c r="BA2849" s="23"/>
      <c r="BB2849" s="23"/>
    </row>
    <row r="2850" spans="5:54" x14ac:dyDescent="0.35"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  <c r="AA2850" s="23"/>
      <c r="AB2850" s="23"/>
      <c r="AC2850" s="23"/>
      <c r="AD2850" s="23"/>
      <c r="AE2850" s="23"/>
      <c r="AF2850" s="23"/>
      <c r="AG2850" s="23"/>
      <c r="AH2850" s="23"/>
      <c r="AI2850" s="23"/>
      <c r="AJ2850" s="23"/>
      <c r="AK2850" s="23"/>
      <c r="AL2850" s="23"/>
      <c r="AM2850" s="23"/>
      <c r="AN2850" s="23"/>
      <c r="AO2850" s="23"/>
      <c r="AP2850" s="23"/>
      <c r="AQ2850" s="23"/>
      <c r="AR2850" s="23"/>
      <c r="AS2850" s="23"/>
      <c r="AT2850" s="23"/>
      <c r="AU2850" s="23"/>
      <c r="AV2850" s="23"/>
      <c r="AW2850" s="23"/>
      <c r="AX2850" s="23"/>
      <c r="AY2850" s="23"/>
      <c r="AZ2850" s="23"/>
      <c r="BA2850" s="23"/>
      <c r="BB2850" s="23"/>
    </row>
    <row r="2851" spans="5:54" x14ac:dyDescent="0.35"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  <c r="AA2851" s="23"/>
      <c r="AB2851" s="23"/>
      <c r="AC2851" s="23"/>
      <c r="AD2851" s="23"/>
      <c r="AE2851" s="23"/>
      <c r="AF2851" s="23"/>
      <c r="AG2851" s="23"/>
      <c r="AH2851" s="23"/>
      <c r="AI2851" s="23"/>
      <c r="AJ2851" s="23"/>
      <c r="AK2851" s="23"/>
      <c r="AL2851" s="23"/>
      <c r="AM2851" s="23"/>
      <c r="AN2851" s="23"/>
      <c r="AO2851" s="23"/>
      <c r="AP2851" s="23"/>
      <c r="AQ2851" s="23"/>
      <c r="AR2851" s="23"/>
      <c r="AS2851" s="23"/>
      <c r="AT2851" s="23"/>
      <c r="AU2851" s="23"/>
      <c r="AV2851" s="23"/>
      <c r="AW2851" s="23"/>
      <c r="AX2851" s="23"/>
      <c r="AY2851" s="23"/>
      <c r="AZ2851" s="23"/>
      <c r="BA2851" s="23"/>
      <c r="BB2851" s="23"/>
    </row>
    <row r="2852" spans="5:54" x14ac:dyDescent="0.35"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  <c r="AA2852" s="23"/>
      <c r="AB2852" s="23"/>
      <c r="AC2852" s="23"/>
      <c r="AD2852" s="23"/>
      <c r="AE2852" s="23"/>
      <c r="AF2852" s="23"/>
      <c r="AG2852" s="23"/>
      <c r="AH2852" s="23"/>
      <c r="AI2852" s="23"/>
      <c r="AJ2852" s="23"/>
      <c r="AK2852" s="23"/>
      <c r="AL2852" s="23"/>
      <c r="AM2852" s="23"/>
      <c r="AN2852" s="23"/>
      <c r="AO2852" s="23"/>
      <c r="AP2852" s="23"/>
      <c r="AQ2852" s="23"/>
      <c r="AR2852" s="23"/>
      <c r="AS2852" s="23"/>
      <c r="AT2852" s="23"/>
      <c r="AU2852" s="23"/>
      <c r="AV2852" s="23"/>
      <c r="AW2852" s="23"/>
      <c r="AX2852" s="23"/>
      <c r="AY2852" s="23"/>
      <c r="AZ2852" s="23"/>
      <c r="BA2852" s="23"/>
      <c r="BB2852" s="23"/>
    </row>
    <row r="2853" spans="5:54" x14ac:dyDescent="0.35"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  <c r="AA2853" s="23"/>
      <c r="AB2853" s="23"/>
      <c r="AC2853" s="23"/>
      <c r="AD2853" s="23"/>
      <c r="AE2853" s="23"/>
      <c r="AF2853" s="23"/>
      <c r="AG2853" s="23"/>
      <c r="AH2853" s="23"/>
      <c r="AI2853" s="23"/>
      <c r="AJ2853" s="23"/>
      <c r="AK2853" s="23"/>
      <c r="AL2853" s="23"/>
      <c r="AM2853" s="23"/>
      <c r="AN2853" s="23"/>
      <c r="AO2853" s="23"/>
      <c r="AP2853" s="23"/>
      <c r="AQ2853" s="23"/>
      <c r="AR2853" s="23"/>
      <c r="AS2853" s="23"/>
      <c r="AT2853" s="23"/>
      <c r="AU2853" s="23"/>
      <c r="AV2853" s="23"/>
      <c r="AW2853" s="23"/>
      <c r="AX2853" s="23"/>
      <c r="AY2853" s="23"/>
      <c r="AZ2853" s="23"/>
      <c r="BA2853" s="23"/>
      <c r="BB2853" s="23"/>
    </row>
    <row r="2854" spans="5:54" x14ac:dyDescent="0.35"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  <c r="AA2854" s="23"/>
      <c r="AB2854" s="23"/>
      <c r="AC2854" s="23"/>
      <c r="AD2854" s="23"/>
      <c r="AE2854" s="23"/>
      <c r="AF2854" s="23"/>
      <c r="AG2854" s="23"/>
      <c r="AH2854" s="23"/>
      <c r="AI2854" s="23"/>
      <c r="AJ2854" s="23"/>
      <c r="AK2854" s="23"/>
      <c r="AL2854" s="23"/>
      <c r="AM2854" s="23"/>
      <c r="AN2854" s="23"/>
      <c r="AO2854" s="23"/>
      <c r="AP2854" s="23"/>
      <c r="AQ2854" s="23"/>
      <c r="AR2854" s="23"/>
      <c r="AS2854" s="23"/>
      <c r="AT2854" s="23"/>
      <c r="AU2854" s="23"/>
      <c r="AV2854" s="23"/>
      <c r="AW2854" s="23"/>
      <c r="AX2854" s="23"/>
      <c r="AY2854" s="23"/>
      <c r="AZ2854" s="23"/>
      <c r="BA2854" s="23"/>
      <c r="BB2854" s="23"/>
    </row>
    <row r="2855" spans="5:54" x14ac:dyDescent="0.35"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  <c r="AA2855" s="23"/>
      <c r="AB2855" s="23"/>
      <c r="AC2855" s="23"/>
      <c r="AD2855" s="23"/>
      <c r="AE2855" s="23"/>
      <c r="AF2855" s="23"/>
      <c r="AG2855" s="23"/>
      <c r="AH2855" s="23"/>
      <c r="AI2855" s="23"/>
      <c r="AJ2855" s="23"/>
      <c r="AK2855" s="23"/>
      <c r="AL2855" s="23"/>
      <c r="AM2855" s="23"/>
      <c r="AN2855" s="23"/>
      <c r="AO2855" s="23"/>
      <c r="AP2855" s="23"/>
      <c r="AQ2855" s="23"/>
      <c r="AR2855" s="23"/>
      <c r="AS2855" s="23"/>
      <c r="AT2855" s="23"/>
      <c r="AU2855" s="23"/>
      <c r="AV2855" s="23"/>
      <c r="AW2855" s="23"/>
      <c r="AX2855" s="23"/>
      <c r="AY2855" s="23"/>
      <c r="AZ2855" s="23"/>
      <c r="BA2855" s="23"/>
      <c r="BB2855" s="23"/>
    </row>
    <row r="2856" spans="5:54" x14ac:dyDescent="0.35"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  <c r="AA2856" s="23"/>
      <c r="AB2856" s="23"/>
      <c r="AC2856" s="23"/>
      <c r="AD2856" s="23"/>
      <c r="AE2856" s="23"/>
      <c r="AF2856" s="23"/>
      <c r="AG2856" s="23"/>
      <c r="AH2856" s="23"/>
      <c r="AI2856" s="23"/>
      <c r="AJ2856" s="23"/>
      <c r="AK2856" s="23"/>
      <c r="AL2856" s="23"/>
      <c r="AM2856" s="23"/>
      <c r="AN2856" s="23"/>
      <c r="AO2856" s="23"/>
      <c r="AP2856" s="23"/>
      <c r="AQ2856" s="23"/>
      <c r="AR2856" s="23"/>
      <c r="AS2856" s="23"/>
      <c r="AT2856" s="23"/>
      <c r="AU2856" s="23"/>
      <c r="AV2856" s="23"/>
      <c r="AW2856" s="23"/>
      <c r="AX2856" s="23"/>
      <c r="AY2856" s="23"/>
      <c r="AZ2856" s="23"/>
      <c r="BA2856" s="23"/>
      <c r="BB2856" s="23"/>
    </row>
    <row r="2857" spans="5:54" x14ac:dyDescent="0.35"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  <c r="AA2857" s="23"/>
      <c r="AB2857" s="23"/>
      <c r="AC2857" s="23"/>
      <c r="AD2857" s="23"/>
      <c r="AE2857" s="23"/>
      <c r="AF2857" s="23"/>
      <c r="AG2857" s="23"/>
      <c r="AH2857" s="23"/>
      <c r="AI2857" s="23"/>
      <c r="AJ2857" s="23"/>
      <c r="AK2857" s="23"/>
      <c r="AL2857" s="23"/>
      <c r="AM2857" s="23"/>
      <c r="AN2857" s="23"/>
      <c r="AO2857" s="23"/>
      <c r="AP2857" s="23"/>
      <c r="AQ2857" s="23"/>
      <c r="AR2857" s="23"/>
      <c r="AS2857" s="23"/>
      <c r="AT2857" s="23"/>
      <c r="AU2857" s="23"/>
      <c r="AV2857" s="23"/>
      <c r="AW2857" s="23"/>
      <c r="AX2857" s="23"/>
      <c r="AY2857" s="23"/>
      <c r="AZ2857" s="23"/>
      <c r="BA2857" s="23"/>
      <c r="BB2857" s="23"/>
    </row>
    <row r="2858" spans="5:54" x14ac:dyDescent="0.35"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  <c r="AA2858" s="23"/>
      <c r="AB2858" s="23"/>
      <c r="AC2858" s="23"/>
      <c r="AD2858" s="23"/>
      <c r="AE2858" s="23"/>
      <c r="AF2858" s="23"/>
      <c r="AG2858" s="23"/>
      <c r="AH2858" s="23"/>
      <c r="AI2858" s="23"/>
      <c r="AJ2858" s="23"/>
      <c r="AK2858" s="23"/>
      <c r="AL2858" s="23"/>
      <c r="AM2858" s="23"/>
      <c r="AN2858" s="23"/>
      <c r="AO2858" s="23"/>
      <c r="AP2858" s="23"/>
      <c r="AQ2858" s="23"/>
      <c r="AR2858" s="23"/>
      <c r="AS2858" s="23"/>
      <c r="AT2858" s="23"/>
      <c r="AU2858" s="23"/>
      <c r="AV2858" s="23"/>
      <c r="AW2858" s="23"/>
      <c r="AX2858" s="23"/>
      <c r="AY2858" s="23"/>
      <c r="AZ2858" s="23"/>
      <c r="BA2858" s="23"/>
      <c r="BB2858" s="23"/>
    </row>
    <row r="2859" spans="5:54" x14ac:dyDescent="0.35"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  <c r="AA2859" s="23"/>
      <c r="AB2859" s="23"/>
      <c r="AC2859" s="23"/>
      <c r="AD2859" s="23"/>
      <c r="AE2859" s="23"/>
      <c r="AF2859" s="23"/>
      <c r="AG2859" s="23"/>
      <c r="AH2859" s="23"/>
      <c r="AI2859" s="23"/>
      <c r="AJ2859" s="23"/>
      <c r="AK2859" s="23"/>
      <c r="AL2859" s="23"/>
      <c r="AM2859" s="23"/>
      <c r="AN2859" s="23"/>
      <c r="AO2859" s="23"/>
      <c r="AP2859" s="23"/>
      <c r="AQ2859" s="23"/>
      <c r="AR2859" s="23"/>
      <c r="AS2859" s="23"/>
      <c r="AT2859" s="23"/>
      <c r="AU2859" s="23"/>
      <c r="AV2859" s="23"/>
      <c r="AW2859" s="23"/>
      <c r="AX2859" s="23"/>
      <c r="AY2859" s="23"/>
      <c r="AZ2859" s="23"/>
      <c r="BA2859" s="23"/>
      <c r="BB2859" s="23"/>
    </row>
    <row r="2860" spans="5:54" x14ac:dyDescent="0.35"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  <c r="AA2860" s="23"/>
      <c r="AB2860" s="23"/>
      <c r="AC2860" s="23"/>
      <c r="AD2860" s="23"/>
      <c r="AE2860" s="23"/>
      <c r="AF2860" s="23"/>
      <c r="AG2860" s="23"/>
      <c r="AH2860" s="23"/>
      <c r="AI2860" s="23"/>
      <c r="AJ2860" s="23"/>
      <c r="AK2860" s="23"/>
      <c r="AL2860" s="23"/>
      <c r="AM2860" s="23"/>
      <c r="AN2860" s="23"/>
      <c r="AO2860" s="23"/>
      <c r="AP2860" s="23"/>
      <c r="AQ2860" s="23"/>
      <c r="AR2860" s="23"/>
      <c r="AS2860" s="23"/>
      <c r="AT2860" s="23"/>
      <c r="AU2860" s="23"/>
      <c r="AV2860" s="23"/>
      <c r="AW2860" s="23"/>
      <c r="AX2860" s="23"/>
      <c r="AY2860" s="23"/>
      <c r="AZ2860" s="23"/>
      <c r="BA2860" s="23"/>
      <c r="BB2860" s="23"/>
    </row>
    <row r="2861" spans="5:54" x14ac:dyDescent="0.35"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  <c r="AA2861" s="23"/>
      <c r="AB2861" s="23"/>
      <c r="AC2861" s="23"/>
      <c r="AD2861" s="23"/>
      <c r="AE2861" s="23"/>
      <c r="AF2861" s="23"/>
      <c r="AG2861" s="23"/>
      <c r="AH2861" s="23"/>
      <c r="AI2861" s="23"/>
      <c r="AJ2861" s="23"/>
      <c r="AK2861" s="23"/>
      <c r="AL2861" s="23"/>
      <c r="AM2861" s="23"/>
      <c r="AN2861" s="23"/>
      <c r="AO2861" s="23"/>
      <c r="AP2861" s="23"/>
      <c r="AQ2861" s="23"/>
      <c r="AR2861" s="23"/>
      <c r="AS2861" s="23"/>
      <c r="AT2861" s="23"/>
      <c r="AU2861" s="23"/>
      <c r="AV2861" s="23"/>
      <c r="AW2861" s="23"/>
      <c r="AX2861" s="23"/>
      <c r="AY2861" s="23"/>
      <c r="AZ2861" s="23"/>
      <c r="BA2861" s="23"/>
      <c r="BB2861" s="23"/>
    </row>
    <row r="2862" spans="5:54" x14ac:dyDescent="0.35"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  <c r="AA2862" s="23"/>
      <c r="AB2862" s="23"/>
      <c r="AC2862" s="23"/>
      <c r="AD2862" s="23"/>
      <c r="AE2862" s="23"/>
      <c r="AF2862" s="23"/>
      <c r="AG2862" s="23"/>
      <c r="AH2862" s="23"/>
      <c r="AI2862" s="23"/>
      <c r="AJ2862" s="23"/>
      <c r="AK2862" s="23"/>
      <c r="AL2862" s="23"/>
      <c r="AM2862" s="23"/>
      <c r="AN2862" s="23"/>
      <c r="AO2862" s="23"/>
      <c r="AP2862" s="23"/>
      <c r="AQ2862" s="23"/>
      <c r="AR2862" s="23"/>
      <c r="AS2862" s="23"/>
      <c r="AT2862" s="23"/>
      <c r="AU2862" s="23"/>
      <c r="AV2862" s="23"/>
      <c r="AW2862" s="23"/>
      <c r="AX2862" s="23"/>
      <c r="AY2862" s="23"/>
      <c r="AZ2862" s="23"/>
      <c r="BA2862" s="23"/>
      <c r="BB2862" s="23"/>
    </row>
    <row r="2863" spans="5:54" x14ac:dyDescent="0.35"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  <c r="AA2863" s="23"/>
      <c r="AB2863" s="23"/>
      <c r="AC2863" s="23"/>
      <c r="AD2863" s="23"/>
      <c r="AE2863" s="23"/>
      <c r="AF2863" s="23"/>
      <c r="AG2863" s="23"/>
      <c r="AH2863" s="23"/>
      <c r="AI2863" s="23"/>
      <c r="AJ2863" s="23"/>
      <c r="AK2863" s="23"/>
      <c r="AL2863" s="23"/>
      <c r="AM2863" s="23"/>
      <c r="AN2863" s="23"/>
      <c r="AO2863" s="23"/>
      <c r="AP2863" s="23"/>
      <c r="AQ2863" s="23"/>
      <c r="AR2863" s="23"/>
      <c r="AS2863" s="23"/>
      <c r="AT2863" s="23"/>
      <c r="AU2863" s="23"/>
      <c r="AV2863" s="23"/>
      <c r="AW2863" s="23"/>
      <c r="AX2863" s="23"/>
      <c r="AY2863" s="23"/>
      <c r="AZ2863" s="23"/>
      <c r="BA2863" s="23"/>
      <c r="BB2863" s="23"/>
    </row>
    <row r="2864" spans="5:54" x14ac:dyDescent="0.35"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  <c r="AA2864" s="23"/>
      <c r="AB2864" s="23"/>
      <c r="AC2864" s="23"/>
      <c r="AD2864" s="23"/>
      <c r="AE2864" s="23"/>
      <c r="AF2864" s="23"/>
      <c r="AG2864" s="23"/>
      <c r="AH2864" s="23"/>
      <c r="AI2864" s="23"/>
      <c r="AJ2864" s="23"/>
      <c r="AK2864" s="23"/>
      <c r="AL2864" s="23"/>
      <c r="AM2864" s="23"/>
      <c r="AN2864" s="23"/>
      <c r="AO2864" s="23"/>
      <c r="AP2864" s="23"/>
      <c r="AQ2864" s="23"/>
      <c r="AR2864" s="23"/>
      <c r="AS2864" s="23"/>
      <c r="AT2864" s="23"/>
      <c r="AU2864" s="23"/>
      <c r="AV2864" s="23"/>
      <c r="AW2864" s="23"/>
      <c r="AX2864" s="23"/>
      <c r="AY2864" s="23"/>
      <c r="AZ2864" s="23"/>
      <c r="BA2864" s="23"/>
      <c r="BB2864" s="23"/>
    </row>
    <row r="2865" spans="5:54" x14ac:dyDescent="0.35"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  <c r="AA2865" s="23"/>
      <c r="AB2865" s="23"/>
      <c r="AC2865" s="23"/>
      <c r="AD2865" s="23"/>
      <c r="AE2865" s="23"/>
      <c r="AF2865" s="23"/>
      <c r="AG2865" s="23"/>
      <c r="AH2865" s="23"/>
      <c r="AI2865" s="23"/>
      <c r="AJ2865" s="23"/>
      <c r="AK2865" s="23"/>
      <c r="AL2865" s="23"/>
      <c r="AM2865" s="23"/>
      <c r="AN2865" s="23"/>
      <c r="AO2865" s="23"/>
      <c r="AP2865" s="23"/>
      <c r="AQ2865" s="23"/>
      <c r="AR2865" s="23"/>
      <c r="AS2865" s="23"/>
      <c r="AT2865" s="23"/>
      <c r="AU2865" s="23"/>
      <c r="AV2865" s="23"/>
      <c r="AW2865" s="23"/>
      <c r="AX2865" s="23"/>
      <c r="AY2865" s="23"/>
      <c r="AZ2865" s="23"/>
      <c r="BA2865" s="23"/>
      <c r="BB2865" s="23"/>
    </row>
    <row r="2866" spans="5:54" x14ac:dyDescent="0.35"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  <c r="AA2866" s="23"/>
      <c r="AB2866" s="23"/>
      <c r="AC2866" s="23"/>
      <c r="AD2866" s="23"/>
      <c r="AE2866" s="23"/>
      <c r="AF2866" s="23"/>
      <c r="AG2866" s="23"/>
      <c r="AH2866" s="23"/>
      <c r="AI2866" s="23"/>
      <c r="AJ2866" s="23"/>
      <c r="AK2866" s="23"/>
      <c r="AL2866" s="23"/>
      <c r="AM2866" s="23"/>
      <c r="AN2866" s="23"/>
      <c r="AO2866" s="23"/>
      <c r="AP2866" s="23"/>
      <c r="AQ2866" s="23"/>
      <c r="AR2866" s="23"/>
      <c r="AS2866" s="23"/>
      <c r="AT2866" s="23"/>
      <c r="AU2866" s="23"/>
      <c r="AV2866" s="23"/>
      <c r="AW2866" s="23"/>
      <c r="AX2866" s="23"/>
      <c r="AY2866" s="23"/>
      <c r="AZ2866" s="23"/>
      <c r="BA2866" s="23"/>
      <c r="BB2866" s="23"/>
    </row>
    <row r="2867" spans="5:54" x14ac:dyDescent="0.35"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  <c r="AA2867" s="23"/>
      <c r="AB2867" s="23"/>
      <c r="AC2867" s="23"/>
      <c r="AD2867" s="23"/>
      <c r="AE2867" s="23"/>
      <c r="AF2867" s="23"/>
      <c r="AG2867" s="23"/>
      <c r="AH2867" s="23"/>
      <c r="AI2867" s="23"/>
      <c r="AJ2867" s="23"/>
      <c r="AK2867" s="23"/>
      <c r="AL2867" s="23"/>
      <c r="AM2867" s="23"/>
      <c r="AN2867" s="23"/>
      <c r="AO2867" s="23"/>
      <c r="AP2867" s="23"/>
      <c r="AQ2867" s="23"/>
      <c r="AR2867" s="23"/>
      <c r="AS2867" s="23"/>
      <c r="AT2867" s="23"/>
      <c r="AU2867" s="23"/>
      <c r="AV2867" s="23"/>
      <c r="AW2867" s="23"/>
      <c r="AX2867" s="23"/>
      <c r="AY2867" s="23"/>
      <c r="AZ2867" s="23"/>
      <c r="BA2867" s="23"/>
      <c r="BB2867" s="23"/>
    </row>
    <row r="2868" spans="5:54" x14ac:dyDescent="0.35"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  <c r="AA2868" s="23"/>
      <c r="AB2868" s="23"/>
      <c r="AC2868" s="23"/>
      <c r="AD2868" s="23"/>
      <c r="AE2868" s="23"/>
      <c r="AF2868" s="23"/>
      <c r="AG2868" s="23"/>
      <c r="AH2868" s="23"/>
      <c r="AI2868" s="23"/>
      <c r="AJ2868" s="23"/>
      <c r="AK2868" s="23"/>
      <c r="AL2868" s="23"/>
      <c r="AM2868" s="23"/>
      <c r="AN2868" s="23"/>
      <c r="AO2868" s="23"/>
      <c r="AP2868" s="23"/>
      <c r="AQ2868" s="23"/>
      <c r="AR2868" s="23"/>
      <c r="AS2868" s="23"/>
      <c r="AT2868" s="23"/>
      <c r="AU2868" s="23"/>
      <c r="AV2868" s="23"/>
      <c r="AW2868" s="23"/>
      <c r="AX2868" s="23"/>
      <c r="AY2868" s="23"/>
      <c r="AZ2868" s="23"/>
      <c r="BA2868" s="23"/>
      <c r="BB2868" s="23"/>
    </row>
    <row r="2869" spans="5:54" x14ac:dyDescent="0.35"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  <c r="AA2869" s="23"/>
      <c r="AB2869" s="23"/>
      <c r="AC2869" s="23"/>
      <c r="AD2869" s="23"/>
      <c r="AE2869" s="23"/>
      <c r="AF2869" s="23"/>
      <c r="AG2869" s="23"/>
      <c r="AH2869" s="23"/>
      <c r="AI2869" s="23"/>
      <c r="AJ2869" s="23"/>
      <c r="AK2869" s="23"/>
      <c r="AL2869" s="23"/>
      <c r="AM2869" s="23"/>
      <c r="AN2869" s="23"/>
      <c r="AO2869" s="23"/>
      <c r="AP2869" s="23"/>
      <c r="AQ2869" s="23"/>
      <c r="AR2869" s="23"/>
      <c r="AS2869" s="23"/>
      <c r="AT2869" s="23"/>
      <c r="AU2869" s="23"/>
      <c r="AV2869" s="23"/>
      <c r="AW2869" s="23"/>
      <c r="AX2869" s="23"/>
      <c r="AY2869" s="23"/>
      <c r="AZ2869" s="23"/>
      <c r="BA2869" s="23"/>
      <c r="BB2869" s="23"/>
    </row>
    <row r="2870" spans="5:54" x14ac:dyDescent="0.35"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  <c r="AA2870" s="23"/>
      <c r="AB2870" s="23"/>
      <c r="AC2870" s="23"/>
      <c r="AD2870" s="23"/>
      <c r="AE2870" s="23"/>
      <c r="AF2870" s="23"/>
      <c r="AG2870" s="23"/>
      <c r="AH2870" s="23"/>
      <c r="AI2870" s="23"/>
      <c r="AJ2870" s="23"/>
      <c r="AK2870" s="23"/>
      <c r="AL2870" s="23"/>
      <c r="AM2870" s="23"/>
      <c r="AN2870" s="23"/>
      <c r="AO2870" s="23"/>
      <c r="AP2870" s="23"/>
      <c r="AQ2870" s="23"/>
      <c r="AR2870" s="23"/>
      <c r="AS2870" s="23"/>
      <c r="AT2870" s="23"/>
      <c r="AU2870" s="23"/>
      <c r="AV2870" s="23"/>
      <c r="AW2870" s="23"/>
      <c r="AX2870" s="23"/>
      <c r="AY2870" s="23"/>
      <c r="AZ2870" s="23"/>
      <c r="BA2870" s="23"/>
      <c r="BB2870" s="23"/>
    </row>
    <row r="2871" spans="5:54" x14ac:dyDescent="0.35"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  <c r="AA2871" s="23"/>
      <c r="AB2871" s="23"/>
      <c r="AC2871" s="23"/>
      <c r="AD2871" s="23"/>
      <c r="AE2871" s="23"/>
      <c r="AF2871" s="23"/>
      <c r="AG2871" s="23"/>
      <c r="AH2871" s="23"/>
      <c r="AI2871" s="23"/>
      <c r="AJ2871" s="23"/>
      <c r="AK2871" s="23"/>
      <c r="AL2871" s="23"/>
      <c r="AM2871" s="23"/>
      <c r="AN2871" s="23"/>
      <c r="AO2871" s="23"/>
      <c r="AP2871" s="23"/>
      <c r="AQ2871" s="23"/>
      <c r="AR2871" s="23"/>
      <c r="AS2871" s="23"/>
      <c r="AT2871" s="23"/>
      <c r="AU2871" s="23"/>
      <c r="AV2871" s="23"/>
      <c r="AW2871" s="23"/>
      <c r="AX2871" s="23"/>
      <c r="AY2871" s="23"/>
      <c r="AZ2871" s="23"/>
      <c r="BA2871" s="23"/>
      <c r="BB2871" s="23"/>
    </row>
    <row r="2872" spans="5:54" x14ac:dyDescent="0.35"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  <c r="AA2872" s="23"/>
      <c r="AB2872" s="23"/>
      <c r="AC2872" s="23"/>
      <c r="AD2872" s="23"/>
      <c r="AE2872" s="23"/>
      <c r="AF2872" s="23"/>
      <c r="AG2872" s="23"/>
      <c r="AH2872" s="23"/>
      <c r="AI2872" s="23"/>
      <c r="AJ2872" s="23"/>
      <c r="AK2872" s="23"/>
      <c r="AL2872" s="23"/>
      <c r="AM2872" s="23"/>
      <c r="AN2872" s="23"/>
      <c r="AO2872" s="23"/>
      <c r="AP2872" s="23"/>
      <c r="AQ2872" s="23"/>
      <c r="AR2872" s="23"/>
      <c r="AS2872" s="23"/>
      <c r="AT2872" s="23"/>
      <c r="AU2872" s="23"/>
      <c r="AV2872" s="23"/>
      <c r="AW2872" s="23"/>
      <c r="AX2872" s="23"/>
      <c r="AY2872" s="23"/>
      <c r="AZ2872" s="23"/>
      <c r="BA2872" s="23"/>
      <c r="BB2872" s="23"/>
    </row>
    <row r="2873" spans="5:54" x14ac:dyDescent="0.35"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  <c r="AA2873" s="23"/>
      <c r="AB2873" s="23"/>
      <c r="AC2873" s="23"/>
      <c r="AD2873" s="23"/>
      <c r="AE2873" s="23"/>
      <c r="AF2873" s="23"/>
      <c r="AG2873" s="23"/>
      <c r="AH2873" s="23"/>
      <c r="AI2873" s="23"/>
      <c r="AJ2873" s="23"/>
      <c r="AK2873" s="23"/>
      <c r="AL2873" s="23"/>
      <c r="AM2873" s="23"/>
      <c r="AN2873" s="23"/>
      <c r="AO2873" s="23"/>
      <c r="AP2873" s="23"/>
      <c r="AQ2873" s="23"/>
      <c r="AR2873" s="23"/>
      <c r="AS2873" s="23"/>
      <c r="AT2873" s="23"/>
      <c r="AU2873" s="23"/>
      <c r="AV2873" s="23"/>
      <c r="AW2873" s="23"/>
      <c r="AX2873" s="23"/>
      <c r="AY2873" s="23"/>
      <c r="AZ2873" s="23"/>
      <c r="BA2873" s="23"/>
      <c r="BB2873" s="23"/>
    </row>
    <row r="2874" spans="5:54" x14ac:dyDescent="0.35"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  <c r="AA2874" s="23"/>
      <c r="AB2874" s="23"/>
      <c r="AC2874" s="23"/>
      <c r="AD2874" s="23"/>
      <c r="AE2874" s="23"/>
      <c r="AF2874" s="23"/>
      <c r="AG2874" s="23"/>
      <c r="AH2874" s="23"/>
      <c r="AI2874" s="23"/>
      <c r="AJ2874" s="23"/>
      <c r="AK2874" s="23"/>
      <c r="AL2874" s="23"/>
      <c r="AM2874" s="23"/>
      <c r="AN2874" s="23"/>
      <c r="AO2874" s="23"/>
      <c r="AP2874" s="23"/>
      <c r="AQ2874" s="23"/>
      <c r="AR2874" s="23"/>
      <c r="AS2874" s="23"/>
      <c r="AT2874" s="23"/>
      <c r="AU2874" s="23"/>
      <c r="AV2874" s="23"/>
      <c r="AW2874" s="23"/>
      <c r="AX2874" s="23"/>
      <c r="AY2874" s="23"/>
      <c r="AZ2874" s="23"/>
      <c r="BA2874" s="23"/>
      <c r="BB2874" s="23"/>
    </row>
    <row r="2875" spans="5:54" x14ac:dyDescent="0.35"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  <c r="AA2875" s="23"/>
      <c r="AB2875" s="23"/>
      <c r="AC2875" s="23"/>
      <c r="AD2875" s="23"/>
      <c r="AE2875" s="23"/>
      <c r="AF2875" s="23"/>
      <c r="AG2875" s="23"/>
      <c r="AH2875" s="23"/>
      <c r="AI2875" s="23"/>
      <c r="AJ2875" s="23"/>
      <c r="AK2875" s="23"/>
      <c r="AL2875" s="23"/>
      <c r="AM2875" s="23"/>
      <c r="AN2875" s="23"/>
      <c r="AO2875" s="23"/>
      <c r="AP2875" s="23"/>
      <c r="AQ2875" s="23"/>
      <c r="AR2875" s="23"/>
      <c r="AS2875" s="23"/>
      <c r="AT2875" s="23"/>
      <c r="AU2875" s="23"/>
      <c r="AV2875" s="23"/>
      <c r="AW2875" s="23"/>
      <c r="AX2875" s="23"/>
      <c r="AY2875" s="23"/>
      <c r="AZ2875" s="23"/>
      <c r="BA2875" s="23"/>
      <c r="BB2875" s="23"/>
    </row>
    <row r="2876" spans="5:54" x14ac:dyDescent="0.35"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  <c r="AA2876" s="23"/>
      <c r="AB2876" s="23"/>
      <c r="AC2876" s="23"/>
      <c r="AD2876" s="23"/>
      <c r="AE2876" s="23"/>
      <c r="AF2876" s="23"/>
      <c r="AG2876" s="23"/>
      <c r="AH2876" s="23"/>
      <c r="AI2876" s="23"/>
      <c r="AJ2876" s="23"/>
      <c r="AK2876" s="23"/>
      <c r="AL2876" s="23"/>
      <c r="AM2876" s="23"/>
      <c r="AN2876" s="23"/>
      <c r="AO2876" s="23"/>
      <c r="AP2876" s="23"/>
      <c r="AQ2876" s="23"/>
      <c r="AR2876" s="23"/>
      <c r="AS2876" s="23"/>
      <c r="AT2876" s="23"/>
      <c r="AU2876" s="23"/>
      <c r="AV2876" s="23"/>
      <c r="AW2876" s="23"/>
      <c r="AX2876" s="23"/>
      <c r="AY2876" s="23"/>
      <c r="AZ2876" s="23"/>
      <c r="BA2876" s="23"/>
      <c r="BB2876" s="23"/>
    </row>
    <row r="2877" spans="5:54" x14ac:dyDescent="0.35"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  <c r="AA2877" s="23"/>
      <c r="AB2877" s="23"/>
      <c r="AC2877" s="23"/>
      <c r="AD2877" s="23"/>
      <c r="AE2877" s="23"/>
      <c r="AF2877" s="23"/>
      <c r="AG2877" s="23"/>
      <c r="AH2877" s="23"/>
      <c r="AI2877" s="23"/>
      <c r="AJ2877" s="23"/>
      <c r="AK2877" s="23"/>
      <c r="AL2877" s="23"/>
      <c r="AM2877" s="23"/>
      <c r="AN2877" s="23"/>
      <c r="AO2877" s="23"/>
      <c r="AP2877" s="23"/>
      <c r="AQ2877" s="23"/>
      <c r="AR2877" s="23"/>
      <c r="AS2877" s="23"/>
      <c r="AT2877" s="23"/>
      <c r="AU2877" s="23"/>
      <c r="AV2877" s="23"/>
      <c r="AW2877" s="23"/>
      <c r="AX2877" s="23"/>
      <c r="AY2877" s="23"/>
      <c r="AZ2877" s="23"/>
      <c r="BA2877" s="23"/>
      <c r="BB2877" s="23"/>
    </row>
    <row r="2878" spans="5:54" x14ac:dyDescent="0.35"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  <c r="AA2878" s="23"/>
      <c r="AB2878" s="23"/>
      <c r="AC2878" s="23"/>
      <c r="AD2878" s="23"/>
      <c r="AE2878" s="23"/>
      <c r="AF2878" s="23"/>
      <c r="AG2878" s="23"/>
      <c r="AH2878" s="23"/>
      <c r="AI2878" s="23"/>
      <c r="AJ2878" s="23"/>
      <c r="AK2878" s="23"/>
      <c r="AL2878" s="23"/>
      <c r="AM2878" s="23"/>
      <c r="AN2878" s="23"/>
      <c r="AO2878" s="23"/>
      <c r="AP2878" s="23"/>
      <c r="AQ2878" s="23"/>
      <c r="AR2878" s="23"/>
      <c r="AS2878" s="23"/>
      <c r="AT2878" s="23"/>
      <c r="AU2878" s="23"/>
      <c r="AV2878" s="23"/>
      <c r="AW2878" s="23"/>
      <c r="AX2878" s="23"/>
      <c r="AY2878" s="23"/>
      <c r="AZ2878" s="23"/>
      <c r="BA2878" s="23"/>
      <c r="BB2878" s="23"/>
    </row>
    <row r="2879" spans="5:54" x14ac:dyDescent="0.35"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  <c r="AA2879" s="23"/>
      <c r="AB2879" s="23"/>
      <c r="AC2879" s="23"/>
      <c r="AD2879" s="23"/>
      <c r="AE2879" s="23"/>
      <c r="AF2879" s="23"/>
      <c r="AG2879" s="23"/>
      <c r="AH2879" s="23"/>
      <c r="AI2879" s="23"/>
      <c r="AJ2879" s="23"/>
      <c r="AK2879" s="23"/>
      <c r="AL2879" s="23"/>
      <c r="AM2879" s="23"/>
      <c r="AN2879" s="23"/>
      <c r="AO2879" s="23"/>
      <c r="AP2879" s="23"/>
      <c r="AQ2879" s="23"/>
      <c r="AR2879" s="23"/>
      <c r="AS2879" s="23"/>
      <c r="AT2879" s="23"/>
      <c r="AU2879" s="23"/>
      <c r="AV2879" s="23"/>
      <c r="AW2879" s="23"/>
      <c r="AX2879" s="23"/>
      <c r="AY2879" s="23"/>
      <c r="AZ2879" s="23"/>
      <c r="BA2879" s="23"/>
      <c r="BB2879" s="23"/>
    </row>
    <row r="2880" spans="5:54" x14ac:dyDescent="0.35"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  <c r="AA2880" s="23"/>
      <c r="AB2880" s="23"/>
      <c r="AC2880" s="23"/>
      <c r="AD2880" s="23"/>
      <c r="AE2880" s="23"/>
      <c r="AF2880" s="23"/>
      <c r="AG2880" s="23"/>
      <c r="AH2880" s="23"/>
      <c r="AI2880" s="23"/>
      <c r="AJ2880" s="23"/>
      <c r="AK2880" s="23"/>
      <c r="AL2880" s="23"/>
      <c r="AM2880" s="23"/>
      <c r="AN2880" s="23"/>
      <c r="AO2880" s="23"/>
      <c r="AP2880" s="23"/>
      <c r="AQ2880" s="23"/>
      <c r="AR2880" s="23"/>
      <c r="AS2880" s="23"/>
      <c r="AT2880" s="23"/>
      <c r="AU2880" s="23"/>
      <c r="AV2880" s="23"/>
      <c r="AW2880" s="23"/>
      <c r="AX2880" s="23"/>
      <c r="AY2880" s="23"/>
      <c r="AZ2880" s="23"/>
      <c r="BA2880" s="23"/>
      <c r="BB2880" s="23"/>
    </row>
    <row r="2881" spans="5:54" x14ac:dyDescent="0.35"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  <c r="AA2881" s="23"/>
      <c r="AB2881" s="23"/>
      <c r="AC2881" s="23"/>
      <c r="AD2881" s="23"/>
      <c r="AE2881" s="23"/>
      <c r="AF2881" s="23"/>
      <c r="AG2881" s="23"/>
      <c r="AH2881" s="23"/>
      <c r="AI2881" s="23"/>
      <c r="AJ2881" s="23"/>
      <c r="AK2881" s="23"/>
      <c r="AL2881" s="23"/>
      <c r="AM2881" s="23"/>
      <c r="AN2881" s="23"/>
      <c r="AO2881" s="23"/>
      <c r="AP2881" s="23"/>
      <c r="AQ2881" s="23"/>
      <c r="AR2881" s="23"/>
      <c r="AS2881" s="23"/>
      <c r="AT2881" s="23"/>
      <c r="AU2881" s="23"/>
      <c r="AV2881" s="23"/>
      <c r="AW2881" s="23"/>
      <c r="AX2881" s="23"/>
      <c r="AY2881" s="23"/>
      <c r="AZ2881" s="23"/>
      <c r="BA2881" s="23"/>
      <c r="BB2881" s="23"/>
    </row>
    <row r="2882" spans="5:54" x14ac:dyDescent="0.35"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  <c r="AA2882" s="23"/>
      <c r="AB2882" s="23"/>
      <c r="AC2882" s="23"/>
      <c r="AD2882" s="23"/>
      <c r="AE2882" s="23"/>
      <c r="AF2882" s="23"/>
      <c r="AG2882" s="23"/>
      <c r="AH2882" s="23"/>
      <c r="AI2882" s="23"/>
      <c r="AJ2882" s="23"/>
      <c r="AK2882" s="23"/>
      <c r="AL2882" s="23"/>
      <c r="AM2882" s="23"/>
      <c r="AN2882" s="23"/>
      <c r="AO2882" s="23"/>
      <c r="AP2882" s="23"/>
      <c r="AQ2882" s="23"/>
      <c r="AR2882" s="23"/>
      <c r="AS2882" s="23"/>
      <c r="AT2882" s="23"/>
      <c r="AU2882" s="23"/>
      <c r="AV2882" s="23"/>
      <c r="AW2882" s="23"/>
      <c r="AX2882" s="23"/>
      <c r="AY2882" s="23"/>
      <c r="AZ2882" s="23"/>
      <c r="BA2882" s="23"/>
      <c r="BB2882" s="23"/>
    </row>
    <row r="2883" spans="5:54" x14ac:dyDescent="0.35"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  <c r="AA2883" s="23"/>
      <c r="AB2883" s="23"/>
      <c r="AC2883" s="23"/>
      <c r="AD2883" s="23"/>
      <c r="AE2883" s="23"/>
      <c r="AF2883" s="23"/>
      <c r="AG2883" s="23"/>
      <c r="AH2883" s="23"/>
      <c r="AI2883" s="23"/>
      <c r="AJ2883" s="23"/>
      <c r="AK2883" s="23"/>
      <c r="AL2883" s="23"/>
      <c r="AM2883" s="23"/>
      <c r="AN2883" s="23"/>
      <c r="AO2883" s="23"/>
      <c r="AP2883" s="23"/>
      <c r="AQ2883" s="23"/>
      <c r="AR2883" s="23"/>
      <c r="AS2883" s="23"/>
      <c r="AT2883" s="23"/>
      <c r="AU2883" s="23"/>
      <c r="AV2883" s="23"/>
      <c r="AW2883" s="23"/>
      <c r="AX2883" s="23"/>
      <c r="AY2883" s="23"/>
      <c r="AZ2883" s="23"/>
      <c r="BA2883" s="23"/>
      <c r="BB2883" s="23"/>
    </row>
    <row r="2884" spans="5:54" x14ac:dyDescent="0.35"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  <c r="AA2884" s="23"/>
      <c r="AB2884" s="23"/>
      <c r="AC2884" s="23"/>
      <c r="AD2884" s="23"/>
      <c r="AE2884" s="23"/>
      <c r="AF2884" s="23"/>
      <c r="AG2884" s="23"/>
      <c r="AH2884" s="23"/>
      <c r="AI2884" s="23"/>
      <c r="AJ2884" s="23"/>
      <c r="AK2884" s="23"/>
      <c r="AL2884" s="23"/>
      <c r="AM2884" s="23"/>
      <c r="AN2884" s="23"/>
      <c r="AO2884" s="23"/>
      <c r="AP2884" s="23"/>
      <c r="AQ2884" s="23"/>
      <c r="AR2884" s="23"/>
      <c r="AS2884" s="23"/>
      <c r="AT2884" s="23"/>
      <c r="AU2884" s="23"/>
      <c r="AV2884" s="23"/>
      <c r="AW2884" s="23"/>
      <c r="AX2884" s="23"/>
      <c r="AY2884" s="23"/>
      <c r="AZ2884" s="23"/>
      <c r="BA2884" s="23"/>
      <c r="BB2884" s="23"/>
    </row>
    <row r="2885" spans="5:54" x14ac:dyDescent="0.35"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  <c r="AA2885" s="23"/>
      <c r="AB2885" s="23"/>
      <c r="AC2885" s="23"/>
      <c r="AD2885" s="23"/>
      <c r="AE2885" s="23"/>
      <c r="AF2885" s="23"/>
      <c r="AG2885" s="23"/>
      <c r="AH2885" s="23"/>
      <c r="AI2885" s="23"/>
      <c r="AJ2885" s="23"/>
      <c r="AK2885" s="23"/>
      <c r="AL2885" s="23"/>
      <c r="AM2885" s="23"/>
      <c r="AN2885" s="23"/>
      <c r="AO2885" s="23"/>
      <c r="AP2885" s="23"/>
      <c r="AQ2885" s="23"/>
      <c r="AR2885" s="23"/>
      <c r="AS2885" s="23"/>
      <c r="AT2885" s="23"/>
      <c r="AU2885" s="23"/>
      <c r="AV2885" s="23"/>
      <c r="AW2885" s="23"/>
      <c r="AX2885" s="23"/>
      <c r="AY2885" s="23"/>
      <c r="AZ2885" s="23"/>
      <c r="BA2885" s="23"/>
      <c r="BB2885" s="23"/>
    </row>
    <row r="2886" spans="5:54" x14ac:dyDescent="0.35"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  <c r="AA2886" s="23"/>
      <c r="AB2886" s="23"/>
      <c r="AC2886" s="23"/>
      <c r="AD2886" s="23"/>
      <c r="AE2886" s="23"/>
      <c r="AF2886" s="23"/>
      <c r="AG2886" s="23"/>
      <c r="AH2886" s="23"/>
      <c r="AI2886" s="23"/>
      <c r="AJ2886" s="23"/>
      <c r="AK2886" s="23"/>
      <c r="AL2886" s="23"/>
      <c r="AM2886" s="23"/>
      <c r="AN2886" s="23"/>
      <c r="AO2886" s="23"/>
      <c r="AP2886" s="23"/>
      <c r="AQ2886" s="23"/>
      <c r="AR2886" s="23"/>
      <c r="AS2886" s="23"/>
      <c r="AT2886" s="23"/>
      <c r="AU2886" s="23"/>
      <c r="AV2886" s="23"/>
      <c r="AW2886" s="23"/>
      <c r="AX2886" s="23"/>
      <c r="AY2886" s="23"/>
      <c r="AZ2886" s="23"/>
      <c r="BA2886" s="23"/>
      <c r="BB2886" s="23"/>
    </row>
    <row r="2887" spans="5:54" x14ac:dyDescent="0.35"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  <c r="AA2887" s="23"/>
      <c r="AB2887" s="23"/>
      <c r="AC2887" s="23"/>
      <c r="AD2887" s="23"/>
      <c r="AE2887" s="23"/>
      <c r="AF2887" s="23"/>
      <c r="AG2887" s="23"/>
      <c r="AH2887" s="23"/>
      <c r="AI2887" s="23"/>
      <c r="AJ2887" s="23"/>
      <c r="AK2887" s="23"/>
      <c r="AL2887" s="23"/>
      <c r="AM2887" s="23"/>
      <c r="AN2887" s="23"/>
      <c r="AO2887" s="23"/>
      <c r="AP2887" s="23"/>
      <c r="AQ2887" s="23"/>
      <c r="AR2887" s="23"/>
      <c r="AS2887" s="23"/>
      <c r="AT2887" s="23"/>
      <c r="AU2887" s="23"/>
      <c r="AV2887" s="23"/>
      <c r="AW2887" s="23"/>
      <c r="AX2887" s="23"/>
      <c r="AY2887" s="23"/>
      <c r="AZ2887" s="23"/>
      <c r="BA2887" s="23"/>
      <c r="BB2887" s="23"/>
    </row>
    <row r="2888" spans="5:54" x14ac:dyDescent="0.35"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  <c r="AA2888" s="23"/>
      <c r="AB2888" s="23"/>
      <c r="AC2888" s="23"/>
      <c r="AD2888" s="23"/>
      <c r="AE2888" s="23"/>
      <c r="AF2888" s="23"/>
      <c r="AG2888" s="23"/>
      <c r="AH2888" s="23"/>
      <c r="AI2888" s="23"/>
      <c r="AJ2888" s="23"/>
      <c r="AK2888" s="23"/>
      <c r="AL2888" s="23"/>
      <c r="AM2888" s="23"/>
      <c r="AN2888" s="23"/>
      <c r="AO2888" s="23"/>
      <c r="AP2888" s="23"/>
      <c r="AQ2888" s="23"/>
      <c r="AR2888" s="23"/>
      <c r="AS2888" s="23"/>
      <c r="AT2888" s="23"/>
      <c r="AU2888" s="23"/>
      <c r="AV2888" s="23"/>
      <c r="AW2888" s="23"/>
      <c r="AX2888" s="23"/>
      <c r="AY2888" s="23"/>
      <c r="AZ2888" s="23"/>
      <c r="BA2888" s="23"/>
      <c r="BB2888" s="23"/>
    </row>
    <row r="2889" spans="5:54" x14ac:dyDescent="0.35"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  <c r="AA2889" s="23"/>
      <c r="AB2889" s="23"/>
      <c r="AC2889" s="23"/>
      <c r="AD2889" s="23"/>
      <c r="AE2889" s="23"/>
      <c r="AF2889" s="23"/>
      <c r="AG2889" s="23"/>
      <c r="AH2889" s="23"/>
      <c r="AI2889" s="23"/>
      <c r="AJ2889" s="23"/>
      <c r="AK2889" s="23"/>
      <c r="AL2889" s="23"/>
      <c r="AM2889" s="23"/>
      <c r="AN2889" s="23"/>
      <c r="AO2889" s="23"/>
      <c r="AP2889" s="23"/>
      <c r="AQ2889" s="23"/>
      <c r="AR2889" s="23"/>
      <c r="AS2889" s="23"/>
      <c r="AT2889" s="23"/>
      <c r="AU2889" s="23"/>
      <c r="AV2889" s="23"/>
      <c r="AW2889" s="23"/>
      <c r="AX2889" s="23"/>
      <c r="AY2889" s="23"/>
      <c r="AZ2889" s="23"/>
      <c r="BA2889" s="23"/>
      <c r="BB2889" s="23"/>
    </row>
    <row r="2890" spans="5:54" x14ac:dyDescent="0.35"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  <c r="AA2890" s="23"/>
      <c r="AB2890" s="23"/>
      <c r="AC2890" s="23"/>
      <c r="AD2890" s="23"/>
      <c r="AE2890" s="23"/>
      <c r="AF2890" s="23"/>
      <c r="AG2890" s="23"/>
      <c r="AH2890" s="23"/>
      <c r="AI2890" s="23"/>
      <c r="AJ2890" s="23"/>
      <c r="AK2890" s="23"/>
      <c r="AL2890" s="23"/>
      <c r="AM2890" s="23"/>
      <c r="AN2890" s="23"/>
      <c r="AO2890" s="23"/>
      <c r="AP2890" s="23"/>
      <c r="AQ2890" s="23"/>
      <c r="AR2890" s="23"/>
      <c r="AS2890" s="23"/>
      <c r="AT2890" s="23"/>
      <c r="AU2890" s="23"/>
      <c r="AV2890" s="23"/>
      <c r="AW2890" s="23"/>
      <c r="AX2890" s="23"/>
      <c r="AY2890" s="23"/>
      <c r="AZ2890" s="23"/>
      <c r="BA2890" s="23"/>
      <c r="BB2890" s="23"/>
    </row>
    <row r="2891" spans="5:54" x14ac:dyDescent="0.35"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  <c r="AA2891" s="23"/>
      <c r="AB2891" s="23"/>
      <c r="AC2891" s="23"/>
      <c r="AD2891" s="23"/>
      <c r="AE2891" s="23"/>
      <c r="AF2891" s="23"/>
      <c r="AG2891" s="23"/>
      <c r="AH2891" s="23"/>
      <c r="AI2891" s="23"/>
      <c r="AJ2891" s="23"/>
      <c r="AK2891" s="23"/>
      <c r="AL2891" s="23"/>
      <c r="AM2891" s="23"/>
      <c r="AN2891" s="23"/>
      <c r="AO2891" s="23"/>
      <c r="AP2891" s="23"/>
      <c r="AQ2891" s="23"/>
      <c r="AR2891" s="23"/>
      <c r="AS2891" s="23"/>
      <c r="AT2891" s="23"/>
      <c r="AU2891" s="23"/>
      <c r="AV2891" s="23"/>
      <c r="AW2891" s="23"/>
      <c r="AX2891" s="23"/>
      <c r="AY2891" s="23"/>
      <c r="AZ2891" s="23"/>
      <c r="BA2891" s="23"/>
      <c r="BB2891" s="23"/>
    </row>
    <row r="2892" spans="5:54" x14ac:dyDescent="0.35"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  <c r="AA2892" s="23"/>
      <c r="AB2892" s="23"/>
      <c r="AC2892" s="23"/>
      <c r="AD2892" s="23"/>
      <c r="AE2892" s="23"/>
      <c r="AF2892" s="23"/>
      <c r="AG2892" s="23"/>
      <c r="AH2892" s="23"/>
      <c r="AI2892" s="23"/>
      <c r="AJ2892" s="23"/>
      <c r="AK2892" s="23"/>
      <c r="AL2892" s="23"/>
      <c r="AM2892" s="23"/>
      <c r="AN2892" s="23"/>
      <c r="AO2892" s="23"/>
      <c r="AP2892" s="23"/>
      <c r="AQ2892" s="23"/>
      <c r="AR2892" s="23"/>
      <c r="AS2892" s="23"/>
      <c r="AT2892" s="23"/>
      <c r="AU2892" s="23"/>
      <c r="AV2892" s="23"/>
      <c r="AW2892" s="23"/>
      <c r="AX2892" s="23"/>
      <c r="AY2892" s="23"/>
      <c r="AZ2892" s="23"/>
      <c r="BA2892" s="23"/>
      <c r="BB2892" s="23"/>
    </row>
    <row r="2893" spans="5:54" x14ac:dyDescent="0.35"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  <c r="AA2893" s="23"/>
      <c r="AB2893" s="23"/>
      <c r="AC2893" s="23"/>
      <c r="AD2893" s="23"/>
      <c r="AE2893" s="23"/>
      <c r="AF2893" s="23"/>
      <c r="AG2893" s="23"/>
      <c r="AH2893" s="23"/>
      <c r="AI2893" s="23"/>
      <c r="AJ2893" s="23"/>
      <c r="AK2893" s="23"/>
      <c r="AL2893" s="23"/>
      <c r="AM2893" s="23"/>
      <c r="AN2893" s="23"/>
      <c r="AO2893" s="23"/>
      <c r="AP2893" s="23"/>
      <c r="AQ2893" s="23"/>
      <c r="AR2893" s="23"/>
      <c r="AS2893" s="23"/>
      <c r="AT2893" s="23"/>
      <c r="AU2893" s="23"/>
      <c r="AV2893" s="23"/>
      <c r="AW2893" s="23"/>
      <c r="AX2893" s="23"/>
      <c r="AY2893" s="23"/>
      <c r="AZ2893" s="23"/>
      <c r="BA2893" s="23"/>
      <c r="BB2893" s="23"/>
    </row>
    <row r="2894" spans="5:54" x14ac:dyDescent="0.35"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  <c r="AA2894" s="23"/>
      <c r="AB2894" s="23"/>
      <c r="AC2894" s="23"/>
      <c r="AD2894" s="23"/>
      <c r="AE2894" s="23"/>
      <c r="AF2894" s="23"/>
      <c r="AG2894" s="23"/>
      <c r="AH2894" s="23"/>
      <c r="AI2894" s="23"/>
      <c r="AJ2894" s="23"/>
      <c r="AK2894" s="23"/>
      <c r="AL2894" s="23"/>
      <c r="AM2894" s="23"/>
      <c r="AN2894" s="23"/>
      <c r="AO2894" s="23"/>
      <c r="AP2894" s="23"/>
      <c r="AQ2894" s="23"/>
      <c r="AR2894" s="23"/>
      <c r="AS2894" s="23"/>
      <c r="AT2894" s="23"/>
      <c r="AU2894" s="23"/>
      <c r="AV2894" s="23"/>
      <c r="AW2894" s="23"/>
      <c r="AX2894" s="23"/>
      <c r="AY2894" s="23"/>
      <c r="AZ2894" s="23"/>
      <c r="BA2894" s="23"/>
      <c r="BB2894" s="23"/>
    </row>
    <row r="2895" spans="5:54" x14ac:dyDescent="0.35"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  <c r="AA2895" s="23"/>
      <c r="AB2895" s="23"/>
      <c r="AC2895" s="23"/>
      <c r="AD2895" s="23"/>
      <c r="AE2895" s="23"/>
      <c r="AF2895" s="23"/>
      <c r="AG2895" s="23"/>
      <c r="AH2895" s="23"/>
      <c r="AI2895" s="23"/>
      <c r="AJ2895" s="23"/>
      <c r="AK2895" s="23"/>
      <c r="AL2895" s="23"/>
      <c r="AM2895" s="23"/>
      <c r="AN2895" s="23"/>
      <c r="AO2895" s="23"/>
      <c r="AP2895" s="23"/>
      <c r="AQ2895" s="23"/>
      <c r="AR2895" s="23"/>
      <c r="AS2895" s="23"/>
      <c r="AT2895" s="23"/>
      <c r="AU2895" s="23"/>
      <c r="AV2895" s="23"/>
      <c r="AW2895" s="23"/>
      <c r="AX2895" s="23"/>
      <c r="AY2895" s="23"/>
      <c r="AZ2895" s="23"/>
      <c r="BA2895" s="23"/>
      <c r="BB2895" s="23"/>
    </row>
    <row r="2896" spans="5:54" x14ac:dyDescent="0.35"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  <c r="AA2896" s="23"/>
      <c r="AB2896" s="23"/>
      <c r="AC2896" s="23"/>
      <c r="AD2896" s="23"/>
      <c r="AE2896" s="23"/>
      <c r="AF2896" s="23"/>
      <c r="AG2896" s="23"/>
      <c r="AH2896" s="23"/>
      <c r="AI2896" s="23"/>
      <c r="AJ2896" s="23"/>
      <c r="AK2896" s="23"/>
      <c r="AL2896" s="23"/>
      <c r="AM2896" s="23"/>
      <c r="AN2896" s="23"/>
      <c r="AO2896" s="23"/>
      <c r="AP2896" s="23"/>
      <c r="AQ2896" s="23"/>
      <c r="AR2896" s="23"/>
      <c r="AS2896" s="23"/>
      <c r="AT2896" s="23"/>
      <c r="AU2896" s="23"/>
      <c r="AV2896" s="23"/>
      <c r="AW2896" s="23"/>
      <c r="AX2896" s="23"/>
      <c r="AY2896" s="23"/>
      <c r="AZ2896" s="23"/>
      <c r="BA2896" s="23"/>
      <c r="BB2896" s="23"/>
    </row>
    <row r="2897" spans="5:54" x14ac:dyDescent="0.35"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  <c r="AA2897" s="23"/>
      <c r="AB2897" s="23"/>
      <c r="AC2897" s="23"/>
      <c r="AD2897" s="23"/>
      <c r="AE2897" s="23"/>
      <c r="AF2897" s="23"/>
      <c r="AG2897" s="23"/>
      <c r="AH2897" s="23"/>
      <c r="AI2897" s="23"/>
      <c r="AJ2897" s="23"/>
      <c r="AK2897" s="23"/>
      <c r="AL2897" s="23"/>
      <c r="AM2897" s="23"/>
      <c r="AN2897" s="23"/>
      <c r="AO2897" s="23"/>
      <c r="AP2897" s="23"/>
      <c r="AQ2897" s="23"/>
      <c r="AR2897" s="23"/>
      <c r="AS2897" s="23"/>
      <c r="AT2897" s="23"/>
      <c r="AU2897" s="23"/>
      <c r="AV2897" s="23"/>
      <c r="AW2897" s="23"/>
      <c r="AX2897" s="23"/>
      <c r="AY2897" s="23"/>
      <c r="AZ2897" s="23"/>
      <c r="BA2897" s="23"/>
      <c r="BB2897" s="23"/>
    </row>
    <row r="2898" spans="5:54" x14ac:dyDescent="0.35"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  <c r="AA2898" s="23"/>
      <c r="AB2898" s="23"/>
      <c r="AC2898" s="23"/>
      <c r="AD2898" s="23"/>
      <c r="AE2898" s="23"/>
      <c r="AF2898" s="23"/>
      <c r="AG2898" s="23"/>
      <c r="AH2898" s="23"/>
      <c r="AI2898" s="23"/>
      <c r="AJ2898" s="23"/>
      <c r="AK2898" s="23"/>
      <c r="AL2898" s="23"/>
      <c r="AM2898" s="23"/>
      <c r="AN2898" s="23"/>
      <c r="AO2898" s="23"/>
      <c r="AP2898" s="23"/>
      <c r="AQ2898" s="23"/>
      <c r="AR2898" s="23"/>
      <c r="AS2898" s="23"/>
      <c r="AT2898" s="23"/>
      <c r="AU2898" s="23"/>
      <c r="AV2898" s="23"/>
      <c r="AW2898" s="23"/>
      <c r="AX2898" s="23"/>
      <c r="AY2898" s="23"/>
      <c r="AZ2898" s="23"/>
      <c r="BA2898" s="23"/>
      <c r="BB2898" s="23"/>
    </row>
    <row r="2899" spans="5:54" x14ac:dyDescent="0.35"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  <c r="AA2899" s="23"/>
      <c r="AB2899" s="23"/>
      <c r="AC2899" s="23"/>
      <c r="AD2899" s="23"/>
      <c r="AE2899" s="23"/>
      <c r="AF2899" s="23"/>
      <c r="AG2899" s="23"/>
      <c r="AH2899" s="23"/>
      <c r="AI2899" s="23"/>
      <c r="AJ2899" s="23"/>
      <c r="AK2899" s="23"/>
      <c r="AL2899" s="23"/>
      <c r="AM2899" s="23"/>
      <c r="AN2899" s="23"/>
      <c r="AO2899" s="23"/>
      <c r="AP2899" s="23"/>
      <c r="AQ2899" s="23"/>
      <c r="AR2899" s="23"/>
      <c r="AS2899" s="23"/>
      <c r="AT2899" s="23"/>
      <c r="AU2899" s="23"/>
      <c r="AV2899" s="23"/>
      <c r="AW2899" s="23"/>
      <c r="AX2899" s="23"/>
      <c r="AY2899" s="23"/>
      <c r="AZ2899" s="23"/>
      <c r="BA2899" s="23"/>
      <c r="BB2899" s="23"/>
    </row>
    <row r="2900" spans="5:54" x14ac:dyDescent="0.35"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  <c r="AA2900" s="23"/>
      <c r="AB2900" s="23"/>
      <c r="AC2900" s="23"/>
      <c r="AD2900" s="23"/>
      <c r="AE2900" s="23"/>
      <c r="AF2900" s="23"/>
      <c r="AG2900" s="23"/>
      <c r="AH2900" s="23"/>
      <c r="AI2900" s="23"/>
      <c r="AJ2900" s="23"/>
      <c r="AK2900" s="23"/>
      <c r="AL2900" s="23"/>
      <c r="AM2900" s="23"/>
      <c r="AN2900" s="23"/>
      <c r="AO2900" s="23"/>
      <c r="AP2900" s="23"/>
      <c r="AQ2900" s="23"/>
      <c r="AR2900" s="23"/>
      <c r="AS2900" s="23"/>
      <c r="AT2900" s="23"/>
      <c r="AU2900" s="23"/>
      <c r="AV2900" s="23"/>
      <c r="AW2900" s="23"/>
      <c r="AX2900" s="23"/>
      <c r="AY2900" s="23"/>
      <c r="AZ2900" s="23"/>
      <c r="BA2900" s="23"/>
      <c r="BB2900" s="23"/>
    </row>
    <row r="2901" spans="5:54" x14ac:dyDescent="0.35"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  <c r="AA2901" s="23"/>
      <c r="AB2901" s="23"/>
      <c r="AC2901" s="23"/>
      <c r="AD2901" s="23"/>
      <c r="AE2901" s="23"/>
      <c r="AF2901" s="23"/>
      <c r="AG2901" s="23"/>
      <c r="AH2901" s="23"/>
      <c r="AI2901" s="23"/>
      <c r="AJ2901" s="23"/>
      <c r="AK2901" s="23"/>
      <c r="AL2901" s="23"/>
      <c r="AM2901" s="23"/>
      <c r="AN2901" s="23"/>
      <c r="AO2901" s="23"/>
      <c r="AP2901" s="23"/>
      <c r="AQ2901" s="23"/>
      <c r="AR2901" s="23"/>
      <c r="AS2901" s="23"/>
      <c r="AT2901" s="23"/>
      <c r="AU2901" s="23"/>
      <c r="AV2901" s="23"/>
      <c r="AW2901" s="23"/>
      <c r="AX2901" s="23"/>
      <c r="AY2901" s="23"/>
      <c r="AZ2901" s="23"/>
      <c r="BA2901" s="23"/>
      <c r="BB2901" s="23"/>
    </row>
    <row r="2902" spans="5:54" x14ac:dyDescent="0.35"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  <c r="AA2902" s="23"/>
      <c r="AB2902" s="23"/>
      <c r="AC2902" s="23"/>
      <c r="AD2902" s="23"/>
      <c r="AE2902" s="23"/>
      <c r="AF2902" s="23"/>
      <c r="AG2902" s="23"/>
      <c r="AH2902" s="23"/>
      <c r="AI2902" s="23"/>
      <c r="AJ2902" s="23"/>
      <c r="AK2902" s="23"/>
      <c r="AL2902" s="23"/>
      <c r="AM2902" s="23"/>
      <c r="AN2902" s="23"/>
      <c r="AO2902" s="23"/>
      <c r="AP2902" s="23"/>
      <c r="AQ2902" s="23"/>
      <c r="AR2902" s="23"/>
      <c r="AS2902" s="23"/>
      <c r="AT2902" s="23"/>
      <c r="AU2902" s="23"/>
      <c r="AV2902" s="23"/>
      <c r="AW2902" s="23"/>
      <c r="AX2902" s="23"/>
      <c r="AY2902" s="23"/>
      <c r="AZ2902" s="23"/>
      <c r="BA2902" s="23"/>
      <c r="BB2902" s="23"/>
    </row>
    <row r="2903" spans="5:54" x14ac:dyDescent="0.35"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  <c r="AA2903" s="23"/>
      <c r="AB2903" s="23"/>
      <c r="AC2903" s="23"/>
      <c r="AD2903" s="23"/>
      <c r="AE2903" s="23"/>
      <c r="AF2903" s="23"/>
      <c r="AG2903" s="23"/>
      <c r="AH2903" s="23"/>
      <c r="AI2903" s="23"/>
      <c r="AJ2903" s="23"/>
      <c r="AK2903" s="23"/>
      <c r="AL2903" s="23"/>
      <c r="AM2903" s="23"/>
      <c r="AN2903" s="23"/>
      <c r="AO2903" s="23"/>
      <c r="AP2903" s="23"/>
      <c r="AQ2903" s="23"/>
      <c r="AR2903" s="23"/>
      <c r="AS2903" s="23"/>
      <c r="AT2903" s="23"/>
      <c r="AU2903" s="23"/>
      <c r="AV2903" s="23"/>
      <c r="AW2903" s="23"/>
      <c r="AX2903" s="23"/>
      <c r="AY2903" s="23"/>
      <c r="AZ2903" s="23"/>
      <c r="BA2903" s="23"/>
      <c r="BB2903" s="23"/>
    </row>
    <row r="2904" spans="5:54" x14ac:dyDescent="0.35"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  <c r="AA2904" s="23"/>
      <c r="AB2904" s="23"/>
      <c r="AC2904" s="23"/>
      <c r="AD2904" s="23"/>
      <c r="AE2904" s="23"/>
      <c r="AF2904" s="23"/>
      <c r="AG2904" s="23"/>
      <c r="AH2904" s="23"/>
      <c r="AI2904" s="23"/>
      <c r="AJ2904" s="23"/>
      <c r="AK2904" s="23"/>
      <c r="AL2904" s="23"/>
      <c r="AM2904" s="23"/>
      <c r="AN2904" s="23"/>
      <c r="AO2904" s="23"/>
      <c r="AP2904" s="23"/>
      <c r="AQ2904" s="23"/>
      <c r="AR2904" s="23"/>
      <c r="AS2904" s="23"/>
      <c r="AT2904" s="23"/>
      <c r="AU2904" s="23"/>
      <c r="AV2904" s="23"/>
      <c r="AW2904" s="23"/>
      <c r="AX2904" s="23"/>
      <c r="AY2904" s="23"/>
      <c r="AZ2904" s="23"/>
      <c r="BA2904" s="23"/>
      <c r="BB2904" s="23"/>
    </row>
    <row r="2905" spans="5:54" x14ac:dyDescent="0.35"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  <c r="AA2905" s="23"/>
      <c r="AB2905" s="23"/>
      <c r="AC2905" s="23"/>
      <c r="AD2905" s="23"/>
      <c r="AE2905" s="23"/>
      <c r="AF2905" s="23"/>
      <c r="AG2905" s="23"/>
      <c r="AH2905" s="23"/>
      <c r="AI2905" s="23"/>
      <c r="AJ2905" s="23"/>
      <c r="AK2905" s="23"/>
      <c r="AL2905" s="23"/>
      <c r="AM2905" s="23"/>
      <c r="AN2905" s="23"/>
      <c r="AO2905" s="23"/>
      <c r="AP2905" s="23"/>
      <c r="AQ2905" s="23"/>
      <c r="AR2905" s="23"/>
      <c r="AS2905" s="23"/>
      <c r="AT2905" s="23"/>
      <c r="AU2905" s="23"/>
      <c r="AV2905" s="23"/>
      <c r="AW2905" s="23"/>
      <c r="AX2905" s="23"/>
      <c r="AY2905" s="23"/>
      <c r="AZ2905" s="23"/>
      <c r="BA2905" s="23"/>
      <c r="BB2905" s="23"/>
    </row>
    <row r="2906" spans="5:54" x14ac:dyDescent="0.35"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  <c r="AA2906" s="23"/>
      <c r="AB2906" s="23"/>
      <c r="AC2906" s="23"/>
      <c r="AD2906" s="23"/>
      <c r="AE2906" s="23"/>
      <c r="AF2906" s="23"/>
      <c r="AG2906" s="23"/>
      <c r="AH2906" s="23"/>
      <c r="AI2906" s="23"/>
      <c r="AJ2906" s="23"/>
      <c r="AK2906" s="23"/>
      <c r="AL2906" s="23"/>
      <c r="AM2906" s="23"/>
      <c r="AN2906" s="23"/>
      <c r="AO2906" s="23"/>
      <c r="AP2906" s="23"/>
      <c r="AQ2906" s="23"/>
      <c r="AR2906" s="23"/>
      <c r="AS2906" s="23"/>
      <c r="AT2906" s="23"/>
      <c r="AU2906" s="23"/>
      <c r="AV2906" s="23"/>
      <c r="AW2906" s="23"/>
      <c r="AX2906" s="23"/>
      <c r="AY2906" s="23"/>
      <c r="AZ2906" s="23"/>
      <c r="BA2906" s="23"/>
      <c r="BB2906" s="23"/>
    </row>
    <row r="2907" spans="5:54" x14ac:dyDescent="0.35"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  <c r="AA2907" s="23"/>
      <c r="AB2907" s="23"/>
      <c r="AC2907" s="23"/>
      <c r="AD2907" s="23"/>
      <c r="AE2907" s="23"/>
      <c r="AF2907" s="23"/>
      <c r="AG2907" s="23"/>
      <c r="AH2907" s="23"/>
      <c r="AI2907" s="23"/>
      <c r="AJ2907" s="23"/>
      <c r="AK2907" s="23"/>
      <c r="AL2907" s="23"/>
      <c r="AM2907" s="23"/>
      <c r="AN2907" s="23"/>
      <c r="AO2907" s="23"/>
      <c r="AP2907" s="23"/>
      <c r="AQ2907" s="23"/>
      <c r="AR2907" s="23"/>
      <c r="AS2907" s="23"/>
      <c r="AT2907" s="23"/>
      <c r="AU2907" s="23"/>
      <c r="AV2907" s="23"/>
      <c r="AW2907" s="23"/>
      <c r="AX2907" s="23"/>
      <c r="AY2907" s="23"/>
      <c r="AZ2907" s="23"/>
      <c r="BA2907" s="23"/>
      <c r="BB2907" s="23"/>
    </row>
    <row r="2908" spans="5:54" x14ac:dyDescent="0.35"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  <c r="AA2908" s="23"/>
      <c r="AB2908" s="23"/>
      <c r="AC2908" s="23"/>
      <c r="AD2908" s="23"/>
      <c r="AE2908" s="23"/>
      <c r="AF2908" s="23"/>
      <c r="AG2908" s="23"/>
      <c r="AH2908" s="23"/>
      <c r="AI2908" s="23"/>
      <c r="AJ2908" s="23"/>
      <c r="AK2908" s="23"/>
      <c r="AL2908" s="23"/>
      <c r="AM2908" s="23"/>
      <c r="AN2908" s="23"/>
      <c r="AO2908" s="23"/>
      <c r="AP2908" s="23"/>
      <c r="AQ2908" s="23"/>
      <c r="AR2908" s="23"/>
      <c r="AS2908" s="23"/>
      <c r="AT2908" s="23"/>
      <c r="AU2908" s="23"/>
      <c r="AV2908" s="23"/>
      <c r="AW2908" s="23"/>
      <c r="AX2908" s="23"/>
      <c r="AY2908" s="23"/>
      <c r="AZ2908" s="23"/>
      <c r="BA2908" s="23"/>
      <c r="BB2908" s="23"/>
    </row>
    <row r="2909" spans="5:54" x14ac:dyDescent="0.35"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  <c r="AA2909" s="23"/>
      <c r="AB2909" s="23"/>
      <c r="AC2909" s="23"/>
      <c r="AD2909" s="23"/>
      <c r="AE2909" s="23"/>
      <c r="AF2909" s="23"/>
      <c r="AG2909" s="23"/>
      <c r="AH2909" s="23"/>
      <c r="AI2909" s="23"/>
      <c r="AJ2909" s="23"/>
      <c r="AK2909" s="23"/>
      <c r="AL2909" s="23"/>
      <c r="AM2909" s="23"/>
      <c r="AN2909" s="23"/>
      <c r="AO2909" s="23"/>
      <c r="AP2909" s="23"/>
      <c r="AQ2909" s="23"/>
      <c r="AR2909" s="23"/>
      <c r="AS2909" s="23"/>
      <c r="AT2909" s="23"/>
      <c r="AU2909" s="23"/>
      <c r="AV2909" s="23"/>
      <c r="AW2909" s="23"/>
      <c r="AX2909" s="23"/>
      <c r="AY2909" s="23"/>
      <c r="AZ2909" s="23"/>
      <c r="BA2909" s="23"/>
      <c r="BB2909" s="23"/>
    </row>
    <row r="2910" spans="5:54" x14ac:dyDescent="0.35"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  <c r="AA2910" s="23"/>
      <c r="AB2910" s="23"/>
      <c r="AC2910" s="23"/>
      <c r="AD2910" s="23"/>
      <c r="AE2910" s="23"/>
      <c r="AF2910" s="23"/>
      <c r="AG2910" s="23"/>
      <c r="AH2910" s="23"/>
      <c r="AI2910" s="23"/>
      <c r="AJ2910" s="23"/>
      <c r="AK2910" s="23"/>
      <c r="AL2910" s="23"/>
      <c r="AM2910" s="23"/>
      <c r="AN2910" s="23"/>
      <c r="AO2910" s="23"/>
      <c r="AP2910" s="23"/>
      <c r="AQ2910" s="23"/>
      <c r="AR2910" s="23"/>
      <c r="AS2910" s="23"/>
      <c r="AT2910" s="23"/>
      <c r="AU2910" s="23"/>
      <c r="AV2910" s="23"/>
      <c r="AW2910" s="23"/>
      <c r="AX2910" s="23"/>
      <c r="AY2910" s="23"/>
      <c r="AZ2910" s="23"/>
      <c r="BA2910" s="23"/>
      <c r="BB2910" s="23"/>
    </row>
    <row r="2911" spans="5:54" x14ac:dyDescent="0.35"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  <c r="AA2911" s="23"/>
      <c r="AB2911" s="23"/>
      <c r="AC2911" s="23"/>
      <c r="AD2911" s="23"/>
      <c r="AE2911" s="23"/>
      <c r="AF2911" s="23"/>
      <c r="AG2911" s="23"/>
      <c r="AH2911" s="23"/>
      <c r="AI2911" s="23"/>
      <c r="AJ2911" s="23"/>
      <c r="AK2911" s="23"/>
      <c r="AL2911" s="23"/>
      <c r="AM2911" s="23"/>
      <c r="AN2911" s="23"/>
      <c r="AO2911" s="23"/>
      <c r="AP2911" s="23"/>
      <c r="AQ2911" s="23"/>
      <c r="AR2911" s="23"/>
      <c r="AS2911" s="23"/>
      <c r="AT2911" s="23"/>
      <c r="AU2911" s="23"/>
      <c r="AV2911" s="23"/>
      <c r="AW2911" s="23"/>
      <c r="AX2911" s="23"/>
      <c r="AY2911" s="23"/>
      <c r="AZ2911" s="23"/>
      <c r="BA2911" s="23"/>
      <c r="BB2911" s="23"/>
    </row>
    <row r="2912" spans="5:54" x14ac:dyDescent="0.35"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  <c r="AA2912" s="23"/>
      <c r="AB2912" s="23"/>
      <c r="AC2912" s="23"/>
      <c r="AD2912" s="23"/>
      <c r="AE2912" s="23"/>
      <c r="AF2912" s="23"/>
      <c r="AG2912" s="23"/>
      <c r="AH2912" s="23"/>
      <c r="AI2912" s="23"/>
      <c r="AJ2912" s="23"/>
      <c r="AK2912" s="23"/>
      <c r="AL2912" s="23"/>
      <c r="AM2912" s="23"/>
      <c r="AN2912" s="23"/>
      <c r="AO2912" s="23"/>
      <c r="AP2912" s="23"/>
      <c r="AQ2912" s="23"/>
      <c r="AR2912" s="23"/>
      <c r="AS2912" s="23"/>
      <c r="AT2912" s="23"/>
      <c r="AU2912" s="23"/>
      <c r="AV2912" s="23"/>
      <c r="AW2912" s="23"/>
      <c r="AX2912" s="23"/>
      <c r="AY2912" s="23"/>
      <c r="AZ2912" s="23"/>
      <c r="BA2912" s="23"/>
      <c r="BB2912" s="23"/>
    </row>
    <row r="2913" spans="5:54" x14ac:dyDescent="0.35"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  <c r="AA2913" s="23"/>
      <c r="AB2913" s="23"/>
      <c r="AC2913" s="23"/>
      <c r="AD2913" s="23"/>
      <c r="AE2913" s="23"/>
      <c r="AF2913" s="23"/>
      <c r="AG2913" s="23"/>
      <c r="AH2913" s="23"/>
      <c r="AI2913" s="23"/>
      <c r="AJ2913" s="23"/>
      <c r="AK2913" s="23"/>
      <c r="AL2913" s="23"/>
      <c r="AM2913" s="23"/>
      <c r="AN2913" s="23"/>
      <c r="AO2913" s="23"/>
      <c r="AP2913" s="23"/>
      <c r="AQ2913" s="23"/>
      <c r="AR2913" s="23"/>
      <c r="AS2913" s="23"/>
      <c r="AT2913" s="23"/>
      <c r="AU2913" s="23"/>
      <c r="AV2913" s="23"/>
      <c r="AW2913" s="23"/>
      <c r="AX2913" s="23"/>
      <c r="AY2913" s="23"/>
      <c r="AZ2913" s="23"/>
      <c r="BA2913" s="23"/>
      <c r="BB2913" s="23"/>
    </row>
    <row r="2914" spans="5:54" x14ac:dyDescent="0.35"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  <c r="AA2914" s="23"/>
      <c r="AB2914" s="23"/>
      <c r="AC2914" s="23"/>
      <c r="AD2914" s="23"/>
      <c r="AE2914" s="23"/>
      <c r="AF2914" s="23"/>
      <c r="AG2914" s="23"/>
      <c r="AH2914" s="23"/>
      <c r="AI2914" s="23"/>
      <c r="AJ2914" s="23"/>
      <c r="AK2914" s="23"/>
      <c r="AL2914" s="23"/>
      <c r="AM2914" s="23"/>
      <c r="AN2914" s="23"/>
      <c r="AO2914" s="23"/>
      <c r="AP2914" s="23"/>
      <c r="AQ2914" s="23"/>
      <c r="AR2914" s="23"/>
      <c r="AS2914" s="23"/>
      <c r="AT2914" s="23"/>
      <c r="AU2914" s="23"/>
      <c r="AV2914" s="23"/>
      <c r="AW2914" s="23"/>
      <c r="AX2914" s="23"/>
      <c r="AY2914" s="23"/>
      <c r="AZ2914" s="23"/>
      <c r="BA2914" s="23"/>
      <c r="BB2914" s="23"/>
    </row>
    <row r="2915" spans="5:54" x14ac:dyDescent="0.35"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  <c r="AA2915" s="23"/>
      <c r="AB2915" s="23"/>
      <c r="AC2915" s="23"/>
      <c r="AD2915" s="23"/>
      <c r="AE2915" s="23"/>
      <c r="AF2915" s="23"/>
      <c r="AG2915" s="23"/>
      <c r="AH2915" s="23"/>
      <c r="AI2915" s="23"/>
      <c r="AJ2915" s="23"/>
      <c r="AK2915" s="23"/>
      <c r="AL2915" s="23"/>
      <c r="AM2915" s="23"/>
      <c r="AN2915" s="23"/>
      <c r="AO2915" s="23"/>
      <c r="AP2915" s="23"/>
      <c r="AQ2915" s="23"/>
      <c r="AR2915" s="23"/>
      <c r="AS2915" s="23"/>
      <c r="AT2915" s="23"/>
      <c r="AU2915" s="23"/>
      <c r="AV2915" s="23"/>
      <c r="AW2915" s="23"/>
      <c r="AX2915" s="23"/>
      <c r="AY2915" s="23"/>
      <c r="AZ2915" s="23"/>
      <c r="BA2915" s="23"/>
      <c r="BB2915" s="23"/>
    </row>
    <row r="2916" spans="5:54" x14ac:dyDescent="0.35"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  <c r="AA2916" s="23"/>
      <c r="AB2916" s="23"/>
      <c r="AC2916" s="23"/>
      <c r="AD2916" s="23"/>
      <c r="AE2916" s="23"/>
      <c r="AF2916" s="23"/>
      <c r="AG2916" s="23"/>
      <c r="AH2916" s="23"/>
      <c r="AI2916" s="23"/>
      <c r="AJ2916" s="23"/>
      <c r="AK2916" s="23"/>
      <c r="AL2916" s="23"/>
      <c r="AM2916" s="23"/>
      <c r="AN2916" s="23"/>
      <c r="AO2916" s="23"/>
      <c r="AP2916" s="23"/>
      <c r="AQ2916" s="23"/>
      <c r="AR2916" s="23"/>
      <c r="AS2916" s="23"/>
      <c r="AT2916" s="23"/>
      <c r="AU2916" s="23"/>
      <c r="AV2916" s="23"/>
      <c r="AW2916" s="23"/>
      <c r="AX2916" s="23"/>
      <c r="AY2916" s="23"/>
      <c r="AZ2916" s="23"/>
      <c r="BA2916" s="23"/>
      <c r="BB2916" s="23"/>
    </row>
    <row r="2917" spans="5:54" x14ac:dyDescent="0.35"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  <c r="AA2917" s="23"/>
      <c r="AB2917" s="23"/>
      <c r="AC2917" s="23"/>
      <c r="AD2917" s="23"/>
      <c r="AE2917" s="23"/>
      <c r="AF2917" s="23"/>
      <c r="AG2917" s="23"/>
      <c r="AH2917" s="23"/>
      <c r="AI2917" s="23"/>
      <c r="AJ2917" s="23"/>
      <c r="AK2917" s="23"/>
      <c r="AL2917" s="23"/>
      <c r="AM2917" s="23"/>
      <c r="AN2917" s="23"/>
      <c r="AO2917" s="23"/>
      <c r="AP2917" s="23"/>
      <c r="AQ2917" s="23"/>
      <c r="AR2917" s="23"/>
      <c r="AS2917" s="23"/>
      <c r="AT2917" s="23"/>
      <c r="AU2917" s="23"/>
      <c r="AV2917" s="23"/>
      <c r="AW2917" s="23"/>
      <c r="AX2917" s="23"/>
      <c r="AY2917" s="23"/>
      <c r="AZ2917" s="23"/>
      <c r="BA2917" s="23"/>
      <c r="BB2917" s="23"/>
    </row>
    <row r="2918" spans="5:54" x14ac:dyDescent="0.35"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  <c r="AA2918" s="23"/>
      <c r="AB2918" s="23"/>
      <c r="AC2918" s="23"/>
      <c r="AD2918" s="23"/>
      <c r="AE2918" s="23"/>
      <c r="AF2918" s="23"/>
      <c r="AG2918" s="23"/>
      <c r="AH2918" s="23"/>
      <c r="AI2918" s="23"/>
      <c r="AJ2918" s="23"/>
      <c r="AK2918" s="23"/>
      <c r="AL2918" s="23"/>
      <c r="AM2918" s="23"/>
      <c r="AN2918" s="23"/>
      <c r="AO2918" s="23"/>
      <c r="AP2918" s="23"/>
      <c r="AQ2918" s="23"/>
      <c r="AR2918" s="23"/>
      <c r="AS2918" s="23"/>
      <c r="AT2918" s="23"/>
      <c r="AU2918" s="23"/>
      <c r="AV2918" s="23"/>
      <c r="AW2918" s="23"/>
      <c r="AX2918" s="23"/>
      <c r="AY2918" s="23"/>
      <c r="AZ2918" s="23"/>
      <c r="BA2918" s="23"/>
      <c r="BB2918" s="23"/>
    </row>
    <row r="2919" spans="5:54" x14ac:dyDescent="0.35"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  <c r="AA2919" s="23"/>
      <c r="AB2919" s="23"/>
      <c r="AC2919" s="23"/>
      <c r="AD2919" s="23"/>
      <c r="AE2919" s="23"/>
      <c r="AF2919" s="23"/>
      <c r="AG2919" s="23"/>
      <c r="AH2919" s="23"/>
      <c r="AI2919" s="23"/>
      <c r="AJ2919" s="23"/>
      <c r="AK2919" s="23"/>
      <c r="AL2919" s="23"/>
      <c r="AM2919" s="23"/>
      <c r="AN2919" s="23"/>
      <c r="AO2919" s="23"/>
      <c r="AP2919" s="23"/>
      <c r="AQ2919" s="23"/>
      <c r="AR2919" s="23"/>
      <c r="AS2919" s="23"/>
      <c r="AT2919" s="23"/>
      <c r="AU2919" s="23"/>
      <c r="AV2919" s="23"/>
      <c r="AW2919" s="23"/>
      <c r="AX2919" s="23"/>
      <c r="AY2919" s="23"/>
      <c r="AZ2919" s="23"/>
      <c r="BA2919" s="23"/>
      <c r="BB2919" s="23"/>
    </row>
    <row r="2920" spans="5:54" x14ac:dyDescent="0.35"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  <c r="AA2920" s="23"/>
      <c r="AB2920" s="23"/>
      <c r="AC2920" s="23"/>
      <c r="AD2920" s="23"/>
      <c r="AE2920" s="23"/>
      <c r="AF2920" s="23"/>
      <c r="AG2920" s="23"/>
      <c r="AH2920" s="23"/>
      <c r="AI2920" s="23"/>
      <c r="AJ2920" s="23"/>
      <c r="AK2920" s="23"/>
      <c r="AL2920" s="23"/>
      <c r="AM2920" s="23"/>
      <c r="AN2920" s="23"/>
      <c r="AO2920" s="23"/>
      <c r="AP2920" s="23"/>
      <c r="AQ2920" s="23"/>
      <c r="AR2920" s="23"/>
      <c r="AS2920" s="23"/>
      <c r="AT2920" s="23"/>
      <c r="AU2920" s="23"/>
      <c r="AV2920" s="23"/>
      <c r="AW2920" s="23"/>
      <c r="AX2920" s="23"/>
      <c r="AY2920" s="23"/>
      <c r="AZ2920" s="23"/>
      <c r="BA2920" s="23"/>
      <c r="BB2920" s="23"/>
    </row>
    <row r="2921" spans="5:54" x14ac:dyDescent="0.35"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  <c r="AA2921" s="23"/>
      <c r="AB2921" s="23"/>
      <c r="AC2921" s="23"/>
      <c r="AD2921" s="23"/>
      <c r="AE2921" s="23"/>
      <c r="AF2921" s="23"/>
      <c r="AG2921" s="23"/>
      <c r="AH2921" s="23"/>
      <c r="AI2921" s="23"/>
      <c r="AJ2921" s="23"/>
      <c r="AK2921" s="23"/>
      <c r="AL2921" s="23"/>
      <c r="AM2921" s="23"/>
      <c r="AN2921" s="23"/>
      <c r="AO2921" s="23"/>
      <c r="AP2921" s="23"/>
      <c r="AQ2921" s="23"/>
      <c r="AR2921" s="23"/>
      <c r="AS2921" s="23"/>
      <c r="AT2921" s="23"/>
      <c r="AU2921" s="23"/>
      <c r="AV2921" s="23"/>
      <c r="AW2921" s="23"/>
      <c r="AX2921" s="23"/>
      <c r="AY2921" s="23"/>
      <c r="AZ2921" s="23"/>
      <c r="BA2921" s="23"/>
      <c r="BB2921" s="23"/>
    </row>
    <row r="2922" spans="5:54" x14ac:dyDescent="0.35"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  <c r="AA2922" s="23"/>
      <c r="AB2922" s="23"/>
      <c r="AC2922" s="23"/>
      <c r="AD2922" s="23"/>
      <c r="AE2922" s="23"/>
      <c r="AF2922" s="23"/>
      <c r="AG2922" s="23"/>
      <c r="AH2922" s="23"/>
      <c r="AI2922" s="23"/>
      <c r="AJ2922" s="23"/>
      <c r="AK2922" s="23"/>
      <c r="AL2922" s="23"/>
      <c r="AM2922" s="23"/>
      <c r="AN2922" s="23"/>
      <c r="AO2922" s="23"/>
      <c r="AP2922" s="23"/>
      <c r="AQ2922" s="23"/>
      <c r="AR2922" s="23"/>
      <c r="AS2922" s="23"/>
      <c r="AT2922" s="23"/>
      <c r="AU2922" s="23"/>
      <c r="AV2922" s="23"/>
      <c r="AW2922" s="23"/>
      <c r="AX2922" s="23"/>
      <c r="AY2922" s="23"/>
      <c r="AZ2922" s="23"/>
      <c r="BA2922" s="23"/>
      <c r="BB2922" s="23"/>
    </row>
    <row r="2923" spans="5:54" x14ac:dyDescent="0.35"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  <c r="AA2923" s="23"/>
      <c r="AB2923" s="23"/>
      <c r="AC2923" s="23"/>
      <c r="AD2923" s="23"/>
      <c r="AE2923" s="23"/>
      <c r="AF2923" s="23"/>
      <c r="AG2923" s="23"/>
      <c r="AH2923" s="23"/>
      <c r="AI2923" s="23"/>
      <c r="AJ2923" s="23"/>
      <c r="AK2923" s="23"/>
      <c r="AL2923" s="23"/>
      <c r="AM2923" s="23"/>
      <c r="AN2923" s="23"/>
      <c r="AO2923" s="23"/>
      <c r="AP2923" s="23"/>
      <c r="AQ2923" s="23"/>
      <c r="AR2923" s="23"/>
      <c r="AS2923" s="23"/>
      <c r="AT2923" s="23"/>
      <c r="AU2923" s="23"/>
      <c r="AV2923" s="23"/>
      <c r="AW2923" s="23"/>
      <c r="AX2923" s="23"/>
      <c r="AY2923" s="23"/>
      <c r="AZ2923" s="23"/>
      <c r="BA2923" s="23"/>
      <c r="BB2923" s="23"/>
    </row>
    <row r="2924" spans="5:54" x14ac:dyDescent="0.35"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  <c r="AA2924" s="23"/>
      <c r="AB2924" s="23"/>
      <c r="AC2924" s="23"/>
      <c r="AD2924" s="23"/>
      <c r="AE2924" s="23"/>
      <c r="AF2924" s="23"/>
      <c r="AG2924" s="23"/>
      <c r="AH2924" s="23"/>
      <c r="AI2924" s="23"/>
      <c r="AJ2924" s="23"/>
      <c r="AK2924" s="23"/>
      <c r="AL2924" s="23"/>
      <c r="AM2924" s="23"/>
      <c r="AN2924" s="23"/>
      <c r="AO2924" s="23"/>
      <c r="AP2924" s="23"/>
      <c r="AQ2924" s="23"/>
      <c r="AR2924" s="23"/>
      <c r="AS2924" s="23"/>
      <c r="AT2924" s="23"/>
      <c r="AU2924" s="23"/>
      <c r="AV2924" s="23"/>
      <c r="AW2924" s="23"/>
      <c r="AX2924" s="23"/>
      <c r="AY2924" s="23"/>
      <c r="AZ2924" s="23"/>
      <c r="BA2924" s="23"/>
      <c r="BB2924" s="23"/>
    </row>
    <row r="2925" spans="5:54" x14ac:dyDescent="0.35"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  <c r="AA2925" s="23"/>
      <c r="AB2925" s="23"/>
      <c r="AC2925" s="23"/>
      <c r="AD2925" s="23"/>
      <c r="AE2925" s="23"/>
      <c r="AF2925" s="23"/>
      <c r="AG2925" s="23"/>
      <c r="AH2925" s="23"/>
      <c r="AI2925" s="23"/>
      <c r="AJ2925" s="23"/>
      <c r="AK2925" s="23"/>
      <c r="AL2925" s="23"/>
      <c r="AM2925" s="23"/>
      <c r="AN2925" s="23"/>
      <c r="AO2925" s="23"/>
      <c r="AP2925" s="23"/>
      <c r="AQ2925" s="23"/>
      <c r="AR2925" s="23"/>
      <c r="AS2925" s="23"/>
      <c r="AT2925" s="23"/>
      <c r="AU2925" s="23"/>
      <c r="AV2925" s="23"/>
      <c r="AW2925" s="23"/>
      <c r="AX2925" s="23"/>
      <c r="AY2925" s="23"/>
      <c r="AZ2925" s="23"/>
      <c r="BA2925" s="23"/>
      <c r="BB2925" s="23"/>
    </row>
    <row r="2926" spans="5:54" x14ac:dyDescent="0.35"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  <c r="AA2926" s="23"/>
      <c r="AB2926" s="23"/>
      <c r="AC2926" s="23"/>
      <c r="AD2926" s="23"/>
      <c r="AE2926" s="23"/>
      <c r="AF2926" s="23"/>
      <c r="AG2926" s="23"/>
      <c r="AH2926" s="23"/>
      <c r="AI2926" s="23"/>
      <c r="AJ2926" s="23"/>
      <c r="AK2926" s="23"/>
      <c r="AL2926" s="23"/>
      <c r="AM2926" s="23"/>
      <c r="AN2926" s="23"/>
      <c r="AO2926" s="23"/>
      <c r="AP2926" s="23"/>
      <c r="AQ2926" s="23"/>
      <c r="AR2926" s="23"/>
      <c r="AS2926" s="23"/>
      <c r="AT2926" s="23"/>
      <c r="AU2926" s="23"/>
      <c r="AV2926" s="23"/>
      <c r="AW2926" s="23"/>
      <c r="AX2926" s="23"/>
      <c r="AY2926" s="23"/>
      <c r="AZ2926" s="23"/>
      <c r="BA2926" s="23"/>
      <c r="BB2926" s="23"/>
    </row>
    <row r="2927" spans="5:54" x14ac:dyDescent="0.35"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  <c r="AA2927" s="23"/>
      <c r="AB2927" s="23"/>
      <c r="AC2927" s="23"/>
      <c r="AD2927" s="23"/>
      <c r="AE2927" s="23"/>
      <c r="AF2927" s="23"/>
      <c r="AG2927" s="23"/>
      <c r="AH2927" s="23"/>
      <c r="AI2927" s="23"/>
      <c r="AJ2927" s="23"/>
      <c r="AK2927" s="23"/>
      <c r="AL2927" s="23"/>
      <c r="AM2927" s="23"/>
      <c r="AN2927" s="23"/>
      <c r="AO2927" s="23"/>
      <c r="AP2927" s="23"/>
      <c r="AQ2927" s="23"/>
      <c r="AR2927" s="23"/>
      <c r="AS2927" s="23"/>
      <c r="AT2927" s="23"/>
      <c r="AU2927" s="23"/>
      <c r="AV2927" s="23"/>
      <c r="AW2927" s="23"/>
      <c r="AX2927" s="23"/>
      <c r="AY2927" s="23"/>
      <c r="AZ2927" s="23"/>
      <c r="BA2927" s="23"/>
      <c r="BB2927" s="23"/>
    </row>
    <row r="2928" spans="5:54" x14ac:dyDescent="0.35"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  <c r="AA2928" s="23"/>
      <c r="AB2928" s="23"/>
      <c r="AC2928" s="23"/>
      <c r="AD2928" s="23"/>
      <c r="AE2928" s="23"/>
      <c r="AF2928" s="23"/>
      <c r="AG2928" s="23"/>
      <c r="AH2928" s="23"/>
      <c r="AI2928" s="23"/>
      <c r="AJ2928" s="23"/>
      <c r="AK2928" s="23"/>
      <c r="AL2928" s="23"/>
      <c r="AM2928" s="23"/>
      <c r="AN2928" s="23"/>
      <c r="AO2928" s="23"/>
      <c r="AP2928" s="23"/>
      <c r="AQ2928" s="23"/>
      <c r="AR2928" s="23"/>
      <c r="AS2928" s="23"/>
      <c r="AT2928" s="23"/>
      <c r="AU2928" s="23"/>
      <c r="AV2928" s="23"/>
      <c r="AW2928" s="23"/>
      <c r="AX2928" s="23"/>
      <c r="AY2928" s="23"/>
      <c r="AZ2928" s="23"/>
      <c r="BA2928" s="23"/>
      <c r="BB2928" s="23"/>
    </row>
    <row r="2929" spans="5:54" x14ac:dyDescent="0.35"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  <c r="AA2929" s="23"/>
      <c r="AB2929" s="23"/>
      <c r="AC2929" s="23"/>
      <c r="AD2929" s="23"/>
      <c r="AE2929" s="23"/>
      <c r="AF2929" s="23"/>
      <c r="AG2929" s="23"/>
      <c r="AH2929" s="23"/>
      <c r="AI2929" s="23"/>
      <c r="AJ2929" s="23"/>
      <c r="AK2929" s="23"/>
      <c r="AL2929" s="23"/>
      <c r="AM2929" s="23"/>
      <c r="AN2929" s="23"/>
      <c r="AO2929" s="23"/>
      <c r="AP2929" s="23"/>
      <c r="AQ2929" s="23"/>
      <c r="AR2929" s="23"/>
      <c r="AS2929" s="23"/>
      <c r="AT2929" s="23"/>
      <c r="AU2929" s="23"/>
      <c r="AV2929" s="23"/>
      <c r="AW2929" s="23"/>
      <c r="AX2929" s="23"/>
      <c r="AY2929" s="23"/>
      <c r="AZ2929" s="23"/>
      <c r="BA2929" s="23"/>
      <c r="BB2929" s="23"/>
    </row>
    <row r="2930" spans="5:54" x14ac:dyDescent="0.35"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  <c r="AA2930" s="23"/>
      <c r="AB2930" s="23"/>
      <c r="AC2930" s="23"/>
      <c r="AD2930" s="23"/>
      <c r="AE2930" s="23"/>
      <c r="AF2930" s="23"/>
      <c r="AG2930" s="23"/>
      <c r="AH2930" s="23"/>
      <c r="AI2930" s="23"/>
      <c r="AJ2930" s="23"/>
      <c r="AK2930" s="23"/>
      <c r="AL2930" s="23"/>
      <c r="AM2930" s="23"/>
      <c r="AN2930" s="23"/>
      <c r="AO2930" s="23"/>
      <c r="AP2930" s="23"/>
      <c r="AQ2930" s="23"/>
      <c r="AR2930" s="23"/>
      <c r="AS2930" s="23"/>
      <c r="AT2930" s="23"/>
      <c r="AU2930" s="23"/>
      <c r="AV2930" s="23"/>
      <c r="AW2930" s="23"/>
      <c r="AX2930" s="23"/>
      <c r="AY2930" s="23"/>
      <c r="AZ2930" s="23"/>
      <c r="BA2930" s="23"/>
      <c r="BB2930" s="23"/>
    </row>
    <row r="2931" spans="5:54" x14ac:dyDescent="0.35"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  <c r="AA2931" s="23"/>
      <c r="AB2931" s="23"/>
      <c r="AC2931" s="23"/>
      <c r="AD2931" s="23"/>
      <c r="AE2931" s="23"/>
      <c r="AF2931" s="23"/>
      <c r="AG2931" s="23"/>
      <c r="AH2931" s="23"/>
      <c r="AI2931" s="23"/>
      <c r="AJ2931" s="23"/>
      <c r="AK2931" s="23"/>
      <c r="AL2931" s="23"/>
      <c r="AM2931" s="23"/>
      <c r="AN2931" s="23"/>
      <c r="AO2931" s="23"/>
      <c r="AP2931" s="23"/>
      <c r="AQ2931" s="23"/>
      <c r="AR2931" s="23"/>
      <c r="AS2931" s="23"/>
      <c r="AT2931" s="23"/>
      <c r="AU2931" s="23"/>
      <c r="AV2931" s="23"/>
      <c r="AW2931" s="23"/>
      <c r="AX2931" s="23"/>
      <c r="AY2931" s="23"/>
      <c r="AZ2931" s="23"/>
      <c r="BA2931" s="23"/>
      <c r="BB2931" s="23"/>
    </row>
    <row r="2932" spans="5:54" x14ac:dyDescent="0.35"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  <c r="AA2932" s="23"/>
      <c r="AB2932" s="23"/>
      <c r="AC2932" s="23"/>
      <c r="AD2932" s="23"/>
      <c r="AE2932" s="23"/>
      <c r="AF2932" s="23"/>
      <c r="AG2932" s="23"/>
      <c r="AH2932" s="23"/>
      <c r="AI2932" s="23"/>
      <c r="AJ2932" s="23"/>
      <c r="AK2932" s="23"/>
      <c r="AL2932" s="23"/>
      <c r="AM2932" s="23"/>
      <c r="AN2932" s="23"/>
      <c r="AO2932" s="23"/>
      <c r="AP2932" s="23"/>
      <c r="AQ2932" s="23"/>
      <c r="AR2932" s="23"/>
      <c r="AS2932" s="23"/>
      <c r="AT2932" s="23"/>
      <c r="AU2932" s="23"/>
      <c r="AV2932" s="23"/>
      <c r="AW2932" s="23"/>
      <c r="AX2932" s="23"/>
      <c r="AY2932" s="23"/>
      <c r="AZ2932" s="23"/>
      <c r="BA2932" s="23"/>
      <c r="BB2932" s="23"/>
    </row>
    <row r="2933" spans="5:54" x14ac:dyDescent="0.35"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  <c r="AA2933" s="23"/>
      <c r="AB2933" s="23"/>
      <c r="AC2933" s="23"/>
      <c r="AD2933" s="23"/>
      <c r="AE2933" s="23"/>
      <c r="AF2933" s="23"/>
      <c r="AG2933" s="23"/>
      <c r="AH2933" s="23"/>
      <c r="AI2933" s="23"/>
      <c r="AJ2933" s="23"/>
      <c r="AK2933" s="23"/>
      <c r="AL2933" s="23"/>
      <c r="AM2933" s="23"/>
      <c r="AN2933" s="23"/>
      <c r="AO2933" s="23"/>
      <c r="AP2933" s="23"/>
      <c r="AQ2933" s="23"/>
      <c r="AR2933" s="23"/>
      <c r="AS2933" s="23"/>
      <c r="AT2933" s="23"/>
      <c r="AU2933" s="23"/>
      <c r="AV2933" s="23"/>
      <c r="AW2933" s="23"/>
      <c r="AX2933" s="23"/>
      <c r="AY2933" s="23"/>
      <c r="AZ2933" s="23"/>
      <c r="BA2933" s="23"/>
      <c r="BB2933" s="23"/>
    </row>
    <row r="2934" spans="5:54" x14ac:dyDescent="0.35"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  <c r="AA2934" s="23"/>
      <c r="AB2934" s="23"/>
      <c r="AC2934" s="23"/>
      <c r="AD2934" s="23"/>
      <c r="AE2934" s="23"/>
      <c r="AF2934" s="23"/>
      <c r="AG2934" s="23"/>
      <c r="AH2934" s="23"/>
      <c r="AI2934" s="23"/>
      <c r="AJ2934" s="23"/>
      <c r="AK2934" s="23"/>
      <c r="AL2934" s="23"/>
      <c r="AM2934" s="23"/>
      <c r="AN2934" s="23"/>
      <c r="AO2934" s="23"/>
      <c r="AP2934" s="23"/>
      <c r="AQ2934" s="23"/>
      <c r="AR2934" s="23"/>
      <c r="AS2934" s="23"/>
      <c r="AT2934" s="23"/>
      <c r="AU2934" s="23"/>
      <c r="AV2934" s="23"/>
      <c r="AW2934" s="23"/>
      <c r="AX2934" s="23"/>
      <c r="AY2934" s="23"/>
      <c r="AZ2934" s="23"/>
      <c r="BA2934" s="23"/>
      <c r="BB2934" s="23"/>
    </row>
    <row r="2935" spans="5:54" x14ac:dyDescent="0.35"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  <c r="AA2935" s="23"/>
      <c r="AB2935" s="23"/>
      <c r="AC2935" s="23"/>
      <c r="AD2935" s="23"/>
      <c r="AE2935" s="23"/>
      <c r="AF2935" s="23"/>
      <c r="AG2935" s="23"/>
      <c r="AH2935" s="23"/>
      <c r="AI2935" s="23"/>
      <c r="AJ2935" s="23"/>
      <c r="AK2935" s="23"/>
      <c r="AL2935" s="23"/>
      <c r="AM2935" s="23"/>
      <c r="AN2935" s="23"/>
      <c r="AO2935" s="23"/>
      <c r="AP2935" s="23"/>
      <c r="AQ2935" s="23"/>
      <c r="AR2935" s="23"/>
      <c r="AS2935" s="23"/>
      <c r="AT2935" s="23"/>
      <c r="AU2935" s="23"/>
      <c r="AV2935" s="23"/>
      <c r="AW2935" s="23"/>
      <c r="AX2935" s="23"/>
      <c r="AY2935" s="23"/>
      <c r="AZ2935" s="23"/>
      <c r="BA2935" s="23"/>
      <c r="BB2935" s="23"/>
    </row>
    <row r="2936" spans="5:54" x14ac:dyDescent="0.35"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  <c r="AA2936" s="23"/>
      <c r="AB2936" s="23"/>
      <c r="AC2936" s="23"/>
      <c r="AD2936" s="23"/>
      <c r="AE2936" s="23"/>
      <c r="AF2936" s="23"/>
      <c r="AG2936" s="23"/>
      <c r="AH2936" s="23"/>
      <c r="AI2936" s="23"/>
      <c r="AJ2936" s="23"/>
      <c r="AK2936" s="23"/>
      <c r="AL2936" s="23"/>
      <c r="AM2936" s="23"/>
      <c r="AN2936" s="23"/>
      <c r="AO2936" s="23"/>
      <c r="AP2936" s="23"/>
      <c r="AQ2936" s="23"/>
      <c r="AR2936" s="23"/>
      <c r="AS2936" s="23"/>
      <c r="AT2936" s="23"/>
      <c r="AU2936" s="23"/>
      <c r="AV2936" s="23"/>
      <c r="AW2936" s="23"/>
      <c r="AX2936" s="23"/>
      <c r="AY2936" s="23"/>
      <c r="AZ2936" s="23"/>
      <c r="BA2936" s="23"/>
      <c r="BB2936" s="23"/>
    </row>
    <row r="2937" spans="5:54" x14ac:dyDescent="0.35"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  <c r="AA2937" s="23"/>
      <c r="AB2937" s="23"/>
      <c r="AC2937" s="23"/>
      <c r="AD2937" s="23"/>
      <c r="AE2937" s="23"/>
      <c r="AF2937" s="23"/>
      <c r="AG2937" s="23"/>
      <c r="AH2937" s="23"/>
      <c r="AI2937" s="23"/>
      <c r="AJ2937" s="23"/>
      <c r="AK2937" s="23"/>
      <c r="AL2937" s="23"/>
      <c r="AM2937" s="23"/>
      <c r="AN2937" s="23"/>
      <c r="AO2937" s="23"/>
      <c r="AP2937" s="23"/>
      <c r="AQ2937" s="23"/>
      <c r="AR2937" s="23"/>
      <c r="AS2937" s="23"/>
      <c r="AT2937" s="23"/>
      <c r="AU2937" s="23"/>
      <c r="AV2937" s="23"/>
      <c r="AW2937" s="23"/>
      <c r="AX2937" s="23"/>
      <c r="AY2937" s="23"/>
      <c r="AZ2937" s="23"/>
      <c r="BA2937" s="23"/>
      <c r="BB2937" s="23"/>
    </row>
    <row r="2938" spans="5:54" x14ac:dyDescent="0.35"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  <c r="AA2938" s="23"/>
      <c r="AB2938" s="23"/>
      <c r="AC2938" s="23"/>
      <c r="AD2938" s="23"/>
      <c r="AE2938" s="23"/>
      <c r="AF2938" s="23"/>
      <c r="AG2938" s="23"/>
      <c r="AH2938" s="23"/>
      <c r="AI2938" s="23"/>
      <c r="AJ2938" s="23"/>
      <c r="AK2938" s="23"/>
      <c r="AL2938" s="23"/>
      <c r="AM2938" s="23"/>
      <c r="AN2938" s="23"/>
      <c r="AO2938" s="23"/>
      <c r="AP2938" s="23"/>
      <c r="AQ2938" s="23"/>
      <c r="AR2938" s="23"/>
      <c r="AS2938" s="23"/>
      <c r="AT2938" s="23"/>
      <c r="AU2938" s="23"/>
      <c r="AV2938" s="23"/>
      <c r="AW2938" s="23"/>
      <c r="AX2938" s="23"/>
      <c r="AY2938" s="23"/>
      <c r="AZ2938" s="23"/>
      <c r="BA2938" s="23"/>
      <c r="BB2938" s="23"/>
    </row>
    <row r="2939" spans="5:54" x14ac:dyDescent="0.35"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  <c r="AA2939" s="23"/>
      <c r="AB2939" s="23"/>
      <c r="AC2939" s="23"/>
      <c r="AD2939" s="23"/>
      <c r="AE2939" s="23"/>
      <c r="AF2939" s="23"/>
      <c r="AG2939" s="23"/>
      <c r="AH2939" s="23"/>
      <c r="AI2939" s="23"/>
      <c r="AJ2939" s="23"/>
      <c r="AK2939" s="23"/>
      <c r="AL2939" s="23"/>
      <c r="AM2939" s="23"/>
      <c r="AN2939" s="23"/>
      <c r="AO2939" s="23"/>
      <c r="AP2939" s="23"/>
      <c r="AQ2939" s="23"/>
      <c r="AR2939" s="23"/>
      <c r="AS2939" s="23"/>
      <c r="AT2939" s="23"/>
      <c r="AU2939" s="23"/>
      <c r="AV2939" s="23"/>
      <c r="AW2939" s="23"/>
      <c r="AX2939" s="23"/>
      <c r="AY2939" s="23"/>
      <c r="AZ2939" s="23"/>
      <c r="BA2939" s="23"/>
      <c r="BB2939" s="23"/>
    </row>
    <row r="2940" spans="5:54" x14ac:dyDescent="0.35"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  <c r="AA2940" s="23"/>
      <c r="AB2940" s="23"/>
      <c r="AC2940" s="23"/>
      <c r="AD2940" s="23"/>
      <c r="AE2940" s="23"/>
      <c r="AF2940" s="23"/>
      <c r="AG2940" s="23"/>
      <c r="AH2940" s="23"/>
      <c r="AI2940" s="23"/>
      <c r="AJ2940" s="23"/>
      <c r="AK2940" s="23"/>
      <c r="AL2940" s="23"/>
      <c r="AM2940" s="23"/>
      <c r="AN2940" s="23"/>
      <c r="AO2940" s="23"/>
      <c r="AP2940" s="23"/>
      <c r="AQ2940" s="23"/>
      <c r="AR2940" s="23"/>
      <c r="AS2940" s="23"/>
      <c r="AT2940" s="23"/>
      <c r="AU2940" s="23"/>
      <c r="AV2940" s="23"/>
      <c r="AW2940" s="23"/>
      <c r="AX2940" s="23"/>
      <c r="AY2940" s="23"/>
      <c r="AZ2940" s="23"/>
      <c r="BA2940" s="23"/>
      <c r="BB2940" s="23"/>
    </row>
    <row r="2941" spans="5:54" x14ac:dyDescent="0.35"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  <c r="AA2941" s="23"/>
      <c r="AB2941" s="23"/>
      <c r="AC2941" s="23"/>
      <c r="AD2941" s="23"/>
      <c r="AE2941" s="23"/>
      <c r="AF2941" s="23"/>
      <c r="AG2941" s="23"/>
      <c r="AH2941" s="23"/>
      <c r="AI2941" s="23"/>
      <c r="AJ2941" s="23"/>
      <c r="AK2941" s="23"/>
      <c r="AL2941" s="23"/>
      <c r="AM2941" s="23"/>
      <c r="AN2941" s="23"/>
      <c r="AO2941" s="23"/>
      <c r="AP2941" s="23"/>
      <c r="AQ2941" s="23"/>
      <c r="AR2941" s="23"/>
      <c r="AS2941" s="23"/>
      <c r="AT2941" s="23"/>
      <c r="AU2941" s="23"/>
      <c r="AV2941" s="23"/>
      <c r="AW2941" s="23"/>
      <c r="AX2941" s="23"/>
      <c r="AY2941" s="23"/>
      <c r="AZ2941" s="23"/>
      <c r="BA2941" s="23"/>
      <c r="BB2941" s="23"/>
    </row>
    <row r="2942" spans="5:54" x14ac:dyDescent="0.35"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  <c r="AA2942" s="23"/>
      <c r="AB2942" s="23"/>
      <c r="AC2942" s="23"/>
      <c r="AD2942" s="23"/>
      <c r="AE2942" s="23"/>
      <c r="AF2942" s="23"/>
      <c r="AG2942" s="23"/>
      <c r="AH2942" s="23"/>
      <c r="AI2942" s="23"/>
      <c r="AJ2942" s="23"/>
      <c r="AK2942" s="23"/>
      <c r="AL2942" s="23"/>
      <c r="AM2942" s="23"/>
      <c r="AN2942" s="23"/>
      <c r="AO2942" s="23"/>
      <c r="AP2942" s="23"/>
      <c r="AQ2942" s="23"/>
      <c r="AR2942" s="23"/>
      <c r="AS2942" s="23"/>
      <c r="AT2942" s="23"/>
      <c r="AU2942" s="23"/>
      <c r="AV2942" s="23"/>
      <c r="AW2942" s="23"/>
      <c r="AX2942" s="23"/>
      <c r="AY2942" s="23"/>
      <c r="AZ2942" s="23"/>
      <c r="BA2942" s="23"/>
      <c r="BB2942" s="23"/>
    </row>
    <row r="2943" spans="5:54" x14ac:dyDescent="0.35"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  <c r="AA2943" s="23"/>
      <c r="AB2943" s="23"/>
      <c r="AC2943" s="23"/>
      <c r="AD2943" s="23"/>
      <c r="AE2943" s="23"/>
      <c r="AF2943" s="23"/>
      <c r="AG2943" s="23"/>
      <c r="AH2943" s="23"/>
      <c r="AI2943" s="23"/>
      <c r="AJ2943" s="23"/>
      <c r="AK2943" s="23"/>
      <c r="AL2943" s="23"/>
      <c r="AM2943" s="23"/>
      <c r="AN2943" s="23"/>
      <c r="AO2943" s="23"/>
      <c r="AP2943" s="23"/>
      <c r="AQ2943" s="23"/>
      <c r="AR2943" s="23"/>
      <c r="AS2943" s="23"/>
      <c r="AT2943" s="23"/>
      <c r="AU2943" s="23"/>
      <c r="AV2943" s="23"/>
      <c r="AW2943" s="23"/>
      <c r="AX2943" s="23"/>
      <c r="AY2943" s="23"/>
      <c r="AZ2943" s="23"/>
      <c r="BA2943" s="23"/>
      <c r="BB2943" s="23"/>
    </row>
    <row r="2944" spans="5:54" x14ac:dyDescent="0.35"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  <c r="AA2944" s="23"/>
      <c r="AB2944" s="23"/>
      <c r="AC2944" s="23"/>
      <c r="AD2944" s="23"/>
      <c r="AE2944" s="23"/>
      <c r="AF2944" s="23"/>
      <c r="AG2944" s="23"/>
      <c r="AH2944" s="23"/>
      <c r="AI2944" s="23"/>
      <c r="AJ2944" s="23"/>
      <c r="AK2944" s="23"/>
      <c r="AL2944" s="23"/>
      <c r="AM2944" s="23"/>
      <c r="AN2944" s="23"/>
      <c r="AO2944" s="23"/>
      <c r="AP2944" s="23"/>
      <c r="AQ2944" s="23"/>
      <c r="AR2944" s="23"/>
      <c r="AS2944" s="23"/>
      <c r="AT2944" s="23"/>
      <c r="AU2944" s="23"/>
      <c r="AV2944" s="23"/>
      <c r="AW2944" s="23"/>
      <c r="AX2944" s="23"/>
      <c r="AY2944" s="23"/>
      <c r="AZ2944" s="23"/>
      <c r="BA2944" s="23"/>
      <c r="BB2944" s="23"/>
    </row>
    <row r="2945" spans="5:54" x14ac:dyDescent="0.35"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  <c r="AA2945" s="23"/>
      <c r="AB2945" s="23"/>
      <c r="AC2945" s="23"/>
      <c r="AD2945" s="23"/>
      <c r="AE2945" s="23"/>
      <c r="AF2945" s="23"/>
      <c r="AG2945" s="23"/>
      <c r="AH2945" s="23"/>
      <c r="AI2945" s="23"/>
      <c r="AJ2945" s="23"/>
      <c r="AK2945" s="23"/>
      <c r="AL2945" s="23"/>
      <c r="AM2945" s="23"/>
      <c r="AN2945" s="23"/>
      <c r="AO2945" s="23"/>
      <c r="AP2945" s="23"/>
      <c r="AQ2945" s="23"/>
      <c r="AR2945" s="23"/>
      <c r="AS2945" s="23"/>
      <c r="AT2945" s="23"/>
      <c r="AU2945" s="23"/>
      <c r="AV2945" s="23"/>
      <c r="AW2945" s="23"/>
      <c r="AX2945" s="23"/>
      <c r="AY2945" s="23"/>
      <c r="AZ2945" s="23"/>
      <c r="BA2945" s="23"/>
      <c r="BB2945" s="23"/>
    </row>
    <row r="2946" spans="5:54" x14ac:dyDescent="0.35"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  <c r="AA2946" s="23"/>
      <c r="AB2946" s="23"/>
      <c r="AC2946" s="23"/>
      <c r="AD2946" s="23"/>
      <c r="AE2946" s="23"/>
      <c r="AF2946" s="23"/>
      <c r="AG2946" s="23"/>
      <c r="AH2946" s="23"/>
      <c r="AI2946" s="23"/>
      <c r="AJ2946" s="23"/>
      <c r="AK2946" s="23"/>
      <c r="AL2946" s="23"/>
      <c r="AM2946" s="23"/>
      <c r="AN2946" s="23"/>
      <c r="AO2946" s="23"/>
      <c r="AP2946" s="23"/>
      <c r="AQ2946" s="23"/>
      <c r="AR2946" s="23"/>
      <c r="AS2946" s="23"/>
      <c r="AT2946" s="23"/>
      <c r="AU2946" s="23"/>
      <c r="AV2946" s="23"/>
      <c r="AW2946" s="23"/>
      <c r="AX2946" s="23"/>
      <c r="AY2946" s="23"/>
      <c r="AZ2946" s="23"/>
      <c r="BA2946" s="23"/>
      <c r="BB2946" s="23"/>
    </row>
    <row r="2947" spans="5:54" x14ac:dyDescent="0.35"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  <c r="AA2947" s="23"/>
      <c r="AB2947" s="23"/>
      <c r="AC2947" s="23"/>
      <c r="AD2947" s="23"/>
      <c r="AE2947" s="23"/>
      <c r="AF2947" s="23"/>
      <c r="AG2947" s="23"/>
      <c r="AH2947" s="23"/>
      <c r="AI2947" s="23"/>
      <c r="AJ2947" s="23"/>
      <c r="AK2947" s="23"/>
      <c r="AL2947" s="23"/>
      <c r="AM2947" s="23"/>
      <c r="AN2947" s="23"/>
      <c r="AO2947" s="23"/>
      <c r="AP2947" s="23"/>
      <c r="AQ2947" s="23"/>
      <c r="AR2947" s="23"/>
      <c r="AS2947" s="23"/>
      <c r="AT2947" s="23"/>
      <c r="AU2947" s="23"/>
      <c r="AV2947" s="23"/>
      <c r="AW2947" s="23"/>
      <c r="AX2947" s="23"/>
      <c r="AY2947" s="23"/>
      <c r="AZ2947" s="23"/>
      <c r="BA2947" s="23"/>
      <c r="BB2947" s="23"/>
    </row>
    <row r="2948" spans="5:54" x14ac:dyDescent="0.35"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  <c r="AA2948" s="23"/>
      <c r="AB2948" s="23"/>
      <c r="AC2948" s="23"/>
      <c r="AD2948" s="23"/>
      <c r="AE2948" s="23"/>
      <c r="AF2948" s="23"/>
      <c r="AG2948" s="23"/>
      <c r="AH2948" s="23"/>
      <c r="AI2948" s="23"/>
      <c r="AJ2948" s="23"/>
      <c r="AK2948" s="23"/>
      <c r="AL2948" s="23"/>
      <c r="AM2948" s="23"/>
      <c r="AN2948" s="23"/>
      <c r="AO2948" s="23"/>
      <c r="AP2948" s="23"/>
      <c r="AQ2948" s="23"/>
      <c r="AR2948" s="23"/>
      <c r="AS2948" s="23"/>
      <c r="AT2948" s="23"/>
      <c r="AU2948" s="23"/>
      <c r="AV2948" s="23"/>
      <c r="AW2948" s="23"/>
      <c r="AX2948" s="23"/>
      <c r="AY2948" s="23"/>
      <c r="AZ2948" s="23"/>
      <c r="BA2948" s="23"/>
      <c r="BB2948" s="23"/>
    </row>
    <row r="2949" spans="5:54" x14ac:dyDescent="0.35"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  <c r="AA2949" s="23"/>
      <c r="AB2949" s="23"/>
      <c r="AC2949" s="23"/>
      <c r="AD2949" s="23"/>
      <c r="AE2949" s="23"/>
      <c r="AF2949" s="23"/>
      <c r="AG2949" s="23"/>
      <c r="AH2949" s="23"/>
      <c r="AI2949" s="23"/>
      <c r="AJ2949" s="23"/>
      <c r="AK2949" s="23"/>
      <c r="AL2949" s="23"/>
      <c r="AM2949" s="23"/>
      <c r="AN2949" s="23"/>
      <c r="AO2949" s="23"/>
      <c r="AP2949" s="23"/>
      <c r="AQ2949" s="23"/>
      <c r="AR2949" s="23"/>
      <c r="AS2949" s="23"/>
      <c r="AT2949" s="23"/>
      <c r="AU2949" s="23"/>
      <c r="AV2949" s="23"/>
      <c r="AW2949" s="23"/>
      <c r="AX2949" s="23"/>
      <c r="AY2949" s="23"/>
      <c r="AZ2949" s="23"/>
      <c r="BA2949" s="23"/>
      <c r="BB2949" s="23"/>
    </row>
    <row r="2950" spans="5:54" x14ac:dyDescent="0.35"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  <c r="AA2950" s="23"/>
      <c r="AB2950" s="23"/>
      <c r="AC2950" s="23"/>
      <c r="AD2950" s="23"/>
      <c r="AE2950" s="23"/>
      <c r="AF2950" s="23"/>
      <c r="AG2950" s="23"/>
      <c r="AH2950" s="23"/>
      <c r="AI2950" s="23"/>
      <c r="AJ2950" s="23"/>
      <c r="AK2950" s="23"/>
      <c r="AL2950" s="23"/>
      <c r="AM2950" s="23"/>
      <c r="AN2950" s="23"/>
      <c r="AO2950" s="23"/>
      <c r="AP2950" s="23"/>
      <c r="AQ2950" s="23"/>
      <c r="AR2950" s="23"/>
      <c r="AS2950" s="23"/>
      <c r="AT2950" s="23"/>
      <c r="AU2950" s="23"/>
      <c r="AV2950" s="23"/>
      <c r="AW2950" s="23"/>
      <c r="AX2950" s="23"/>
      <c r="AY2950" s="23"/>
      <c r="AZ2950" s="23"/>
      <c r="BA2950" s="23"/>
      <c r="BB2950" s="23"/>
    </row>
    <row r="2951" spans="5:54" x14ac:dyDescent="0.35"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  <c r="AA2951" s="23"/>
      <c r="AB2951" s="23"/>
      <c r="AC2951" s="23"/>
      <c r="AD2951" s="23"/>
      <c r="AE2951" s="23"/>
      <c r="AF2951" s="23"/>
      <c r="AG2951" s="23"/>
      <c r="AH2951" s="23"/>
      <c r="AI2951" s="23"/>
      <c r="AJ2951" s="23"/>
      <c r="AK2951" s="23"/>
      <c r="AL2951" s="23"/>
      <c r="AM2951" s="23"/>
      <c r="AN2951" s="23"/>
      <c r="AO2951" s="23"/>
      <c r="AP2951" s="23"/>
      <c r="AQ2951" s="23"/>
      <c r="AR2951" s="23"/>
      <c r="AS2951" s="23"/>
      <c r="AT2951" s="23"/>
      <c r="AU2951" s="23"/>
      <c r="AV2951" s="23"/>
      <c r="AW2951" s="23"/>
      <c r="AX2951" s="23"/>
      <c r="AY2951" s="23"/>
      <c r="AZ2951" s="23"/>
      <c r="BA2951" s="23"/>
      <c r="BB2951" s="23"/>
    </row>
    <row r="2952" spans="5:54" x14ac:dyDescent="0.35"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  <c r="AA2952" s="23"/>
      <c r="AB2952" s="23"/>
      <c r="AC2952" s="23"/>
      <c r="AD2952" s="23"/>
      <c r="AE2952" s="23"/>
      <c r="AF2952" s="23"/>
      <c r="AG2952" s="23"/>
      <c r="AH2952" s="23"/>
      <c r="AI2952" s="23"/>
      <c r="AJ2952" s="23"/>
      <c r="AK2952" s="23"/>
      <c r="AL2952" s="23"/>
      <c r="AM2952" s="23"/>
      <c r="AN2952" s="23"/>
      <c r="AO2952" s="23"/>
      <c r="AP2952" s="23"/>
      <c r="AQ2952" s="23"/>
      <c r="AR2952" s="23"/>
      <c r="AS2952" s="23"/>
      <c r="AT2952" s="23"/>
      <c r="AU2952" s="23"/>
      <c r="AV2952" s="23"/>
      <c r="AW2952" s="23"/>
      <c r="AX2952" s="23"/>
      <c r="AY2952" s="23"/>
      <c r="AZ2952" s="23"/>
      <c r="BA2952" s="23"/>
      <c r="BB2952" s="23"/>
    </row>
    <row r="2953" spans="5:54" x14ac:dyDescent="0.35"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  <c r="AA2953" s="23"/>
      <c r="AB2953" s="23"/>
      <c r="AC2953" s="23"/>
      <c r="AD2953" s="23"/>
      <c r="AE2953" s="23"/>
      <c r="AF2953" s="23"/>
      <c r="AG2953" s="23"/>
      <c r="AH2953" s="23"/>
      <c r="AI2953" s="23"/>
      <c r="AJ2953" s="23"/>
      <c r="AK2953" s="23"/>
      <c r="AL2953" s="23"/>
      <c r="AM2953" s="23"/>
      <c r="AN2953" s="23"/>
      <c r="AO2953" s="23"/>
      <c r="AP2953" s="23"/>
      <c r="AQ2953" s="23"/>
      <c r="AR2953" s="23"/>
      <c r="AS2953" s="23"/>
      <c r="AT2953" s="23"/>
      <c r="AU2953" s="23"/>
      <c r="AV2953" s="23"/>
      <c r="AW2953" s="23"/>
      <c r="AX2953" s="23"/>
      <c r="AY2953" s="23"/>
      <c r="AZ2953" s="23"/>
      <c r="BA2953" s="23"/>
      <c r="BB2953" s="23"/>
    </row>
    <row r="2954" spans="5:54" x14ac:dyDescent="0.35"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  <c r="AA2954" s="23"/>
      <c r="AB2954" s="23"/>
      <c r="AC2954" s="23"/>
      <c r="AD2954" s="23"/>
      <c r="AE2954" s="23"/>
      <c r="AF2954" s="23"/>
      <c r="AG2954" s="23"/>
      <c r="AH2954" s="23"/>
      <c r="AI2954" s="23"/>
      <c r="AJ2954" s="23"/>
      <c r="AK2954" s="23"/>
      <c r="AL2954" s="23"/>
      <c r="AM2954" s="23"/>
      <c r="AN2954" s="23"/>
      <c r="AO2954" s="23"/>
      <c r="AP2954" s="23"/>
      <c r="AQ2954" s="23"/>
      <c r="AR2954" s="23"/>
      <c r="AS2954" s="23"/>
      <c r="AT2954" s="23"/>
      <c r="AU2954" s="23"/>
      <c r="AV2954" s="23"/>
      <c r="AW2954" s="23"/>
      <c r="AX2954" s="23"/>
      <c r="AY2954" s="23"/>
      <c r="AZ2954" s="23"/>
      <c r="BA2954" s="23"/>
      <c r="BB2954" s="23"/>
    </row>
    <row r="2955" spans="5:54" x14ac:dyDescent="0.35"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  <c r="AA2955" s="23"/>
      <c r="AB2955" s="23"/>
      <c r="AC2955" s="23"/>
      <c r="AD2955" s="23"/>
      <c r="AE2955" s="23"/>
      <c r="AF2955" s="23"/>
      <c r="AG2955" s="23"/>
      <c r="AH2955" s="23"/>
      <c r="AI2955" s="23"/>
      <c r="AJ2955" s="23"/>
      <c r="AK2955" s="23"/>
      <c r="AL2955" s="23"/>
      <c r="AM2955" s="23"/>
      <c r="AN2955" s="23"/>
      <c r="AO2955" s="23"/>
      <c r="AP2955" s="23"/>
      <c r="AQ2955" s="23"/>
      <c r="AR2955" s="23"/>
      <c r="AS2955" s="23"/>
      <c r="AT2955" s="23"/>
      <c r="AU2955" s="23"/>
      <c r="AV2955" s="23"/>
      <c r="AW2955" s="23"/>
      <c r="AX2955" s="23"/>
      <c r="AY2955" s="23"/>
      <c r="AZ2955" s="23"/>
      <c r="BA2955" s="23"/>
      <c r="BB2955" s="23"/>
    </row>
    <row r="2956" spans="5:54" x14ac:dyDescent="0.35"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  <c r="AA2956" s="23"/>
      <c r="AB2956" s="23"/>
      <c r="AC2956" s="23"/>
      <c r="AD2956" s="23"/>
      <c r="AE2956" s="23"/>
      <c r="AF2956" s="23"/>
      <c r="AG2956" s="23"/>
      <c r="AH2956" s="23"/>
      <c r="AI2956" s="23"/>
      <c r="AJ2956" s="23"/>
      <c r="AK2956" s="23"/>
      <c r="AL2956" s="23"/>
      <c r="AM2956" s="23"/>
      <c r="AN2956" s="23"/>
      <c r="AO2956" s="23"/>
      <c r="AP2956" s="23"/>
      <c r="AQ2956" s="23"/>
      <c r="AR2956" s="23"/>
      <c r="AS2956" s="23"/>
      <c r="AT2956" s="23"/>
      <c r="AU2956" s="23"/>
      <c r="AV2956" s="23"/>
      <c r="AW2956" s="23"/>
      <c r="AX2956" s="23"/>
      <c r="AY2956" s="23"/>
      <c r="AZ2956" s="23"/>
      <c r="BA2956" s="23"/>
      <c r="BB2956" s="23"/>
    </row>
    <row r="2957" spans="5:54" x14ac:dyDescent="0.35"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  <c r="AA2957" s="23"/>
      <c r="AB2957" s="23"/>
      <c r="AC2957" s="23"/>
      <c r="AD2957" s="23"/>
      <c r="AE2957" s="23"/>
      <c r="AF2957" s="23"/>
      <c r="AG2957" s="23"/>
      <c r="AH2957" s="23"/>
      <c r="AI2957" s="23"/>
      <c r="AJ2957" s="23"/>
      <c r="AK2957" s="23"/>
      <c r="AL2957" s="23"/>
      <c r="AM2957" s="23"/>
      <c r="AN2957" s="23"/>
      <c r="AO2957" s="23"/>
      <c r="AP2957" s="23"/>
      <c r="AQ2957" s="23"/>
      <c r="AR2957" s="23"/>
      <c r="AS2957" s="23"/>
      <c r="AT2957" s="23"/>
      <c r="AU2957" s="23"/>
      <c r="AV2957" s="23"/>
      <c r="AW2957" s="23"/>
      <c r="AX2957" s="23"/>
      <c r="AY2957" s="23"/>
      <c r="AZ2957" s="23"/>
      <c r="BA2957" s="23"/>
      <c r="BB2957" s="23"/>
    </row>
    <row r="2958" spans="5:54" x14ac:dyDescent="0.35"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  <c r="AA2958" s="23"/>
      <c r="AB2958" s="23"/>
      <c r="AC2958" s="23"/>
      <c r="AD2958" s="23"/>
      <c r="AE2958" s="23"/>
      <c r="AF2958" s="23"/>
      <c r="AG2958" s="23"/>
      <c r="AH2958" s="23"/>
      <c r="AI2958" s="23"/>
      <c r="AJ2958" s="23"/>
      <c r="AK2958" s="23"/>
      <c r="AL2958" s="23"/>
      <c r="AM2958" s="23"/>
      <c r="AN2958" s="23"/>
      <c r="AO2958" s="23"/>
      <c r="AP2958" s="23"/>
      <c r="AQ2958" s="23"/>
      <c r="AR2958" s="23"/>
      <c r="AS2958" s="23"/>
      <c r="AT2958" s="23"/>
      <c r="AU2958" s="23"/>
      <c r="AV2958" s="23"/>
      <c r="AW2958" s="23"/>
      <c r="AX2958" s="23"/>
      <c r="AY2958" s="23"/>
      <c r="AZ2958" s="23"/>
      <c r="BA2958" s="23"/>
      <c r="BB2958" s="23"/>
    </row>
    <row r="2959" spans="5:54" x14ac:dyDescent="0.35"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  <c r="AA2959" s="23"/>
      <c r="AB2959" s="23"/>
      <c r="AC2959" s="23"/>
      <c r="AD2959" s="23"/>
      <c r="AE2959" s="23"/>
      <c r="AF2959" s="23"/>
      <c r="AG2959" s="23"/>
      <c r="AH2959" s="23"/>
      <c r="AI2959" s="23"/>
      <c r="AJ2959" s="23"/>
      <c r="AK2959" s="23"/>
      <c r="AL2959" s="23"/>
      <c r="AM2959" s="23"/>
      <c r="AN2959" s="23"/>
      <c r="AO2959" s="23"/>
      <c r="AP2959" s="23"/>
      <c r="AQ2959" s="23"/>
      <c r="AR2959" s="23"/>
      <c r="AS2959" s="23"/>
      <c r="AT2959" s="23"/>
      <c r="AU2959" s="23"/>
      <c r="AV2959" s="23"/>
      <c r="AW2959" s="23"/>
      <c r="AX2959" s="23"/>
      <c r="AY2959" s="23"/>
      <c r="AZ2959" s="23"/>
      <c r="BA2959" s="23"/>
      <c r="BB2959" s="23"/>
    </row>
    <row r="2960" spans="5:54" x14ac:dyDescent="0.35"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  <c r="AA2960" s="23"/>
      <c r="AB2960" s="23"/>
      <c r="AC2960" s="23"/>
      <c r="AD2960" s="23"/>
      <c r="AE2960" s="23"/>
      <c r="AF2960" s="23"/>
      <c r="AG2960" s="23"/>
      <c r="AH2960" s="23"/>
      <c r="AI2960" s="23"/>
      <c r="AJ2960" s="23"/>
      <c r="AK2960" s="23"/>
      <c r="AL2960" s="23"/>
      <c r="AM2960" s="23"/>
      <c r="AN2960" s="23"/>
      <c r="AO2960" s="23"/>
      <c r="AP2960" s="23"/>
      <c r="AQ2960" s="23"/>
      <c r="AR2960" s="23"/>
      <c r="AS2960" s="23"/>
      <c r="AT2960" s="23"/>
      <c r="AU2960" s="23"/>
      <c r="AV2960" s="23"/>
      <c r="AW2960" s="23"/>
      <c r="AX2960" s="23"/>
      <c r="AY2960" s="23"/>
      <c r="AZ2960" s="23"/>
      <c r="BA2960" s="23"/>
      <c r="BB2960" s="23"/>
    </row>
    <row r="2961" spans="5:54" x14ac:dyDescent="0.35"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  <c r="AA2961" s="23"/>
      <c r="AB2961" s="23"/>
      <c r="AC2961" s="23"/>
      <c r="AD2961" s="23"/>
      <c r="AE2961" s="23"/>
      <c r="AF2961" s="23"/>
      <c r="AG2961" s="23"/>
      <c r="AH2961" s="23"/>
      <c r="AI2961" s="23"/>
      <c r="AJ2961" s="23"/>
      <c r="AK2961" s="23"/>
      <c r="AL2961" s="23"/>
      <c r="AM2961" s="23"/>
      <c r="AN2961" s="23"/>
      <c r="AO2961" s="23"/>
      <c r="AP2961" s="23"/>
      <c r="AQ2961" s="23"/>
      <c r="AR2961" s="23"/>
      <c r="AS2961" s="23"/>
      <c r="AT2961" s="23"/>
      <c r="AU2961" s="23"/>
      <c r="AV2961" s="23"/>
      <c r="AW2961" s="23"/>
      <c r="AX2961" s="23"/>
      <c r="AY2961" s="23"/>
      <c r="AZ2961" s="23"/>
      <c r="BA2961" s="23"/>
      <c r="BB2961" s="23"/>
    </row>
    <row r="2962" spans="5:54" x14ac:dyDescent="0.35"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  <c r="AA2962" s="23"/>
      <c r="AB2962" s="23"/>
      <c r="AC2962" s="23"/>
      <c r="AD2962" s="23"/>
      <c r="AE2962" s="23"/>
      <c r="AF2962" s="23"/>
      <c r="AG2962" s="23"/>
      <c r="AH2962" s="23"/>
      <c r="AI2962" s="23"/>
      <c r="AJ2962" s="23"/>
      <c r="AK2962" s="23"/>
      <c r="AL2962" s="23"/>
      <c r="AM2962" s="23"/>
      <c r="AN2962" s="23"/>
      <c r="AO2962" s="23"/>
      <c r="AP2962" s="23"/>
      <c r="AQ2962" s="23"/>
      <c r="AR2962" s="23"/>
      <c r="AS2962" s="23"/>
      <c r="AT2962" s="23"/>
      <c r="AU2962" s="23"/>
      <c r="AV2962" s="23"/>
      <c r="AW2962" s="23"/>
      <c r="AX2962" s="23"/>
      <c r="AY2962" s="23"/>
      <c r="AZ2962" s="23"/>
      <c r="BA2962" s="23"/>
      <c r="BB2962" s="23"/>
    </row>
    <row r="2963" spans="5:54" x14ac:dyDescent="0.35"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  <c r="AA2963" s="23"/>
      <c r="AB2963" s="23"/>
      <c r="AC2963" s="23"/>
      <c r="AD2963" s="23"/>
      <c r="AE2963" s="23"/>
      <c r="AF2963" s="23"/>
      <c r="AG2963" s="23"/>
      <c r="AH2963" s="23"/>
      <c r="AI2963" s="23"/>
      <c r="AJ2963" s="23"/>
      <c r="AK2963" s="23"/>
      <c r="AL2963" s="23"/>
      <c r="AM2963" s="23"/>
      <c r="AN2963" s="23"/>
      <c r="AO2963" s="23"/>
      <c r="AP2963" s="23"/>
      <c r="AQ2963" s="23"/>
      <c r="AR2963" s="23"/>
      <c r="AS2963" s="23"/>
      <c r="AT2963" s="23"/>
      <c r="AU2963" s="23"/>
      <c r="AV2963" s="23"/>
      <c r="AW2963" s="23"/>
      <c r="AX2963" s="23"/>
      <c r="AY2963" s="23"/>
      <c r="AZ2963" s="23"/>
      <c r="BA2963" s="23"/>
      <c r="BB2963" s="23"/>
    </row>
    <row r="2964" spans="5:54" x14ac:dyDescent="0.35"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  <c r="AA2964" s="23"/>
      <c r="AB2964" s="23"/>
      <c r="AC2964" s="23"/>
      <c r="AD2964" s="23"/>
      <c r="AE2964" s="23"/>
      <c r="AF2964" s="23"/>
      <c r="AG2964" s="23"/>
      <c r="AH2964" s="23"/>
      <c r="AI2964" s="23"/>
      <c r="AJ2964" s="23"/>
      <c r="AK2964" s="23"/>
      <c r="AL2964" s="23"/>
      <c r="AM2964" s="23"/>
      <c r="AN2964" s="23"/>
      <c r="AO2964" s="23"/>
      <c r="AP2964" s="23"/>
      <c r="AQ2964" s="23"/>
      <c r="AR2964" s="23"/>
      <c r="AS2964" s="23"/>
      <c r="AT2964" s="23"/>
      <c r="AU2964" s="23"/>
      <c r="AV2964" s="23"/>
      <c r="AW2964" s="23"/>
      <c r="AX2964" s="23"/>
      <c r="AY2964" s="23"/>
      <c r="AZ2964" s="23"/>
      <c r="BA2964" s="23"/>
      <c r="BB2964" s="23"/>
    </row>
    <row r="2965" spans="5:54" x14ac:dyDescent="0.35"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  <c r="AA2965" s="23"/>
      <c r="AB2965" s="23"/>
      <c r="AC2965" s="23"/>
      <c r="AD2965" s="23"/>
      <c r="AE2965" s="23"/>
      <c r="AF2965" s="23"/>
      <c r="AG2965" s="23"/>
      <c r="AH2965" s="23"/>
      <c r="AI2965" s="23"/>
      <c r="AJ2965" s="23"/>
      <c r="AK2965" s="23"/>
      <c r="AL2965" s="23"/>
      <c r="AM2965" s="23"/>
      <c r="AN2965" s="23"/>
      <c r="AO2965" s="23"/>
      <c r="AP2965" s="23"/>
      <c r="AQ2965" s="23"/>
      <c r="AR2965" s="23"/>
      <c r="AS2965" s="23"/>
      <c r="AT2965" s="23"/>
      <c r="AU2965" s="23"/>
      <c r="AV2965" s="23"/>
      <c r="AW2965" s="23"/>
      <c r="AX2965" s="23"/>
      <c r="AY2965" s="23"/>
      <c r="AZ2965" s="23"/>
      <c r="BA2965" s="23"/>
      <c r="BB2965" s="23"/>
    </row>
    <row r="2966" spans="5:54" x14ac:dyDescent="0.35"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  <c r="AA2966" s="23"/>
      <c r="AB2966" s="23"/>
      <c r="AC2966" s="23"/>
      <c r="AD2966" s="23"/>
      <c r="AE2966" s="23"/>
      <c r="AF2966" s="23"/>
      <c r="AG2966" s="23"/>
      <c r="AH2966" s="23"/>
      <c r="AI2966" s="23"/>
      <c r="AJ2966" s="23"/>
      <c r="AK2966" s="23"/>
      <c r="AL2966" s="23"/>
      <c r="AM2966" s="23"/>
      <c r="AN2966" s="23"/>
      <c r="AO2966" s="23"/>
      <c r="AP2966" s="23"/>
      <c r="AQ2966" s="23"/>
      <c r="AR2966" s="23"/>
      <c r="AS2966" s="23"/>
      <c r="AT2966" s="23"/>
      <c r="AU2966" s="23"/>
      <c r="AV2966" s="23"/>
      <c r="AW2966" s="23"/>
      <c r="AX2966" s="23"/>
      <c r="AY2966" s="23"/>
      <c r="AZ2966" s="23"/>
      <c r="BA2966" s="23"/>
      <c r="BB2966" s="23"/>
    </row>
    <row r="2967" spans="5:54" x14ac:dyDescent="0.35"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  <c r="AA2967" s="23"/>
      <c r="AB2967" s="23"/>
      <c r="AC2967" s="23"/>
      <c r="AD2967" s="23"/>
      <c r="AE2967" s="23"/>
      <c r="AF2967" s="23"/>
      <c r="AG2967" s="23"/>
      <c r="AH2967" s="23"/>
      <c r="AI2967" s="23"/>
      <c r="AJ2967" s="23"/>
      <c r="AK2967" s="23"/>
      <c r="AL2967" s="23"/>
      <c r="AM2967" s="23"/>
      <c r="AN2967" s="23"/>
      <c r="AO2967" s="23"/>
      <c r="AP2967" s="23"/>
      <c r="AQ2967" s="23"/>
      <c r="AR2967" s="23"/>
      <c r="AS2967" s="23"/>
      <c r="AT2967" s="23"/>
      <c r="AU2967" s="23"/>
      <c r="AV2967" s="23"/>
      <c r="AW2967" s="23"/>
      <c r="AX2967" s="23"/>
      <c r="AY2967" s="23"/>
      <c r="AZ2967" s="23"/>
      <c r="BA2967" s="23"/>
      <c r="BB2967" s="23"/>
    </row>
    <row r="2968" spans="5:54" x14ac:dyDescent="0.35"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  <c r="AA2968" s="23"/>
      <c r="AB2968" s="23"/>
      <c r="AC2968" s="23"/>
      <c r="AD2968" s="23"/>
      <c r="AE2968" s="23"/>
      <c r="AF2968" s="23"/>
      <c r="AG2968" s="23"/>
      <c r="AH2968" s="23"/>
      <c r="AI2968" s="23"/>
      <c r="AJ2968" s="23"/>
      <c r="AK2968" s="23"/>
      <c r="AL2968" s="23"/>
      <c r="AM2968" s="23"/>
      <c r="AN2968" s="23"/>
      <c r="AO2968" s="23"/>
      <c r="AP2968" s="23"/>
      <c r="AQ2968" s="23"/>
      <c r="AR2968" s="23"/>
      <c r="AS2968" s="23"/>
      <c r="AT2968" s="23"/>
      <c r="AU2968" s="23"/>
      <c r="AV2968" s="23"/>
      <c r="AW2968" s="23"/>
      <c r="AX2968" s="23"/>
      <c r="AY2968" s="23"/>
      <c r="AZ2968" s="23"/>
      <c r="BA2968" s="23"/>
      <c r="BB2968" s="23"/>
    </row>
    <row r="2969" spans="5:54" x14ac:dyDescent="0.35"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  <c r="AA2969" s="23"/>
      <c r="AB2969" s="23"/>
      <c r="AC2969" s="23"/>
      <c r="AD2969" s="23"/>
      <c r="AE2969" s="23"/>
      <c r="AF2969" s="23"/>
      <c r="AG2969" s="23"/>
      <c r="AH2969" s="23"/>
      <c r="AI2969" s="23"/>
      <c r="AJ2969" s="23"/>
      <c r="AK2969" s="23"/>
      <c r="AL2969" s="23"/>
      <c r="AM2969" s="23"/>
      <c r="AN2969" s="23"/>
      <c r="AO2969" s="23"/>
      <c r="AP2969" s="23"/>
      <c r="AQ2969" s="23"/>
      <c r="AR2969" s="23"/>
      <c r="AS2969" s="23"/>
      <c r="AT2969" s="23"/>
      <c r="AU2969" s="23"/>
      <c r="AV2969" s="23"/>
      <c r="AW2969" s="23"/>
      <c r="AX2969" s="23"/>
      <c r="AY2969" s="23"/>
      <c r="AZ2969" s="23"/>
      <c r="BA2969" s="23"/>
      <c r="BB2969" s="23"/>
    </row>
    <row r="2970" spans="5:54" x14ac:dyDescent="0.35"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  <c r="AA2970" s="23"/>
      <c r="AB2970" s="23"/>
      <c r="AC2970" s="23"/>
      <c r="AD2970" s="23"/>
      <c r="AE2970" s="23"/>
      <c r="AF2970" s="23"/>
      <c r="AG2970" s="23"/>
      <c r="AH2970" s="23"/>
      <c r="AI2970" s="23"/>
      <c r="AJ2970" s="23"/>
      <c r="AK2970" s="23"/>
      <c r="AL2970" s="23"/>
      <c r="AM2970" s="23"/>
      <c r="AN2970" s="23"/>
      <c r="AO2970" s="23"/>
      <c r="AP2970" s="23"/>
      <c r="AQ2970" s="23"/>
      <c r="AR2970" s="23"/>
      <c r="AS2970" s="23"/>
      <c r="AT2970" s="23"/>
      <c r="AU2970" s="23"/>
      <c r="AV2970" s="23"/>
      <c r="AW2970" s="23"/>
      <c r="AX2970" s="23"/>
      <c r="AY2970" s="23"/>
      <c r="AZ2970" s="23"/>
      <c r="BA2970" s="23"/>
      <c r="BB2970" s="23"/>
    </row>
    <row r="2971" spans="5:54" x14ac:dyDescent="0.35"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  <c r="AA2971" s="23"/>
      <c r="AB2971" s="23"/>
      <c r="AC2971" s="23"/>
      <c r="AD2971" s="23"/>
      <c r="AE2971" s="23"/>
      <c r="AF2971" s="23"/>
      <c r="AG2971" s="23"/>
      <c r="AH2971" s="23"/>
      <c r="AI2971" s="23"/>
      <c r="AJ2971" s="23"/>
      <c r="AK2971" s="23"/>
      <c r="AL2971" s="23"/>
      <c r="AM2971" s="23"/>
      <c r="AN2971" s="23"/>
      <c r="AO2971" s="23"/>
      <c r="AP2971" s="23"/>
      <c r="AQ2971" s="23"/>
      <c r="AR2971" s="23"/>
      <c r="AS2971" s="23"/>
      <c r="AT2971" s="23"/>
      <c r="AU2971" s="23"/>
      <c r="AV2971" s="23"/>
      <c r="AW2971" s="23"/>
      <c r="AX2971" s="23"/>
      <c r="AY2971" s="23"/>
      <c r="AZ2971" s="23"/>
      <c r="BA2971" s="23"/>
      <c r="BB2971" s="23"/>
    </row>
    <row r="2972" spans="5:54" x14ac:dyDescent="0.35"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  <c r="AA2972" s="23"/>
      <c r="AB2972" s="23"/>
      <c r="AC2972" s="23"/>
      <c r="AD2972" s="23"/>
      <c r="AE2972" s="23"/>
      <c r="AF2972" s="23"/>
      <c r="AG2972" s="23"/>
      <c r="AH2972" s="23"/>
      <c r="AI2972" s="23"/>
      <c r="AJ2972" s="23"/>
      <c r="AK2972" s="23"/>
      <c r="AL2972" s="23"/>
      <c r="AM2972" s="23"/>
      <c r="AN2972" s="23"/>
      <c r="AO2972" s="23"/>
      <c r="AP2972" s="23"/>
      <c r="AQ2972" s="23"/>
      <c r="AR2972" s="23"/>
      <c r="AS2972" s="23"/>
      <c r="AT2972" s="23"/>
      <c r="AU2972" s="23"/>
      <c r="AV2972" s="23"/>
      <c r="AW2972" s="23"/>
      <c r="AX2972" s="23"/>
      <c r="AY2972" s="23"/>
      <c r="AZ2972" s="23"/>
      <c r="BA2972" s="23"/>
      <c r="BB2972" s="23"/>
    </row>
    <row r="2973" spans="5:54" x14ac:dyDescent="0.35"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  <c r="AA2973" s="23"/>
      <c r="AB2973" s="23"/>
      <c r="AC2973" s="23"/>
      <c r="AD2973" s="23"/>
      <c r="AE2973" s="23"/>
      <c r="AF2973" s="23"/>
      <c r="AG2973" s="23"/>
      <c r="AH2973" s="23"/>
      <c r="AI2973" s="23"/>
      <c r="AJ2973" s="23"/>
      <c r="AK2973" s="23"/>
      <c r="AL2973" s="23"/>
      <c r="AM2973" s="23"/>
      <c r="AN2973" s="23"/>
      <c r="AO2973" s="23"/>
      <c r="AP2973" s="23"/>
      <c r="AQ2973" s="23"/>
      <c r="AR2973" s="23"/>
      <c r="AS2973" s="23"/>
      <c r="AT2973" s="23"/>
      <c r="AU2973" s="23"/>
      <c r="AV2973" s="23"/>
      <c r="AW2973" s="23"/>
      <c r="AX2973" s="23"/>
      <c r="AY2973" s="23"/>
      <c r="AZ2973" s="23"/>
      <c r="BA2973" s="23"/>
      <c r="BB2973" s="23"/>
    </row>
    <row r="2974" spans="5:54" x14ac:dyDescent="0.35"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  <c r="AA2974" s="23"/>
      <c r="AB2974" s="23"/>
      <c r="AC2974" s="23"/>
      <c r="AD2974" s="23"/>
      <c r="AE2974" s="23"/>
      <c r="AF2974" s="23"/>
      <c r="AG2974" s="23"/>
      <c r="AH2974" s="23"/>
      <c r="AI2974" s="23"/>
      <c r="AJ2974" s="23"/>
      <c r="AK2974" s="23"/>
      <c r="AL2974" s="23"/>
      <c r="AM2974" s="23"/>
      <c r="AN2974" s="23"/>
      <c r="AO2974" s="23"/>
      <c r="AP2974" s="23"/>
      <c r="AQ2974" s="23"/>
      <c r="AR2974" s="23"/>
      <c r="AS2974" s="23"/>
      <c r="AT2974" s="23"/>
      <c r="AU2974" s="23"/>
      <c r="AV2974" s="23"/>
      <c r="AW2974" s="23"/>
      <c r="AX2974" s="23"/>
      <c r="AY2974" s="23"/>
      <c r="AZ2974" s="23"/>
      <c r="BA2974" s="23"/>
      <c r="BB2974" s="23"/>
    </row>
    <row r="2975" spans="5:54" x14ac:dyDescent="0.35"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  <c r="AA2975" s="23"/>
      <c r="AB2975" s="23"/>
      <c r="AC2975" s="23"/>
      <c r="AD2975" s="23"/>
      <c r="AE2975" s="23"/>
      <c r="AF2975" s="23"/>
      <c r="AG2975" s="23"/>
      <c r="AH2975" s="23"/>
      <c r="AI2975" s="23"/>
      <c r="AJ2975" s="23"/>
      <c r="AK2975" s="23"/>
      <c r="AL2975" s="23"/>
      <c r="AM2975" s="23"/>
      <c r="AN2975" s="23"/>
      <c r="AO2975" s="23"/>
      <c r="AP2975" s="23"/>
      <c r="AQ2975" s="23"/>
      <c r="AR2975" s="23"/>
      <c r="AS2975" s="23"/>
      <c r="AT2975" s="23"/>
      <c r="AU2975" s="23"/>
      <c r="AV2975" s="23"/>
      <c r="AW2975" s="23"/>
      <c r="AX2975" s="23"/>
      <c r="AY2975" s="23"/>
      <c r="AZ2975" s="23"/>
      <c r="BA2975" s="23"/>
      <c r="BB2975" s="23"/>
    </row>
    <row r="2976" spans="5:54" x14ac:dyDescent="0.35"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  <c r="AA2976" s="23"/>
      <c r="AB2976" s="23"/>
      <c r="AC2976" s="23"/>
      <c r="AD2976" s="23"/>
      <c r="AE2976" s="23"/>
      <c r="AF2976" s="23"/>
      <c r="AG2976" s="23"/>
      <c r="AH2976" s="23"/>
      <c r="AI2976" s="23"/>
      <c r="AJ2976" s="23"/>
      <c r="AK2976" s="23"/>
      <c r="AL2976" s="23"/>
      <c r="AM2976" s="23"/>
      <c r="AN2976" s="23"/>
      <c r="AO2976" s="23"/>
      <c r="AP2976" s="23"/>
      <c r="AQ2976" s="23"/>
      <c r="AR2976" s="23"/>
      <c r="AS2976" s="23"/>
      <c r="AT2976" s="23"/>
      <c r="AU2976" s="23"/>
      <c r="AV2976" s="23"/>
      <c r="AW2976" s="23"/>
      <c r="AX2976" s="23"/>
      <c r="AY2976" s="23"/>
      <c r="AZ2976" s="23"/>
      <c r="BA2976" s="23"/>
      <c r="BB2976" s="23"/>
    </row>
    <row r="2977" spans="5:54" x14ac:dyDescent="0.35"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  <c r="AA2977" s="23"/>
      <c r="AB2977" s="23"/>
      <c r="AC2977" s="23"/>
      <c r="AD2977" s="23"/>
      <c r="AE2977" s="23"/>
      <c r="AF2977" s="23"/>
      <c r="AG2977" s="23"/>
      <c r="AH2977" s="23"/>
      <c r="AI2977" s="23"/>
      <c r="AJ2977" s="23"/>
      <c r="AK2977" s="23"/>
      <c r="AL2977" s="23"/>
      <c r="AM2977" s="23"/>
      <c r="AN2977" s="23"/>
      <c r="AO2977" s="23"/>
      <c r="AP2977" s="23"/>
      <c r="AQ2977" s="23"/>
      <c r="AR2977" s="23"/>
      <c r="AS2977" s="23"/>
      <c r="AT2977" s="23"/>
      <c r="AU2977" s="23"/>
      <c r="AV2977" s="23"/>
      <c r="AW2977" s="23"/>
      <c r="AX2977" s="23"/>
      <c r="AY2977" s="23"/>
      <c r="AZ2977" s="23"/>
      <c r="BA2977" s="23"/>
      <c r="BB2977" s="23"/>
    </row>
    <row r="2978" spans="5:54" x14ac:dyDescent="0.35"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  <c r="AA2978" s="23"/>
      <c r="AB2978" s="23"/>
      <c r="AC2978" s="23"/>
      <c r="AD2978" s="23"/>
      <c r="AE2978" s="23"/>
      <c r="AF2978" s="23"/>
      <c r="AG2978" s="23"/>
      <c r="AH2978" s="23"/>
      <c r="AI2978" s="23"/>
      <c r="AJ2978" s="23"/>
      <c r="AK2978" s="23"/>
      <c r="AL2978" s="23"/>
      <c r="AM2978" s="23"/>
      <c r="AN2978" s="23"/>
      <c r="AO2978" s="23"/>
      <c r="AP2978" s="23"/>
      <c r="AQ2978" s="23"/>
      <c r="AR2978" s="23"/>
      <c r="AS2978" s="23"/>
      <c r="AT2978" s="23"/>
      <c r="AU2978" s="23"/>
      <c r="AV2978" s="23"/>
      <c r="AW2978" s="23"/>
      <c r="AX2978" s="23"/>
      <c r="AY2978" s="23"/>
      <c r="AZ2978" s="23"/>
      <c r="BA2978" s="23"/>
      <c r="BB2978" s="23"/>
    </row>
    <row r="2979" spans="5:54" x14ac:dyDescent="0.35"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  <c r="AA2979" s="23"/>
      <c r="AB2979" s="23"/>
      <c r="AC2979" s="23"/>
      <c r="AD2979" s="23"/>
      <c r="AE2979" s="23"/>
      <c r="AF2979" s="23"/>
      <c r="AG2979" s="23"/>
      <c r="AH2979" s="23"/>
      <c r="AI2979" s="23"/>
      <c r="AJ2979" s="23"/>
      <c r="AK2979" s="23"/>
      <c r="AL2979" s="23"/>
      <c r="AM2979" s="23"/>
      <c r="AN2979" s="23"/>
      <c r="AO2979" s="23"/>
      <c r="AP2979" s="23"/>
      <c r="AQ2979" s="23"/>
      <c r="AR2979" s="23"/>
      <c r="AS2979" s="23"/>
      <c r="AT2979" s="23"/>
      <c r="AU2979" s="23"/>
      <c r="AV2979" s="23"/>
      <c r="AW2979" s="23"/>
      <c r="AX2979" s="23"/>
      <c r="AY2979" s="23"/>
      <c r="AZ2979" s="23"/>
      <c r="BA2979" s="23"/>
      <c r="BB2979" s="23"/>
    </row>
    <row r="2980" spans="5:54" x14ac:dyDescent="0.35"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  <c r="AA2980" s="23"/>
      <c r="AB2980" s="23"/>
      <c r="AC2980" s="23"/>
      <c r="AD2980" s="23"/>
      <c r="AE2980" s="23"/>
      <c r="AF2980" s="23"/>
      <c r="AG2980" s="23"/>
      <c r="AH2980" s="23"/>
      <c r="AI2980" s="23"/>
      <c r="AJ2980" s="23"/>
      <c r="AK2980" s="23"/>
      <c r="AL2980" s="23"/>
      <c r="AM2980" s="23"/>
      <c r="AN2980" s="23"/>
      <c r="AO2980" s="23"/>
      <c r="AP2980" s="23"/>
      <c r="AQ2980" s="23"/>
      <c r="AR2980" s="23"/>
      <c r="AS2980" s="23"/>
      <c r="AT2980" s="23"/>
      <c r="AU2980" s="23"/>
      <c r="AV2980" s="23"/>
      <c r="AW2980" s="23"/>
      <c r="AX2980" s="23"/>
      <c r="AY2980" s="23"/>
      <c r="AZ2980" s="23"/>
      <c r="BA2980" s="23"/>
      <c r="BB2980" s="23"/>
    </row>
    <row r="2981" spans="5:54" x14ac:dyDescent="0.35"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  <c r="AA2981" s="23"/>
      <c r="AB2981" s="23"/>
      <c r="AC2981" s="23"/>
      <c r="AD2981" s="23"/>
      <c r="AE2981" s="23"/>
      <c r="AF2981" s="23"/>
      <c r="AG2981" s="23"/>
      <c r="AH2981" s="23"/>
      <c r="AI2981" s="23"/>
      <c r="AJ2981" s="23"/>
      <c r="AK2981" s="23"/>
      <c r="AL2981" s="23"/>
      <c r="AM2981" s="23"/>
      <c r="AN2981" s="23"/>
      <c r="AO2981" s="23"/>
      <c r="AP2981" s="23"/>
      <c r="AQ2981" s="23"/>
      <c r="AR2981" s="23"/>
      <c r="AS2981" s="23"/>
      <c r="AT2981" s="23"/>
      <c r="AU2981" s="23"/>
      <c r="AV2981" s="23"/>
      <c r="AW2981" s="23"/>
      <c r="AX2981" s="23"/>
      <c r="AY2981" s="23"/>
      <c r="AZ2981" s="23"/>
      <c r="BA2981" s="23"/>
      <c r="BB2981" s="23"/>
    </row>
    <row r="2982" spans="5:54" x14ac:dyDescent="0.35"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  <c r="AA2982" s="23"/>
      <c r="AB2982" s="23"/>
      <c r="AC2982" s="23"/>
      <c r="AD2982" s="23"/>
      <c r="AE2982" s="23"/>
      <c r="AF2982" s="23"/>
      <c r="AG2982" s="23"/>
      <c r="AH2982" s="23"/>
      <c r="AI2982" s="23"/>
      <c r="AJ2982" s="23"/>
      <c r="AK2982" s="23"/>
      <c r="AL2982" s="23"/>
      <c r="AM2982" s="23"/>
      <c r="AN2982" s="23"/>
      <c r="AO2982" s="23"/>
      <c r="AP2982" s="23"/>
      <c r="AQ2982" s="23"/>
      <c r="AR2982" s="23"/>
      <c r="AS2982" s="23"/>
      <c r="AT2982" s="23"/>
      <c r="AU2982" s="23"/>
      <c r="AV2982" s="23"/>
      <c r="AW2982" s="23"/>
      <c r="AX2982" s="23"/>
      <c r="AY2982" s="23"/>
      <c r="AZ2982" s="23"/>
      <c r="BA2982" s="23"/>
      <c r="BB2982" s="23"/>
    </row>
    <row r="2983" spans="5:54" x14ac:dyDescent="0.35"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  <c r="AA2983" s="23"/>
      <c r="AB2983" s="23"/>
      <c r="AC2983" s="23"/>
      <c r="AD2983" s="23"/>
      <c r="AE2983" s="23"/>
      <c r="AF2983" s="23"/>
      <c r="AG2983" s="23"/>
      <c r="AH2983" s="23"/>
      <c r="AI2983" s="23"/>
      <c r="AJ2983" s="23"/>
      <c r="AK2983" s="23"/>
      <c r="AL2983" s="23"/>
      <c r="AM2983" s="23"/>
      <c r="AN2983" s="23"/>
      <c r="AO2983" s="23"/>
      <c r="AP2983" s="23"/>
      <c r="AQ2983" s="23"/>
      <c r="AR2983" s="23"/>
      <c r="AS2983" s="23"/>
      <c r="AT2983" s="23"/>
      <c r="AU2983" s="23"/>
      <c r="AV2983" s="23"/>
      <c r="AW2983" s="23"/>
      <c r="AX2983" s="23"/>
      <c r="AY2983" s="23"/>
      <c r="AZ2983" s="23"/>
      <c r="BA2983" s="23"/>
      <c r="BB2983" s="23"/>
    </row>
    <row r="2984" spans="5:54" x14ac:dyDescent="0.35"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  <c r="AA2984" s="23"/>
      <c r="AB2984" s="23"/>
      <c r="AC2984" s="23"/>
      <c r="AD2984" s="23"/>
      <c r="AE2984" s="23"/>
      <c r="AF2984" s="23"/>
      <c r="AG2984" s="23"/>
      <c r="AH2984" s="23"/>
      <c r="AI2984" s="23"/>
      <c r="AJ2984" s="23"/>
      <c r="AK2984" s="23"/>
      <c r="AL2984" s="23"/>
      <c r="AM2984" s="23"/>
      <c r="AN2984" s="23"/>
      <c r="AO2984" s="23"/>
      <c r="AP2984" s="23"/>
      <c r="AQ2984" s="23"/>
      <c r="AR2984" s="23"/>
      <c r="AS2984" s="23"/>
      <c r="AT2984" s="23"/>
      <c r="AU2984" s="23"/>
      <c r="AV2984" s="23"/>
      <c r="AW2984" s="23"/>
      <c r="AX2984" s="23"/>
      <c r="AY2984" s="23"/>
      <c r="AZ2984" s="23"/>
      <c r="BA2984" s="23"/>
      <c r="BB2984" s="23"/>
    </row>
    <row r="2985" spans="5:54" x14ac:dyDescent="0.35"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  <c r="AA2985" s="23"/>
      <c r="AB2985" s="23"/>
      <c r="AC2985" s="23"/>
      <c r="AD2985" s="23"/>
      <c r="AE2985" s="23"/>
      <c r="AF2985" s="23"/>
      <c r="AG2985" s="23"/>
      <c r="AH2985" s="23"/>
      <c r="AI2985" s="23"/>
      <c r="AJ2985" s="23"/>
      <c r="AK2985" s="23"/>
      <c r="AL2985" s="23"/>
      <c r="AM2985" s="23"/>
      <c r="AN2985" s="23"/>
      <c r="AO2985" s="23"/>
      <c r="AP2985" s="23"/>
      <c r="AQ2985" s="23"/>
      <c r="AR2985" s="23"/>
      <c r="AS2985" s="23"/>
      <c r="AT2985" s="23"/>
      <c r="AU2985" s="23"/>
      <c r="AV2985" s="23"/>
      <c r="AW2985" s="23"/>
      <c r="AX2985" s="23"/>
      <c r="AY2985" s="23"/>
      <c r="AZ2985" s="23"/>
      <c r="BA2985" s="23"/>
      <c r="BB2985" s="23"/>
    </row>
    <row r="2986" spans="5:54" x14ac:dyDescent="0.35"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  <c r="AA2986" s="23"/>
      <c r="AB2986" s="23"/>
      <c r="AC2986" s="23"/>
      <c r="AD2986" s="23"/>
      <c r="AE2986" s="23"/>
      <c r="AF2986" s="23"/>
      <c r="AG2986" s="23"/>
      <c r="AH2986" s="23"/>
      <c r="AI2986" s="23"/>
      <c r="AJ2986" s="23"/>
      <c r="AK2986" s="23"/>
      <c r="AL2986" s="23"/>
      <c r="AM2986" s="23"/>
      <c r="AN2986" s="23"/>
      <c r="AO2986" s="23"/>
      <c r="AP2986" s="23"/>
      <c r="AQ2986" s="23"/>
      <c r="AR2986" s="23"/>
      <c r="AS2986" s="23"/>
      <c r="AT2986" s="23"/>
      <c r="AU2986" s="23"/>
      <c r="AV2986" s="23"/>
      <c r="AW2986" s="23"/>
      <c r="AX2986" s="23"/>
      <c r="AY2986" s="23"/>
      <c r="AZ2986" s="23"/>
      <c r="BA2986" s="23"/>
      <c r="BB2986" s="23"/>
    </row>
    <row r="2987" spans="5:54" x14ac:dyDescent="0.35"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  <c r="AA2987" s="23"/>
      <c r="AB2987" s="23"/>
      <c r="AC2987" s="23"/>
      <c r="AD2987" s="23"/>
      <c r="AE2987" s="23"/>
      <c r="AF2987" s="23"/>
      <c r="AG2987" s="23"/>
      <c r="AH2987" s="23"/>
      <c r="AI2987" s="23"/>
      <c r="AJ2987" s="23"/>
      <c r="AK2987" s="23"/>
      <c r="AL2987" s="23"/>
      <c r="AM2987" s="23"/>
      <c r="AN2987" s="23"/>
      <c r="AO2987" s="23"/>
      <c r="AP2987" s="23"/>
      <c r="AQ2987" s="23"/>
      <c r="AR2987" s="23"/>
      <c r="AS2987" s="23"/>
      <c r="AT2987" s="23"/>
      <c r="AU2987" s="23"/>
      <c r="AV2987" s="23"/>
      <c r="AW2987" s="23"/>
      <c r="AX2987" s="23"/>
      <c r="AY2987" s="23"/>
      <c r="AZ2987" s="23"/>
      <c r="BA2987" s="23"/>
      <c r="BB2987" s="23"/>
    </row>
    <row r="2988" spans="5:54" x14ac:dyDescent="0.35"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  <c r="AA2988" s="23"/>
      <c r="AB2988" s="23"/>
      <c r="AC2988" s="23"/>
      <c r="AD2988" s="23"/>
      <c r="AE2988" s="23"/>
      <c r="AF2988" s="23"/>
      <c r="AG2988" s="23"/>
      <c r="AH2988" s="23"/>
      <c r="AI2988" s="23"/>
      <c r="AJ2988" s="23"/>
      <c r="AK2988" s="23"/>
      <c r="AL2988" s="23"/>
      <c r="AM2988" s="23"/>
      <c r="AN2988" s="23"/>
      <c r="AO2988" s="23"/>
      <c r="AP2988" s="23"/>
      <c r="AQ2988" s="23"/>
      <c r="AR2988" s="23"/>
      <c r="AS2988" s="23"/>
      <c r="AT2988" s="23"/>
      <c r="AU2988" s="23"/>
      <c r="AV2988" s="23"/>
      <c r="AW2988" s="23"/>
      <c r="AX2988" s="23"/>
      <c r="AY2988" s="23"/>
      <c r="AZ2988" s="23"/>
      <c r="BA2988" s="23"/>
      <c r="BB2988" s="23"/>
    </row>
    <row r="2989" spans="5:54" x14ac:dyDescent="0.35"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  <c r="AA2989" s="23"/>
      <c r="AB2989" s="23"/>
      <c r="AC2989" s="23"/>
      <c r="AD2989" s="23"/>
      <c r="AE2989" s="23"/>
      <c r="AF2989" s="23"/>
      <c r="AG2989" s="23"/>
      <c r="AH2989" s="23"/>
      <c r="AI2989" s="23"/>
      <c r="AJ2989" s="23"/>
      <c r="AK2989" s="23"/>
      <c r="AL2989" s="23"/>
      <c r="AM2989" s="23"/>
      <c r="AN2989" s="23"/>
      <c r="AO2989" s="23"/>
      <c r="AP2989" s="23"/>
      <c r="AQ2989" s="23"/>
      <c r="AR2989" s="23"/>
      <c r="AS2989" s="23"/>
      <c r="AT2989" s="23"/>
      <c r="AU2989" s="23"/>
      <c r="AV2989" s="23"/>
      <c r="AW2989" s="23"/>
      <c r="AX2989" s="23"/>
      <c r="AY2989" s="23"/>
      <c r="AZ2989" s="23"/>
      <c r="BA2989" s="23"/>
      <c r="BB2989" s="23"/>
    </row>
    <row r="2990" spans="5:54" x14ac:dyDescent="0.35"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  <c r="AA2990" s="23"/>
      <c r="AB2990" s="23"/>
      <c r="AC2990" s="23"/>
      <c r="AD2990" s="23"/>
      <c r="AE2990" s="23"/>
      <c r="AF2990" s="23"/>
      <c r="AG2990" s="23"/>
      <c r="AH2990" s="23"/>
      <c r="AI2990" s="23"/>
      <c r="AJ2990" s="23"/>
      <c r="AK2990" s="23"/>
      <c r="AL2990" s="23"/>
      <c r="AM2990" s="23"/>
      <c r="AN2990" s="23"/>
      <c r="AO2990" s="23"/>
      <c r="AP2990" s="23"/>
      <c r="AQ2990" s="23"/>
      <c r="AR2990" s="23"/>
      <c r="AS2990" s="23"/>
      <c r="AT2990" s="23"/>
      <c r="AU2990" s="23"/>
      <c r="AV2990" s="23"/>
      <c r="AW2990" s="23"/>
      <c r="AX2990" s="23"/>
      <c r="AY2990" s="23"/>
      <c r="AZ2990" s="23"/>
      <c r="BA2990" s="23"/>
      <c r="BB2990" s="23"/>
    </row>
    <row r="2991" spans="5:54" x14ac:dyDescent="0.35"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  <c r="AA2991" s="23"/>
      <c r="AB2991" s="23"/>
      <c r="AC2991" s="23"/>
      <c r="AD2991" s="23"/>
      <c r="AE2991" s="23"/>
      <c r="AF2991" s="23"/>
      <c r="AG2991" s="23"/>
      <c r="AH2991" s="23"/>
      <c r="AI2991" s="23"/>
      <c r="AJ2991" s="23"/>
      <c r="AK2991" s="23"/>
      <c r="AL2991" s="23"/>
      <c r="AM2991" s="23"/>
      <c r="AN2991" s="23"/>
      <c r="AO2991" s="23"/>
      <c r="AP2991" s="23"/>
      <c r="AQ2991" s="23"/>
      <c r="AR2991" s="23"/>
      <c r="AS2991" s="23"/>
      <c r="AT2991" s="23"/>
      <c r="AU2991" s="23"/>
      <c r="AV2991" s="23"/>
      <c r="AW2991" s="23"/>
      <c r="AX2991" s="23"/>
      <c r="AY2991" s="23"/>
      <c r="AZ2991" s="23"/>
      <c r="BA2991" s="23"/>
      <c r="BB2991" s="23"/>
    </row>
    <row r="2992" spans="5:54" x14ac:dyDescent="0.35"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  <c r="AA2992" s="23"/>
      <c r="AB2992" s="23"/>
      <c r="AC2992" s="23"/>
      <c r="AD2992" s="23"/>
      <c r="AE2992" s="23"/>
      <c r="AF2992" s="23"/>
      <c r="AG2992" s="23"/>
      <c r="AH2992" s="23"/>
      <c r="AI2992" s="23"/>
      <c r="AJ2992" s="23"/>
      <c r="AK2992" s="23"/>
      <c r="AL2992" s="23"/>
      <c r="AM2992" s="23"/>
      <c r="AN2992" s="23"/>
      <c r="AO2992" s="23"/>
      <c r="AP2992" s="23"/>
      <c r="AQ2992" s="23"/>
      <c r="AR2992" s="23"/>
      <c r="AS2992" s="23"/>
      <c r="AT2992" s="23"/>
      <c r="AU2992" s="23"/>
      <c r="AV2992" s="23"/>
      <c r="AW2992" s="23"/>
      <c r="AX2992" s="23"/>
      <c r="AY2992" s="23"/>
      <c r="AZ2992" s="23"/>
      <c r="BA2992" s="23"/>
      <c r="BB2992" s="23"/>
    </row>
    <row r="2993" spans="5:54" x14ac:dyDescent="0.35"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  <c r="AA2993" s="23"/>
      <c r="AB2993" s="23"/>
      <c r="AC2993" s="23"/>
      <c r="AD2993" s="23"/>
      <c r="AE2993" s="23"/>
      <c r="AF2993" s="23"/>
      <c r="AG2993" s="23"/>
      <c r="AH2993" s="23"/>
      <c r="AI2993" s="23"/>
      <c r="AJ2993" s="23"/>
      <c r="AK2993" s="23"/>
      <c r="AL2993" s="23"/>
      <c r="AM2993" s="23"/>
      <c r="AN2993" s="23"/>
      <c r="AO2993" s="23"/>
      <c r="AP2993" s="23"/>
      <c r="AQ2993" s="23"/>
      <c r="AR2993" s="23"/>
      <c r="AS2993" s="23"/>
      <c r="AT2993" s="23"/>
      <c r="AU2993" s="23"/>
      <c r="AV2993" s="23"/>
      <c r="AW2993" s="23"/>
      <c r="AX2993" s="23"/>
      <c r="AY2993" s="23"/>
      <c r="AZ2993" s="23"/>
      <c r="BA2993" s="23"/>
      <c r="BB2993" s="23"/>
    </row>
    <row r="2994" spans="5:54" x14ac:dyDescent="0.35"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  <c r="AA2994" s="23"/>
      <c r="AB2994" s="23"/>
      <c r="AC2994" s="23"/>
      <c r="AD2994" s="23"/>
      <c r="AE2994" s="23"/>
      <c r="AF2994" s="23"/>
      <c r="AG2994" s="23"/>
      <c r="AH2994" s="23"/>
      <c r="AI2994" s="23"/>
      <c r="AJ2994" s="23"/>
      <c r="AK2994" s="23"/>
      <c r="AL2994" s="23"/>
      <c r="AM2994" s="23"/>
      <c r="AN2994" s="23"/>
      <c r="AO2994" s="23"/>
      <c r="AP2994" s="23"/>
      <c r="AQ2994" s="23"/>
      <c r="AR2994" s="23"/>
      <c r="AS2994" s="23"/>
      <c r="AT2994" s="23"/>
      <c r="AU2994" s="23"/>
      <c r="AV2994" s="23"/>
      <c r="AW2994" s="23"/>
      <c r="AX2994" s="23"/>
      <c r="AY2994" s="23"/>
      <c r="AZ2994" s="23"/>
      <c r="BA2994" s="23"/>
      <c r="BB2994" s="23"/>
    </row>
    <row r="2995" spans="5:54" x14ac:dyDescent="0.35"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  <c r="AA2995" s="23"/>
      <c r="AB2995" s="23"/>
      <c r="AC2995" s="23"/>
      <c r="AD2995" s="23"/>
      <c r="AE2995" s="23"/>
      <c r="AF2995" s="23"/>
      <c r="AG2995" s="23"/>
      <c r="AH2995" s="23"/>
      <c r="AI2995" s="23"/>
      <c r="AJ2995" s="23"/>
      <c r="AK2995" s="23"/>
      <c r="AL2995" s="23"/>
      <c r="AM2995" s="23"/>
      <c r="AN2995" s="23"/>
      <c r="AO2995" s="23"/>
      <c r="AP2995" s="23"/>
      <c r="AQ2995" s="23"/>
      <c r="AR2995" s="23"/>
      <c r="AS2995" s="23"/>
      <c r="AT2995" s="23"/>
      <c r="AU2995" s="23"/>
      <c r="AV2995" s="23"/>
      <c r="AW2995" s="23"/>
      <c r="AX2995" s="23"/>
      <c r="AY2995" s="23"/>
      <c r="AZ2995" s="23"/>
      <c r="BA2995" s="23"/>
      <c r="BB2995" s="23"/>
    </row>
    <row r="2996" spans="5:54" x14ac:dyDescent="0.35"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  <c r="AA2996" s="23"/>
      <c r="AB2996" s="23"/>
      <c r="AC2996" s="23"/>
      <c r="AD2996" s="23"/>
      <c r="AE2996" s="23"/>
      <c r="AF2996" s="23"/>
      <c r="AG2996" s="23"/>
      <c r="AH2996" s="23"/>
      <c r="AI2996" s="23"/>
      <c r="AJ2996" s="23"/>
      <c r="AK2996" s="23"/>
      <c r="AL2996" s="23"/>
      <c r="AM2996" s="23"/>
      <c r="AN2996" s="23"/>
      <c r="AO2996" s="23"/>
      <c r="AP2996" s="23"/>
      <c r="AQ2996" s="23"/>
      <c r="AR2996" s="23"/>
      <c r="AS2996" s="23"/>
      <c r="AT2996" s="23"/>
      <c r="AU2996" s="23"/>
      <c r="AV2996" s="23"/>
      <c r="AW2996" s="23"/>
      <c r="AX2996" s="23"/>
      <c r="AY2996" s="23"/>
      <c r="AZ2996" s="23"/>
      <c r="BA2996" s="23"/>
      <c r="BB2996" s="23"/>
    </row>
    <row r="2997" spans="5:54" x14ac:dyDescent="0.35"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  <c r="AA2997" s="23"/>
      <c r="AB2997" s="23"/>
      <c r="AC2997" s="23"/>
      <c r="AD2997" s="23"/>
      <c r="AE2997" s="23"/>
      <c r="AF2997" s="23"/>
      <c r="AG2997" s="23"/>
      <c r="AH2997" s="23"/>
      <c r="AI2997" s="23"/>
      <c r="AJ2997" s="23"/>
      <c r="AK2997" s="23"/>
      <c r="AL2997" s="23"/>
      <c r="AM2997" s="23"/>
      <c r="AN2997" s="23"/>
      <c r="AO2997" s="23"/>
      <c r="AP2997" s="23"/>
      <c r="AQ2997" s="23"/>
      <c r="AR2997" s="23"/>
      <c r="AS2997" s="23"/>
      <c r="AT2997" s="23"/>
      <c r="AU2997" s="23"/>
      <c r="AV2997" s="23"/>
      <c r="AW2997" s="23"/>
      <c r="AX2997" s="23"/>
      <c r="AY2997" s="23"/>
      <c r="AZ2997" s="23"/>
      <c r="BA2997" s="23"/>
      <c r="BB2997" s="23"/>
    </row>
    <row r="2998" spans="5:54" x14ac:dyDescent="0.35"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  <c r="AA2998" s="23"/>
      <c r="AB2998" s="23"/>
      <c r="AC2998" s="23"/>
      <c r="AD2998" s="23"/>
      <c r="AE2998" s="23"/>
      <c r="AF2998" s="23"/>
      <c r="AG2998" s="23"/>
      <c r="AH2998" s="23"/>
      <c r="AI2998" s="23"/>
      <c r="AJ2998" s="23"/>
      <c r="AK2998" s="23"/>
      <c r="AL2998" s="23"/>
      <c r="AM2998" s="23"/>
      <c r="AN2998" s="23"/>
      <c r="AO2998" s="23"/>
      <c r="AP2998" s="23"/>
      <c r="AQ2998" s="23"/>
      <c r="AR2998" s="23"/>
      <c r="AS2998" s="23"/>
      <c r="AT2998" s="23"/>
      <c r="AU2998" s="23"/>
      <c r="AV2998" s="23"/>
      <c r="AW2998" s="23"/>
      <c r="AX2998" s="23"/>
      <c r="AY2998" s="23"/>
      <c r="AZ2998" s="23"/>
      <c r="BA2998" s="23"/>
      <c r="BB2998" s="23"/>
    </row>
    <row r="2999" spans="5:54" x14ac:dyDescent="0.35"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  <c r="AA2999" s="23"/>
      <c r="AB2999" s="23"/>
      <c r="AC2999" s="23"/>
      <c r="AD2999" s="23"/>
      <c r="AE2999" s="23"/>
      <c r="AF2999" s="23"/>
      <c r="AG2999" s="23"/>
      <c r="AH2999" s="23"/>
      <c r="AI2999" s="23"/>
      <c r="AJ2999" s="23"/>
      <c r="AK2999" s="23"/>
      <c r="AL2999" s="23"/>
      <c r="AM2999" s="23"/>
      <c r="AN2999" s="23"/>
      <c r="AO2999" s="23"/>
      <c r="AP2999" s="23"/>
      <c r="AQ2999" s="23"/>
      <c r="AR2999" s="23"/>
      <c r="AS2999" s="23"/>
      <c r="AT2999" s="23"/>
      <c r="AU2999" s="23"/>
      <c r="AV2999" s="23"/>
      <c r="AW2999" s="23"/>
      <c r="AX2999" s="23"/>
      <c r="AY2999" s="23"/>
      <c r="AZ2999" s="23"/>
      <c r="BA2999" s="23"/>
      <c r="BB2999" s="23"/>
    </row>
    <row r="3000" spans="5:54" x14ac:dyDescent="0.35"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  <c r="AA3000" s="23"/>
      <c r="AB3000" s="23"/>
      <c r="AC3000" s="23"/>
      <c r="AD3000" s="23"/>
      <c r="AE3000" s="23"/>
      <c r="AF3000" s="23"/>
      <c r="AG3000" s="23"/>
      <c r="AH3000" s="23"/>
      <c r="AI3000" s="23"/>
      <c r="AJ3000" s="23"/>
      <c r="AK3000" s="23"/>
      <c r="AL3000" s="23"/>
      <c r="AM3000" s="23"/>
      <c r="AN3000" s="23"/>
      <c r="AO3000" s="23"/>
      <c r="AP3000" s="23"/>
      <c r="AQ3000" s="23"/>
      <c r="AR3000" s="23"/>
      <c r="AS3000" s="23"/>
      <c r="AT3000" s="23"/>
      <c r="AU3000" s="23"/>
      <c r="AV3000" s="23"/>
      <c r="AW3000" s="23"/>
      <c r="AX3000" s="23"/>
      <c r="AY3000" s="23"/>
      <c r="AZ3000" s="23"/>
      <c r="BA3000" s="23"/>
      <c r="BB3000" s="23"/>
    </row>
  </sheetData>
  <conditionalFormatting sqref="E37">
    <cfRule type="cellIs" dxfId="9" priority="4" operator="notEqual">
      <formula>1</formula>
    </cfRule>
  </conditionalFormatting>
  <conditionalFormatting sqref="F37">
    <cfRule type="cellIs" dxfId="8" priority="3" operator="greaterThan">
      <formula>1</formula>
    </cfRule>
  </conditionalFormatting>
  <conditionalFormatting sqref="E28">
    <cfRule type="cellIs" dxfId="7" priority="2" operator="notEqual">
      <formula>1</formula>
    </cfRule>
  </conditionalFormatting>
  <conditionalFormatting sqref="F28">
    <cfRule type="cellIs" dxfId="6" priority="1" operator="greaterThan">
      <formula>1</formula>
    </cfRule>
  </conditionalFormatting>
  <conditionalFormatting sqref="E5:E27 E31:E36 E38:E46 E29">
    <cfRule type="cellIs" dxfId="5" priority="10" operator="notEqual">
      <formula>1</formula>
    </cfRule>
  </conditionalFormatting>
  <conditionalFormatting sqref="F5:F27 F31:F36 F38:F46 F29">
    <cfRule type="cellIs" dxfId="4" priority="9" operator="greaterThan">
      <formula>1</formula>
    </cfRule>
  </conditionalFormatting>
  <conditionalFormatting sqref="E4">
    <cfRule type="cellIs" dxfId="3" priority="8" operator="notEqual">
      <formula>1</formula>
    </cfRule>
  </conditionalFormatting>
  <conditionalFormatting sqref="F4">
    <cfRule type="cellIs" dxfId="2" priority="7" operator="greaterThan">
      <formula>1</formula>
    </cfRule>
  </conditionalFormatting>
  <conditionalFormatting sqref="E30">
    <cfRule type="cellIs" dxfId="1" priority="6" operator="notEqual">
      <formula>1</formula>
    </cfRule>
  </conditionalFormatting>
  <conditionalFormatting sqref="F30">
    <cfRule type="cellIs" dxfId="0" priority="5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119"/>
  <sheetViews>
    <sheetView workbookViewId="0">
      <selection sqref="A1:XFD1"/>
    </sheetView>
  </sheetViews>
  <sheetFormatPr defaultRowHeight="14.5" x14ac:dyDescent="0.35"/>
  <cols>
    <col min="2" max="2" width="8.7265625" style="18"/>
    <col min="4" max="4" width="8.7265625" style="23"/>
    <col min="10" max="10" width="8.7265625" style="23"/>
    <col min="12" max="12" width="8.7265625" style="23"/>
  </cols>
  <sheetData>
    <row r="1" spans="1:13" x14ac:dyDescent="0.35">
      <c r="A1" s="11" t="s">
        <v>203</v>
      </c>
      <c r="B1" s="11" t="s">
        <v>204</v>
      </c>
      <c r="C1" s="11" t="s">
        <v>205</v>
      </c>
      <c r="D1" s="11" t="s">
        <v>17</v>
      </c>
      <c r="E1" s="11" t="s">
        <v>16</v>
      </c>
      <c r="F1" s="11" t="s">
        <v>190</v>
      </c>
      <c r="G1" s="11" t="s">
        <v>30</v>
      </c>
      <c r="H1" s="11" t="s">
        <v>188</v>
      </c>
      <c r="I1" s="11" t="s">
        <v>266</v>
      </c>
      <c r="J1" s="11" t="s">
        <v>269</v>
      </c>
      <c r="K1" s="11" t="s">
        <v>270</v>
      </c>
      <c r="L1" s="11" t="s">
        <v>288</v>
      </c>
      <c r="M1" s="11" t="s">
        <v>289</v>
      </c>
    </row>
    <row r="2" spans="1:13" x14ac:dyDescent="0.35">
      <c r="A2">
        <v>1</v>
      </c>
      <c r="B2" s="18">
        <v>44044</v>
      </c>
      <c r="C2" t="s">
        <v>34</v>
      </c>
      <c r="D2" s="23">
        <v>90.12</v>
      </c>
      <c r="E2" t="s">
        <v>290</v>
      </c>
      <c r="F2" t="s">
        <v>180</v>
      </c>
      <c r="G2" t="s">
        <v>214</v>
      </c>
      <c r="H2" t="s">
        <v>403</v>
      </c>
      <c r="I2" t="s">
        <v>272</v>
      </c>
      <c r="J2" s="23">
        <v>-90.12</v>
      </c>
      <c r="K2" s="22">
        <v>90.12</v>
      </c>
      <c r="M2" t="s">
        <v>267</v>
      </c>
    </row>
    <row r="3" spans="1:13" x14ac:dyDescent="0.35">
      <c r="A3">
        <v>1</v>
      </c>
      <c r="B3" s="18">
        <v>44044</v>
      </c>
      <c r="C3" t="s">
        <v>34</v>
      </c>
      <c r="D3" s="23">
        <v>26.92</v>
      </c>
      <c r="E3" t="s">
        <v>290</v>
      </c>
      <c r="F3" t="s">
        <v>221</v>
      </c>
      <c r="G3" t="s">
        <v>82</v>
      </c>
      <c r="H3" t="s">
        <v>403</v>
      </c>
      <c r="I3" t="s">
        <v>272</v>
      </c>
      <c r="J3" s="23">
        <v>-26.92</v>
      </c>
      <c r="K3" s="22">
        <v>26.92</v>
      </c>
    </row>
    <row r="4" spans="1:13" x14ac:dyDescent="0.35">
      <c r="A4">
        <v>1</v>
      </c>
      <c r="B4" s="18">
        <v>44044</v>
      </c>
      <c r="C4" t="s">
        <v>169</v>
      </c>
      <c r="D4" s="23">
        <v>38.5</v>
      </c>
      <c r="E4" t="s">
        <v>291</v>
      </c>
      <c r="F4" t="s">
        <v>180</v>
      </c>
      <c r="G4" t="s">
        <v>214</v>
      </c>
      <c r="H4" t="s">
        <v>403</v>
      </c>
      <c r="I4" t="s">
        <v>275</v>
      </c>
      <c r="J4" s="23">
        <v>38.5</v>
      </c>
      <c r="K4" s="22">
        <v>38.5</v>
      </c>
      <c r="M4" t="s">
        <v>267</v>
      </c>
    </row>
    <row r="5" spans="1:13" x14ac:dyDescent="0.35">
      <c r="A5">
        <v>1</v>
      </c>
      <c r="B5" s="18">
        <v>44044</v>
      </c>
      <c r="C5" t="s">
        <v>169</v>
      </c>
      <c r="D5" s="23">
        <v>11.5</v>
      </c>
      <c r="E5" t="s">
        <v>291</v>
      </c>
      <c r="F5" t="s">
        <v>221</v>
      </c>
      <c r="G5" t="s">
        <v>82</v>
      </c>
      <c r="H5" t="s">
        <v>403</v>
      </c>
      <c r="I5" t="s">
        <v>275</v>
      </c>
      <c r="J5" s="23">
        <v>11.5</v>
      </c>
      <c r="K5" s="22">
        <v>11.5</v>
      </c>
    </row>
    <row r="6" spans="1:13" x14ac:dyDescent="0.35">
      <c r="A6">
        <v>1</v>
      </c>
      <c r="B6" s="18">
        <v>44044</v>
      </c>
      <c r="C6" t="s">
        <v>169</v>
      </c>
      <c r="D6" s="23">
        <v>225.23</v>
      </c>
      <c r="E6" t="s">
        <v>292</v>
      </c>
      <c r="F6" t="s">
        <v>180</v>
      </c>
      <c r="G6" t="s">
        <v>214</v>
      </c>
      <c r="H6" t="s">
        <v>403</v>
      </c>
      <c r="I6" t="s">
        <v>276</v>
      </c>
      <c r="J6" s="23">
        <v>225.23</v>
      </c>
      <c r="K6" s="22">
        <v>225.23</v>
      </c>
      <c r="M6" t="s">
        <v>267</v>
      </c>
    </row>
    <row r="7" spans="1:13" x14ac:dyDescent="0.35">
      <c r="A7">
        <v>1</v>
      </c>
      <c r="B7" s="18">
        <v>44044</v>
      </c>
      <c r="C7" t="s">
        <v>169</v>
      </c>
      <c r="D7" s="23">
        <v>67.28</v>
      </c>
      <c r="E7" t="s">
        <v>292</v>
      </c>
      <c r="F7" t="s">
        <v>221</v>
      </c>
      <c r="G7" t="s">
        <v>82</v>
      </c>
      <c r="H7" t="s">
        <v>403</v>
      </c>
      <c r="I7" t="s">
        <v>276</v>
      </c>
      <c r="J7" s="23">
        <v>67.28</v>
      </c>
      <c r="K7" s="22">
        <v>67.28</v>
      </c>
    </row>
    <row r="8" spans="1:13" x14ac:dyDescent="0.35">
      <c r="A8">
        <v>1</v>
      </c>
      <c r="B8" s="18">
        <v>44044</v>
      </c>
      <c r="C8" t="s">
        <v>169</v>
      </c>
      <c r="D8" s="23">
        <v>688.79</v>
      </c>
      <c r="E8" t="s">
        <v>293</v>
      </c>
      <c r="F8" t="s">
        <v>180</v>
      </c>
      <c r="G8" t="s">
        <v>214</v>
      </c>
      <c r="H8" t="s">
        <v>403</v>
      </c>
      <c r="I8" t="s">
        <v>277</v>
      </c>
      <c r="J8" s="23">
        <v>688.79</v>
      </c>
      <c r="K8" s="22">
        <v>688.79</v>
      </c>
      <c r="M8" t="s">
        <v>267</v>
      </c>
    </row>
    <row r="9" spans="1:13" x14ac:dyDescent="0.35">
      <c r="A9">
        <v>1</v>
      </c>
      <c r="B9" s="18">
        <v>44044</v>
      </c>
      <c r="C9" t="s">
        <v>169</v>
      </c>
      <c r="D9" s="23">
        <v>205.74</v>
      </c>
      <c r="E9" t="s">
        <v>293</v>
      </c>
      <c r="F9" t="s">
        <v>221</v>
      </c>
      <c r="G9" t="s">
        <v>82</v>
      </c>
      <c r="H9" t="s">
        <v>403</v>
      </c>
      <c r="I9" t="s">
        <v>277</v>
      </c>
      <c r="J9" s="23">
        <v>205.74</v>
      </c>
      <c r="K9" s="22">
        <v>205.74</v>
      </c>
    </row>
    <row r="10" spans="1:13" x14ac:dyDescent="0.35">
      <c r="A10">
        <v>1</v>
      </c>
      <c r="B10" s="18">
        <v>44044</v>
      </c>
      <c r="C10" t="s">
        <v>34</v>
      </c>
      <c r="D10" s="23">
        <v>862.4</v>
      </c>
      <c r="E10" t="s">
        <v>439</v>
      </c>
      <c r="F10" t="s">
        <v>180</v>
      </c>
      <c r="G10" t="s">
        <v>214</v>
      </c>
      <c r="H10" t="s">
        <v>403</v>
      </c>
      <c r="I10" t="s">
        <v>278</v>
      </c>
      <c r="J10" s="23">
        <v>-862.4</v>
      </c>
      <c r="K10" s="22">
        <v>862.4</v>
      </c>
      <c r="M10" t="s">
        <v>267</v>
      </c>
    </row>
    <row r="11" spans="1:13" x14ac:dyDescent="0.35">
      <c r="A11">
        <v>1</v>
      </c>
      <c r="B11" s="18">
        <v>44044</v>
      </c>
      <c r="C11" t="s">
        <v>34</v>
      </c>
      <c r="D11" s="23">
        <v>257.60000000000002</v>
      </c>
      <c r="E11" t="s">
        <v>439</v>
      </c>
      <c r="F11" t="s">
        <v>221</v>
      </c>
      <c r="G11" t="s">
        <v>82</v>
      </c>
      <c r="H11" t="s">
        <v>403</v>
      </c>
      <c r="I11" t="s">
        <v>278</v>
      </c>
      <c r="J11" s="23">
        <v>-257.60000000000002</v>
      </c>
      <c r="K11" s="22">
        <v>257.60000000000002</v>
      </c>
    </row>
    <row r="12" spans="1:13" x14ac:dyDescent="0.35">
      <c r="A12">
        <v>1</v>
      </c>
      <c r="B12" s="18">
        <v>44044</v>
      </c>
      <c r="C12" t="s">
        <v>169</v>
      </c>
      <c r="D12" s="23">
        <v>225.23</v>
      </c>
      <c r="E12" t="s">
        <v>293</v>
      </c>
      <c r="F12" t="s">
        <v>180</v>
      </c>
      <c r="G12" t="s">
        <v>214</v>
      </c>
      <c r="H12" t="s">
        <v>403</v>
      </c>
      <c r="I12" t="s">
        <v>279</v>
      </c>
      <c r="J12" s="23">
        <v>225.23</v>
      </c>
      <c r="K12" s="22">
        <v>225.23</v>
      </c>
      <c r="M12" t="s">
        <v>267</v>
      </c>
    </row>
    <row r="13" spans="1:13" x14ac:dyDescent="0.35">
      <c r="A13">
        <v>1</v>
      </c>
      <c r="B13" s="18">
        <v>44044</v>
      </c>
      <c r="C13" t="s">
        <v>169</v>
      </c>
      <c r="D13" s="23">
        <v>67.28</v>
      </c>
      <c r="E13" t="s">
        <v>293</v>
      </c>
      <c r="F13" t="s">
        <v>221</v>
      </c>
      <c r="G13" t="s">
        <v>82</v>
      </c>
      <c r="H13" t="s">
        <v>403</v>
      </c>
      <c r="I13" t="s">
        <v>279</v>
      </c>
      <c r="J13" s="23">
        <v>67.28</v>
      </c>
      <c r="K13" s="22">
        <v>67.28</v>
      </c>
    </row>
    <row r="14" spans="1:13" x14ac:dyDescent="0.35">
      <c r="A14">
        <v>1</v>
      </c>
      <c r="B14" s="18">
        <v>44044</v>
      </c>
      <c r="C14" t="s">
        <v>34</v>
      </c>
      <c r="D14" s="23">
        <v>225.23</v>
      </c>
      <c r="E14" t="s">
        <v>292</v>
      </c>
      <c r="F14" t="s">
        <v>180</v>
      </c>
      <c r="G14" t="s">
        <v>214</v>
      </c>
      <c r="H14" t="s">
        <v>403</v>
      </c>
      <c r="I14" t="s">
        <v>280</v>
      </c>
      <c r="J14" s="23">
        <v>-225.23</v>
      </c>
      <c r="K14" s="22">
        <v>225.23</v>
      </c>
      <c r="M14" t="s">
        <v>267</v>
      </c>
    </row>
    <row r="15" spans="1:13" x14ac:dyDescent="0.35">
      <c r="A15">
        <v>1</v>
      </c>
      <c r="B15" s="18">
        <v>44044</v>
      </c>
      <c r="C15" t="s">
        <v>34</v>
      </c>
      <c r="D15" s="23">
        <v>67.28</v>
      </c>
      <c r="E15" t="s">
        <v>292</v>
      </c>
      <c r="F15" t="s">
        <v>221</v>
      </c>
      <c r="G15" t="s">
        <v>82</v>
      </c>
      <c r="H15" t="s">
        <v>403</v>
      </c>
      <c r="I15" t="s">
        <v>280</v>
      </c>
      <c r="J15" s="23">
        <v>-67.28</v>
      </c>
      <c r="K15" s="22">
        <v>67.28</v>
      </c>
    </row>
    <row r="16" spans="1:13" x14ac:dyDescent="0.35">
      <c r="A16">
        <v>1</v>
      </c>
      <c r="B16" s="18">
        <v>44044</v>
      </c>
      <c r="C16" t="s">
        <v>34</v>
      </c>
      <c r="D16" s="23">
        <v>127.1</v>
      </c>
      <c r="E16" t="s">
        <v>290</v>
      </c>
      <c r="F16" t="s">
        <v>222</v>
      </c>
      <c r="G16" t="s">
        <v>82</v>
      </c>
      <c r="H16" t="s">
        <v>404</v>
      </c>
      <c r="I16" t="s">
        <v>281</v>
      </c>
      <c r="J16" s="23">
        <v>-127.1</v>
      </c>
      <c r="K16" s="22">
        <v>127.1</v>
      </c>
      <c r="M16" t="s">
        <v>267</v>
      </c>
    </row>
    <row r="17" spans="1:13" x14ac:dyDescent="0.35">
      <c r="A17">
        <v>1</v>
      </c>
      <c r="B17" s="18">
        <v>44044</v>
      </c>
      <c r="C17" t="s">
        <v>169</v>
      </c>
      <c r="D17" s="23">
        <v>156.81</v>
      </c>
      <c r="E17" t="s">
        <v>291</v>
      </c>
      <c r="F17" t="s">
        <v>222</v>
      </c>
      <c r="G17" t="s">
        <v>82</v>
      </c>
      <c r="H17" t="s">
        <v>404</v>
      </c>
      <c r="I17" t="s">
        <v>282</v>
      </c>
      <c r="J17" s="23">
        <v>156.81</v>
      </c>
      <c r="K17" s="22">
        <v>156.81</v>
      </c>
      <c r="M17" t="s">
        <v>267</v>
      </c>
    </row>
    <row r="18" spans="1:13" x14ac:dyDescent="0.35">
      <c r="A18">
        <v>1</v>
      </c>
      <c r="B18" s="18">
        <v>44044</v>
      </c>
      <c r="C18" t="s">
        <v>169</v>
      </c>
      <c r="D18" s="23">
        <v>263.94</v>
      </c>
      <c r="E18" t="s">
        <v>292</v>
      </c>
      <c r="F18" t="s">
        <v>222</v>
      </c>
      <c r="G18" t="s">
        <v>82</v>
      </c>
      <c r="H18" t="s">
        <v>404</v>
      </c>
      <c r="I18" t="s">
        <v>283</v>
      </c>
      <c r="J18" s="23">
        <v>263.94</v>
      </c>
      <c r="K18" s="22">
        <v>263.94</v>
      </c>
      <c r="M18" t="s">
        <v>267</v>
      </c>
    </row>
    <row r="19" spans="1:13" x14ac:dyDescent="0.35">
      <c r="A19">
        <v>1</v>
      </c>
      <c r="B19" s="18">
        <v>44044</v>
      </c>
      <c r="C19" t="s">
        <v>169</v>
      </c>
      <c r="D19" s="23">
        <v>989.06</v>
      </c>
      <c r="E19" t="s">
        <v>293</v>
      </c>
      <c r="F19" t="s">
        <v>222</v>
      </c>
      <c r="G19" t="s">
        <v>82</v>
      </c>
      <c r="H19" t="s">
        <v>404</v>
      </c>
      <c r="I19" t="s">
        <v>284</v>
      </c>
      <c r="J19" s="23">
        <v>989.06</v>
      </c>
      <c r="K19" s="22">
        <v>989.06</v>
      </c>
      <c r="M19" t="s">
        <v>267</v>
      </c>
    </row>
    <row r="20" spans="1:13" x14ac:dyDescent="0.35">
      <c r="A20">
        <v>1</v>
      </c>
      <c r="B20" s="18">
        <v>44044</v>
      </c>
      <c r="C20" t="s">
        <v>34</v>
      </c>
      <c r="D20" s="23">
        <v>1282.71</v>
      </c>
      <c r="E20" t="s">
        <v>67</v>
      </c>
      <c r="F20" t="s">
        <v>222</v>
      </c>
      <c r="G20" t="s">
        <v>82</v>
      </c>
      <c r="H20" t="s">
        <v>404</v>
      </c>
      <c r="I20" t="s">
        <v>285</v>
      </c>
      <c r="J20" s="23">
        <v>-1282.71</v>
      </c>
      <c r="K20" s="22">
        <v>1282.71</v>
      </c>
      <c r="M20" t="s">
        <v>267</v>
      </c>
    </row>
    <row r="21" spans="1:13" x14ac:dyDescent="0.35">
      <c r="A21">
        <v>1</v>
      </c>
      <c r="B21" s="18">
        <v>44044</v>
      </c>
      <c r="C21" t="s">
        <v>169</v>
      </c>
      <c r="D21" s="23">
        <v>263.94</v>
      </c>
      <c r="E21" t="s">
        <v>293</v>
      </c>
      <c r="F21" t="s">
        <v>222</v>
      </c>
      <c r="G21" t="s">
        <v>82</v>
      </c>
      <c r="H21" t="s">
        <v>404</v>
      </c>
      <c r="I21" t="s">
        <v>286</v>
      </c>
      <c r="J21" s="23">
        <v>263.94</v>
      </c>
      <c r="K21" s="22">
        <v>263.94</v>
      </c>
      <c r="M21" t="s">
        <v>267</v>
      </c>
    </row>
    <row r="22" spans="1:13" x14ac:dyDescent="0.35">
      <c r="A22">
        <v>1</v>
      </c>
      <c r="B22" s="18">
        <v>44044</v>
      </c>
      <c r="C22" t="s">
        <v>34</v>
      </c>
      <c r="D22" s="23">
        <v>263.94</v>
      </c>
      <c r="E22" t="s">
        <v>292</v>
      </c>
      <c r="F22" t="s">
        <v>222</v>
      </c>
      <c r="G22" t="s">
        <v>82</v>
      </c>
      <c r="H22" t="s">
        <v>404</v>
      </c>
      <c r="I22" t="s">
        <v>287</v>
      </c>
      <c r="J22" s="23">
        <v>-263.94</v>
      </c>
      <c r="K22" s="22">
        <v>263.94</v>
      </c>
      <c r="M22" t="s">
        <v>267</v>
      </c>
    </row>
    <row r="23" spans="1:13" x14ac:dyDescent="0.35">
      <c r="A23">
        <v>1</v>
      </c>
      <c r="B23" s="18">
        <v>44044</v>
      </c>
      <c r="C23" t="s">
        <v>34</v>
      </c>
      <c r="D23" s="23">
        <v>132.44999999999999</v>
      </c>
      <c r="E23" t="s">
        <v>290</v>
      </c>
      <c r="F23" t="s">
        <v>180</v>
      </c>
      <c r="G23" t="s">
        <v>214</v>
      </c>
      <c r="H23" t="s">
        <v>405</v>
      </c>
      <c r="I23" t="s">
        <v>326</v>
      </c>
      <c r="J23" s="23">
        <v>-132.44999999999999</v>
      </c>
      <c r="K23" s="22">
        <v>132.44999999999999</v>
      </c>
      <c r="M23" t="s">
        <v>267</v>
      </c>
    </row>
    <row r="24" spans="1:13" x14ac:dyDescent="0.35">
      <c r="A24">
        <v>1</v>
      </c>
      <c r="B24" s="18">
        <v>44044</v>
      </c>
      <c r="C24" t="s">
        <v>169</v>
      </c>
      <c r="D24" s="23">
        <v>109.32</v>
      </c>
      <c r="E24" t="s">
        <v>291</v>
      </c>
      <c r="F24" t="s">
        <v>180</v>
      </c>
      <c r="G24" t="s">
        <v>214</v>
      </c>
      <c r="H24" t="s">
        <v>405</v>
      </c>
      <c r="I24" t="s">
        <v>327</v>
      </c>
      <c r="J24" s="23">
        <v>109.32</v>
      </c>
      <c r="K24" s="22">
        <v>109.32</v>
      </c>
      <c r="M24" t="s">
        <v>267</v>
      </c>
    </row>
    <row r="25" spans="1:13" x14ac:dyDescent="0.35">
      <c r="A25">
        <v>1</v>
      </c>
      <c r="B25" s="18">
        <v>44044</v>
      </c>
      <c r="C25" t="s">
        <v>169</v>
      </c>
      <c r="D25" s="23">
        <v>323.44</v>
      </c>
      <c r="E25" t="s">
        <v>292</v>
      </c>
      <c r="F25" t="s">
        <v>180</v>
      </c>
      <c r="G25" t="s">
        <v>214</v>
      </c>
      <c r="H25" t="s">
        <v>405</v>
      </c>
      <c r="I25" t="s">
        <v>328</v>
      </c>
      <c r="J25" s="23">
        <v>323.44</v>
      </c>
      <c r="K25" s="22">
        <v>323.44</v>
      </c>
      <c r="M25" t="s">
        <v>267</v>
      </c>
    </row>
    <row r="26" spans="1:13" x14ac:dyDescent="0.35">
      <c r="A26">
        <v>1</v>
      </c>
      <c r="B26" s="18">
        <v>44044</v>
      </c>
      <c r="C26" t="s">
        <v>169</v>
      </c>
      <c r="D26" s="23">
        <v>1047.17</v>
      </c>
      <c r="E26" t="s">
        <v>293</v>
      </c>
      <c r="F26" t="s">
        <v>180</v>
      </c>
      <c r="G26" t="s">
        <v>214</v>
      </c>
      <c r="H26" t="s">
        <v>405</v>
      </c>
      <c r="I26" t="s">
        <v>329</v>
      </c>
      <c r="J26" s="23">
        <v>1047.17</v>
      </c>
      <c r="K26" s="22">
        <v>1047.17</v>
      </c>
      <c r="M26" t="s">
        <v>267</v>
      </c>
    </row>
    <row r="27" spans="1:13" x14ac:dyDescent="0.35">
      <c r="A27">
        <v>1</v>
      </c>
      <c r="B27" s="18">
        <v>44044</v>
      </c>
      <c r="C27" t="s">
        <v>34</v>
      </c>
      <c r="D27" s="23">
        <v>1347.48</v>
      </c>
      <c r="E27" t="s">
        <v>443</v>
      </c>
      <c r="F27" t="s">
        <v>180</v>
      </c>
      <c r="G27" t="s">
        <v>214</v>
      </c>
      <c r="H27" t="s">
        <v>405</v>
      </c>
      <c r="I27" t="s">
        <v>330</v>
      </c>
      <c r="J27" s="23">
        <v>-1347.48</v>
      </c>
      <c r="K27" s="22">
        <v>1347.48</v>
      </c>
      <c r="M27" t="s">
        <v>267</v>
      </c>
    </row>
    <row r="28" spans="1:13" x14ac:dyDescent="0.35">
      <c r="A28">
        <v>1</v>
      </c>
      <c r="B28" s="18">
        <v>44044</v>
      </c>
      <c r="C28" t="s">
        <v>169</v>
      </c>
      <c r="D28" s="23">
        <v>323.44</v>
      </c>
      <c r="E28" t="s">
        <v>293</v>
      </c>
      <c r="F28" t="s">
        <v>180</v>
      </c>
      <c r="G28" t="s">
        <v>214</v>
      </c>
      <c r="H28" t="s">
        <v>405</v>
      </c>
      <c r="I28" t="s">
        <v>331</v>
      </c>
      <c r="J28" s="23">
        <v>323.44</v>
      </c>
      <c r="K28" s="22">
        <v>323.44</v>
      </c>
      <c r="M28" t="s">
        <v>267</v>
      </c>
    </row>
    <row r="29" spans="1:13" x14ac:dyDescent="0.35">
      <c r="A29">
        <v>1</v>
      </c>
      <c r="B29" s="18">
        <v>44044</v>
      </c>
      <c r="C29" t="s">
        <v>34</v>
      </c>
      <c r="D29" s="23">
        <v>323.44</v>
      </c>
      <c r="E29" t="s">
        <v>292</v>
      </c>
      <c r="F29" t="s">
        <v>180</v>
      </c>
      <c r="G29" t="s">
        <v>214</v>
      </c>
      <c r="H29" t="s">
        <v>405</v>
      </c>
      <c r="I29" t="s">
        <v>332</v>
      </c>
      <c r="J29" s="23">
        <v>-323.44</v>
      </c>
      <c r="K29" s="22">
        <v>323.44</v>
      </c>
      <c r="M29" t="s">
        <v>267</v>
      </c>
    </row>
    <row r="30" spans="1:13" x14ac:dyDescent="0.35">
      <c r="A30">
        <v>1</v>
      </c>
      <c r="B30" s="18">
        <v>44044</v>
      </c>
      <c r="C30" t="s">
        <v>34</v>
      </c>
      <c r="D30" s="23">
        <v>55.27</v>
      </c>
      <c r="E30" t="s">
        <v>290</v>
      </c>
      <c r="F30" t="s">
        <v>1004</v>
      </c>
      <c r="G30" t="s">
        <v>82</v>
      </c>
      <c r="H30" t="s">
        <v>406</v>
      </c>
      <c r="I30" t="s">
        <v>333</v>
      </c>
      <c r="J30" s="23">
        <v>-55.27</v>
      </c>
      <c r="K30" s="22">
        <v>55.27</v>
      </c>
      <c r="M30" t="s">
        <v>267</v>
      </c>
    </row>
    <row r="31" spans="1:13" x14ac:dyDescent="0.35">
      <c r="A31">
        <v>1</v>
      </c>
      <c r="B31" s="18">
        <v>44044</v>
      </c>
      <c r="C31" t="s">
        <v>169</v>
      </c>
      <c r="D31" s="23">
        <v>145.62</v>
      </c>
      <c r="E31" t="s">
        <v>292</v>
      </c>
      <c r="F31" t="s">
        <v>1004</v>
      </c>
      <c r="G31" t="s">
        <v>82</v>
      </c>
      <c r="H31" t="s">
        <v>406</v>
      </c>
      <c r="I31" t="s">
        <v>334</v>
      </c>
      <c r="J31" s="23">
        <v>145.62</v>
      </c>
      <c r="K31" s="22">
        <v>145.62</v>
      </c>
      <c r="M31" t="s">
        <v>267</v>
      </c>
    </row>
    <row r="32" spans="1:13" x14ac:dyDescent="0.35">
      <c r="A32">
        <v>1</v>
      </c>
      <c r="B32" s="18">
        <v>44044</v>
      </c>
      <c r="C32" t="s">
        <v>169</v>
      </c>
      <c r="D32" s="23">
        <v>438.53</v>
      </c>
      <c r="E32" t="s">
        <v>293</v>
      </c>
      <c r="F32" t="s">
        <v>1004</v>
      </c>
      <c r="G32" t="s">
        <v>82</v>
      </c>
      <c r="H32" t="s">
        <v>406</v>
      </c>
      <c r="I32" t="s">
        <v>335</v>
      </c>
      <c r="J32" s="23">
        <v>438.53</v>
      </c>
      <c r="K32" s="22">
        <v>438.53</v>
      </c>
      <c r="M32" t="s">
        <v>267</v>
      </c>
    </row>
    <row r="33" spans="1:13" x14ac:dyDescent="0.35">
      <c r="A33">
        <v>1</v>
      </c>
      <c r="B33" s="18">
        <v>44044</v>
      </c>
      <c r="C33" t="s">
        <v>34</v>
      </c>
      <c r="D33" s="23">
        <v>528.88</v>
      </c>
      <c r="E33" t="s">
        <v>442</v>
      </c>
      <c r="F33" t="s">
        <v>1004</v>
      </c>
      <c r="G33" t="s">
        <v>82</v>
      </c>
      <c r="H33" t="s">
        <v>406</v>
      </c>
      <c r="I33" t="s">
        <v>336</v>
      </c>
      <c r="J33" s="23">
        <v>-528.88</v>
      </c>
      <c r="K33" s="22">
        <v>528.88</v>
      </c>
      <c r="M33" t="s">
        <v>267</v>
      </c>
    </row>
    <row r="34" spans="1:13" x14ac:dyDescent="0.35">
      <c r="A34">
        <v>1</v>
      </c>
      <c r="B34" s="18">
        <v>44044</v>
      </c>
      <c r="C34" t="s">
        <v>169</v>
      </c>
      <c r="D34" s="23">
        <v>145.62</v>
      </c>
      <c r="E34" t="s">
        <v>293</v>
      </c>
      <c r="F34" t="s">
        <v>1004</v>
      </c>
      <c r="G34" t="s">
        <v>82</v>
      </c>
      <c r="H34" t="s">
        <v>406</v>
      </c>
      <c r="I34" t="s">
        <v>337</v>
      </c>
      <c r="J34" s="23">
        <v>145.62</v>
      </c>
      <c r="K34" s="22">
        <v>145.62</v>
      </c>
      <c r="M34" t="s">
        <v>267</v>
      </c>
    </row>
    <row r="35" spans="1:13" x14ac:dyDescent="0.35">
      <c r="A35">
        <v>1</v>
      </c>
      <c r="B35" s="18">
        <v>44044</v>
      </c>
      <c r="C35" t="s">
        <v>34</v>
      </c>
      <c r="D35" s="23">
        <v>145.62</v>
      </c>
      <c r="E35" t="s">
        <v>292</v>
      </c>
      <c r="F35" t="s">
        <v>1004</v>
      </c>
      <c r="G35" t="s">
        <v>82</v>
      </c>
      <c r="H35" t="s">
        <v>406</v>
      </c>
      <c r="I35" t="s">
        <v>338</v>
      </c>
      <c r="J35" s="23">
        <v>-145.62</v>
      </c>
      <c r="K35" s="22">
        <v>145.62</v>
      </c>
      <c r="M35" t="s">
        <v>267</v>
      </c>
    </row>
    <row r="36" spans="1:13" x14ac:dyDescent="0.35">
      <c r="A36">
        <v>1</v>
      </c>
      <c r="B36" s="18">
        <v>44044</v>
      </c>
      <c r="C36" t="s">
        <v>34</v>
      </c>
      <c r="D36" s="23">
        <v>21.63</v>
      </c>
      <c r="E36" t="s">
        <v>290</v>
      </c>
      <c r="F36" t="s">
        <v>180</v>
      </c>
      <c r="G36" t="s">
        <v>214</v>
      </c>
      <c r="H36" t="s">
        <v>407</v>
      </c>
      <c r="I36" t="s">
        <v>339</v>
      </c>
      <c r="J36" s="23">
        <v>-21.63</v>
      </c>
      <c r="K36" s="22">
        <v>21.63</v>
      </c>
      <c r="M36" t="s">
        <v>267</v>
      </c>
    </row>
    <row r="37" spans="1:13" x14ac:dyDescent="0.35">
      <c r="A37">
        <v>1</v>
      </c>
      <c r="B37" s="18">
        <v>44044</v>
      </c>
      <c r="C37" t="s">
        <v>34</v>
      </c>
      <c r="D37" s="23">
        <v>35.28</v>
      </c>
      <c r="E37" t="s">
        <v>290</v>
      </c>
      <c r="F37" t="s">
        <v>221</v>
      </c>
      <c r="G37" t="s">
        <v>82</v>
      </c>
      <c r="H37" t="s">
        <v>407</v>
      </c>
      <c r="I37" t="s">
        <v>339</v>
      </c>
      <c r="J37" s="23">
        <v>-35.28</v>
      </c>
      <c r="K37" s="22">
        <v>35.28</v>
      </c>
    </row>
    <row r="38" spans="1:13" x14ac:dyDescent="0.35">
      <c r="A38">
        <v>1</v>
      </c>
      <c r="B38" s="18">
        <v>44044</v>
      </c>
      <c r="C38" t="s">
        <v>169</v>
      </c>
      <c r="D38" s="23">
        <v>50.61</v>
      </c>
      <c r="E38" t="s">
        <v>292</v>
      </c>
      <c r="F38" t="s">
        <v>180</v>
      </c>
      <c r="G38" t="s">
        <v>214</v>
      </c>
      <c r="H38" t="s">
        <v>407</v>
      </c>
      <c r="I38" t="s">
        <v>340</v>
      </c>
      <c r="J38" s="23">
        <v>50.61</v>
      </c>
      <c r="K38" s="22">
        <v>50.61</v>
      </c>
      <c r="M38" t="s">
        <v>267</v>
      </c>
    </row>
    <row r="39" spans="1:13" x14ac:dyDescent="0.35">
      <c r="A39">
        <v>1</v>
      </c>
      <c r="B39" s="18">
        <v>44044</v>
      </c>
      <c r="C39" t="s">
        <v>169</v>
      </c>
      <c r="D39" s="23">
        <v>82.58</v>
      </c>
      <c r="E39" t="s">
        <v>292</v>
      </c>
      <c r="F39" t="s">
        <v>221</v>
      </c>
      <c r="G39" t="s">
        <v>82</v>
      </c>
      <c r="H39" t="s">
        <v>407</v>
      </c>
      <c r="I39" t="s">
        <v>340</v>
      </c>
      <c r="J39" s="23">
        <v>82.58</v>
      </c>
      <c r="K39" s="22">
        <v>82.58</v>
      </c>
    </row>
    <row r="40" spans="1:13" x14ac:dyDescent="0.35">
      <c r="A40">
        <v>1</v>
      </c>
      <c r="B40" s="18">
        <v>44044</v>
      </c>
      <c r="C40" t="s">
        <v>169</v>
      </c>
      <c r="D40" s="23">
        <v>177.92</v>
      </c>
      <c r="E40" t="s">
        <v>293</v>
      </c>
      <c r="F40" t="s">
        <v>180</v>
      </c>
      <c r="G40" t="s">
        <v>214</v>
      </c>
      <c r="H40" t="s">
        <v>407</v>
      </c>
      <c r="I40" t="s">
        <v>341</v>
      </c>
      <c r="J40" s="23">
        <v>177.92</v>
      </c>
      <c r="K40" s="22">
        <v>177.92</v>
      </c>
      <c r="M40" t="s">
        <v>267</v>
      </c>
    </row>
    <row r="41" spans="1:13" x14ac:dyDescent="0.35">
      <c r="A41">
        <v>1</v>
      </c>
      <c r="B41" s="18">
        <v>44044</v>
      </c>
      <c r="C41" t="s">
        <v>169</v>
      </c>
      <c r="D41" s="23">
        <v>290.3</v>
      </c>
      <c r="E41" t="s">
        <v>293</v>
      </c>
      <c r="F41" t="s">
        <v>221</v>
      </c>
      <c r="G41" t="s">
        <v>82</v>
      </c>
      <c r="H41" t="s">
        <v>407</v>
      </c>
      <c r="I41" t="s">
        <v>341</v>
      </c>
      <c r="J41" s="23">
        <v>290.3</v>
      </c>
      <c r="K41" s="22">
        <v>290.3</v>
      </c>
    </row>
    <row r="42" spans="1:13" x14ac:dyDescent="0.35">
      <c r="A42">
        <v>1</v>
      </c>
      <c r="B42" s="18">
        <v>44044</v>
      </c>
      <c r="C42" t="s">
        <v>34</v>
      </c>
      <c r="D42" s="23">
        <v>206.91</v>
      </c>
      <c r="E42" t="s">
        <v>438</v>
      </c>
      <c r="F42" t="s">
        <v>180</v>
      </c>
      <c r="G42" t="s">
        <v>214</v>
      </c>
      <c r="H42" t="s">
        <v>407</v>
      </c>
      <c r="I42" t="s">
        <v>342</v>
      </c>
      <c r="J42" s="23">
        <v>-206.91</v>
      </c>
      <c r="K42" s="22">
        <v>206.91</v>
      </c>
      <c r="M42" t="s">
        <v>267</v>
      </c>
    </row>
    <row r="43" spans="1:13" x14ac:dyDescent="0.35">
      <c r="A43">
        <v>1</v>
      </c>
      <c r="B43" s="18">
        <v>44044</v>
      </c>
      <c r="C43" t="s">
        <v>34</v>
      </c>
      <c r="D43" s="23">
        <v>337.59</v>
      </c>
      <c r="E43" t="s">
        <v>438</v>
      </c>
      <c r="F43" t="s">
        <v>221</v>
      </c>
      <c r="G43" t="s">
        <v>82</v>
      </c>
      <c r="H43" t="s">
        <v>407</v>
      </c>
      <c r="I43" t="s">
        <v>342</v>
      </c>
      <c r="J43" s="23">
        <v>-337.59</v>
      </c>
      <c r="K43" s="22">
        <v>337.59</v>
      </c>
    </row>
    <row r="44" spans="1:13" x14ac:dyDescent="0.35">
      <c r="A44">
        <v>1</v>
      </c>
      <c r="B44" s="18">
        <v>44044</v>
      </c>
      <c r="C44" t="s">
        <v>169</v>
      </c>
      <c r="D44" s="23">
        <v>50.61</v>
      </c>
      <c r="E44" t="s">
        <v>293</v>
      </c>
      <c r="F44" t="s">
        <v>180</v>
      </c>
      <c r="G44" t="s">
        <v>214</v>
      </c>
      <c r="H44" t="s">
        <v>407</v>
      </c>
      <c r="I44" t="s">
        <v>343</v>
      </c>
      <c r="J44" s="23">
        <v>50.61</v>
      </c>
      <c r="K44" s="22">
        <v>50.61</v>
      </c>
      <c r="M44" t="s">
        <v>267</v>
      </c>
    </row>
    <row r="45" spans="1:13" x14ac:dyDescent="0.35">
      <c r="A45">
        <v>1</v>
      </c>
      <c r="B45" s="18">
        <v>44044</v>
      </c>
      <c r="C45" t="s">
        <v>169</v>
      </c>
      <c r="D45" s="23">
        <v>82.58</v>
      </c>
      <c r="E45" t="s">
        <v>293</v>
      </c>
      <c r="F45" t="s">
        <v>221</v>
      </c>
      <c r="G45" t="s">
        <v>82</v>
      </c>
      <c r="H45" t="s">
        <v>407</v>
      </c>
      <c r="I45" t="s">
        <v>343</v>
      </c>
      <c r="J45" s="23">
        <v>82.58</v>
      </c>
      <c r="K45" s="22">
        <v>82.58</v>
      </c>
    </row>
    <row r="46" spans="1:13" x14ac:dyDescent="0.35">
      <c r="A46">
        <v>1</v>
      </c>
      <c r="B46" s="18">
        <v>44044</v>
      </c>
      <c r="C46" t="s">
        <v>34</v>
      </c>
      <c r="D46" s="23">
        <v>50.61</v>
      </c>
      <c r="E46" t="s">
        <v>292</v>
      </c>
      <c r="F46" t="s">
        <v>180</v>
      </c>
      <c r="G46" t="s">
        <v>214</v>
      </c>
      <c r="H46" t="s">
        <v>407</v>
      </c>
      <c r="I46" t="s">
        <v>344</v>
      </c>
      <c r="J46" s="23">
        <v>-50.61</v>
      </c>
      <c r="K46" s="22">
        <v>50.61</v>
      </c>
      <c r="M46" t="s">
        <v>267</v>
      </c>
    </row>
    <row r="47" spans="1:13" x14ac:dyDescent="0.35">
      <c r="A47">
        <v>1</v>
      </c>
      <c r="B47" s="18">
        <v>44044</v>
      </c>
      <c r="C47" t="s">
        <v>34</v>
      </c>
      <c r="D47" s="23">
        <v>82.58</v>
      </c>
      <c r="E47" t="s">
        <v>292</v>
      </c>
      <c r="F47" t="s">
        <v>221</v>
      </c>
      <c r="G47" t="s">
        <v>82</v>
      </c>
      <c r="H47" t="s">
        <v>407</v>
      </c>
      <c r="I47" t="s">
        <v>344</v>
      </c>
      <c r="J47" s="23">
        <v>-82.58</v>
      </c>
      <c r="K47" s="22">
        <v>82.58</v>
      </c>
    </row>
    <row r="48" spans="1:13" x14ac:dyDescent="0.35">
      <c r="A48">
        <v>1</v>
      </c>
      <c r="B48" s="18">
        <v>44044</v>
      </c>
      <c r="C48" t="s">
        <v>34</v>
      </c>
      <c r="D48" s="23">
        <v>194.06</v>
      </c>
      <c r="E48" t="s">
        <v>290</v>
      </c>
      <c r="F48" t="s">
        <v>180</v>
      </c>
      <c r="G48" t="s">
        <v>214</v>
      </c>
      <c r="H48" t="s">
        <v>408</v>
      </c>
      <c r="I48" t="s">
        <v>345</v>
      </c>
      <c r="J48" s="23">
        <v>-194.06</v>
      </c>
      <c r="K48" s="22">
        <v>194.06</v>
      </c>
      <c r="M48" t="s">
        <v>267</v>
      </c>
    </row>
    <row r="49" spans="1:13" x14ac:dyDescent="0.35">
      <c r="A49">
        <v>1</v>
      </c>
      <c r="B49" s="18">
        <v>44044</v>
      </c>
      <c r="C49" t="s">
        <v>34</v>
      </c>
      <c r="D49" s="23">
        <v>75.47</v>
      </c>
      <c r="E49" t="s">
        <v>290</v>
      </c>
      <c r="F49" t="s">
        <v>221</v>
      </c>
      <c r="G49" t="s">
        <v>82</v>
      </c>
      <c r="H49" t="s">
        <v>408</v>
      </c>
      <c r="I49" t="s">
        <v>345</v>
      </c>
      <c r="J49" s="23">
        <v>-75.47</v>
      </c>
      <c r="K49" s="22">
        <v>75.47</v>
      </c>
    </row>
    <row r="50" spans="1:13" x14ac:dyDescent="0.35">
      <c r="A50">
        <v>1</v>
      </c>
      <c r="B50" s="18">
        <v>44044</v>
      </c>
      <c r="C50" t="s">
        <v>169</v>
      </c>
      <c r="D50" s="23">
        <v>203.84</v>
      </c>
      <c r="E50" t="s">
        <v>291</v>
      </c>
      <c r="F50" t="s">
        <v>180</v>
      </c>
      <c r="G50" t="s">
        <v>214</v>
      </c>
      <c r="H50" t="s">
        <v>408</v>
      </c>
      <c r="I50" t="s">
        <v>346</v>
      </c>
      <c r="J50" s="23">
        <v>203.84</v>
      </c>
      <c r="K50" s="22">
        <v>203.84</v>
      </c>
      <c r="M50" t="s">
        <v>267</v>
      </c>
    </row>
    <row r="51" spans="1:13" x14ac:dyDescent="0.35">
      <c r="A51">
        <v>1</v>
      </c>
      <c r="B51" s="18">
        <v>44044</v>
      </c>
      <c r="C51" t="s">
        <v>169</v>
      </c>
      <c r="D51" s="23">
        <v>79.27</v>
      </c>
      <c r="E51" t="s">
        <v>291</v>
      </c>
      <c r="F51" t="s">
        <v>221</v>
      </c>
      <c r="G51" t="s">
        <v>82</v>
      </c>
      <c r="H51" t="s">
        <v>408</v>
      </c>
      <c r="I51" t="s">
        <v>346</v>
      </c>
      <c r="J51" s="23">
        <v>79.27</v>
      </c>
      <c r="K51" s="22">
        <v>79.27</v>
      </c>
    </row>
    <row r="52" spans="1:13" x14ac:dyDescent="0.35">
      <c r="A52">
        <v>1</v>
      </c>
      <c r="B52" s="18">
        <v>44044</v>
      </c>
      <c r="C52" t="s">
        <v>169</v>
      </c>
      <c r="D52" s="23">
        <v>632.87</v>
      </c>
      <c r="E52" t="s">
        <v>292</v>
      </c>
      <c r="F52" t="s">
        <v>180</v>
      </c>
      <c r="G52" t="s">
        <v>214</v>
      </c>
      <c r="H52" t="s">
        <v>408</v>
      </c>
      <c r="I52" t="s">
        <v>347</v>
      </c>
      <c r="J52" s="23">
        <v>632.87</v>
      </c>
      <c r="K52" s="22">
        <v>632.87</v>
      </c>
      <c r="M52" t="s">
        <v>267</v>
      </c>
    </row>
    <row r="53" spans="1:13" x14ac:dyDescent="0.35">
      <c r="A53">
        <v>1</v>
      </c>
      <c r="B53" s="18">
        <v>44044</v>
      </c>
      <c r="C53" t="s">
        <v>169</v>
      </c>
      <c r="D53" s="23">
        <v>246.12</v>
      </c>
      <c r="E53" t="s">
        <v>292</v>
      </c>
      <c r="F53" t="s">
        <v>221</v>
      </c>
      <c r="G53" t="s">
        <v>82</v>
      </c>
      <c r="H53" t="s">
        <v>408</v>
      </c>
      <c r="I53" t="s">
        <v>347</v>
      </c>
      <c r="J53" s="23">
        <v>246.12</v>
      </c>
      <c r="K53" s="22">
        <v>246.12</v>
      </c>
    </row>
    <row r="54" spans="1:13" x14ac:dyDescent="0.35">
      <c r="A54">
        <v>1</v>
      </c>
      <c r="B54" s="18">
        <v>44044</v>
      </c>
      <c r="C54" t="s">
        <v>169</v>
      </c>
      <c r="D54" s="23">
        <v>1295.81</v>
      </c>
      <c r="E54" t="s">
        <v>293</v>
      </c>
      <c r="F54" t="s">
        <v>180</v>
      </c>
      <c r="G54" t="s">
        <v>214</v>
      </c>
      <c r="H54" t="s">
        <v>408</v>
      </c>
      <c r="I54" t="s">
        <v>348</v>
      </c>
      <c r="J54" s="23">
        <v>1295.81</v>
      </c>
      <c r="K54" s="22">
        <v>1295.81</v>
      </c>
      <c r="M54" t="s">
        <v>267</v>
      </c>
    </row>
    <row r="55" spans="1:13" x14ac:dyDescent="0.35">
      <c r="A55">
        <v>1</v>
      </c>
      <c r="B55" s="18">
        <v>44044</v>
      </c>
      <c r="C55" t="s">
        <v>169</v>
      </c>
      <c r="D55" s="23">
        <v>503.93</v>
      </c>
      <c r="E55" t="s">
        <v>293</v>
      </c>
      <c r="F55" t="s">
        <v>221</v>
      </c>
      <c r="G55" t="s">
        <v>82</v>
      </c>
      <c r="H55" t="s">
        <v>408</v>
      </c>
      <c r="I55" t="s">
        <v>348</v>
      </c>
      <c r="J55" s="23">
        <v>503.93</v>
      </c>
      <c r="K55" s="22">
        <v>503.93</v>
      </c>
    </row>
    <row r="56" spans="1:13" x14ac:dyDescent="0.35">
      <c r="A56">
        <v>1</v>
      </c>
      <c r="B56" s="18">
        <v>44044</v>
      </c>
      <c r="C56" t="s">
        <v>34</v>
      </c>
      <c r="D56" s="23">
        <v>1938.46</v>
      </c>
      <c r="E56" t="s">
        <v>435</v>
      </c>
      <c r="F56" t="s">
        <v>180</v>
      </c>
      <c r="G56" t="s">
        <v>214</v>
      </c>
      <c r="H56" t="s">
        <v>408</v>
      </c>
      <c r="I56" t="s">
        <v>349</v>
      </c>
      <c r="J56" s="23">
        <v>-1938.46</v>
      </c>
      <c r="K56" s="22">
        <v>1938.46</v>
      </c>
      <c r="M56" t="s">
        <v>267</v>
      </c>
    </row>
    <row r="57" spans="1:13" x14ac:dyDescent="0.35">
      <c r="A57">
        <v>1</v>
      </c>
      <c r="B57" s="18">
        <v>44044</v>
      </c>
      <c r="C57" t="s">
        <v>34</v>
      </c>
      <c r="D57" s="23">
        <v>753.85</v>
      </c>
      <c r="E57" t="s">
        <v>435</v>
      </c>
      <c r="F57" t="s">
        <v>221</v>
      </c>
      <c r="G57" t="s">
        <v>82</v>
      </c>
      <c r="H57" t="s">
        <v>408</v>
      </c>
      <c r="I57" t="s">
        <v>349</v>
      </c>
      <c r="J57" s="23">
        <v>-753.85</v>
      </c>
      <c r="K57" s="22">
        <v>753.85</v>
      </c>
    </row>
    <row r="58" spans="1:13" x14ac:dyDescent="0.35">
      <c r="A58">
        <v>1</v>
      </c>
      <c r="B58" s="18">
        <v>44044</v>
      </c>
      <c r="C58" t="s">
        <v>169</v>
      </c>
      <c r="D58" s="23">
        <v>632.87</v>
      </c>
      <c r="E58" t="s">
        <v>293</v>
      </c>
      <c r="F58" t="s">
        <v>180</v>
      </c>
      <c r="G58" t="s">
        <v>214</v>
      </c>
      <c r="H58" t="s">
        <v>408</v>
      </c>
      <c r="I58" t="s">
        <v>350</v>
      </c>
      <c r="J58" s="23">
        <v>632.87</v>
      </c>
      <c r="K58" s="22">
        <v>632.87</v>
      </c>
      <c r="M58" t="s">
        <v>267</v>
      </c>
    </row>
    <row r="59" spans="1:13" x14ac:dyDescent="0.35">
      <c r="A59">
        <v>1</v>
      </c>
      <c r="B59" s="18">
        <v>44044</v>
      </c>
      <c r="C59" t="s">
        <v>169</v>
      </c>
      <c r="D59" s="23">
        <v>246.12</v>
      </c>
      <c r="E59" t="s">
        <v>293</v>
      </c>
      <c r="F59" t="s">
        <v>221</v>
      </c>
      <c r="G59" t="s">
        <v>82</v>
      </c>
      <c r="H59" t="s">
        <v>408</v>
      </c>
      <c r="I59" t="s">
        <v>350</v>
      </c>
      <c r="J59" s="23">
        <v>246.12</v>
      </c>
      <c r="K59" s="22">
        <v>246.12</v>
      </c>
    </row>
    <row r="60" spans="1:13" x14ac:dyDescent="0.35">
      <c r="A60">
        <v>1</v>
      </c>
      <c r="B60" s="18">
        <v>44044</v>
      </c>
      <c r="C60" t="s">
        <v>34</v>
      </c>
      <c r="D60" s="23">
        <v>632.87</v>
      </c>
      <c r="E60" t="s">
        <v>292</v>
      </c>
      <c r="F60" t="s">
        <v>180</v>
      </c>
      <c r="G60" t="s">
        <v>214</v>
      </c>
      <c r="H60" t="s">
        <v>408</v>
      </c>
      <c r="I60" t="s">
        <v>351</v>
      </c>
      <c r="J60" s="23">
        <v>-632.87</v>
      </c>
      <c r="K60" s="22">
        <v>632.87</v>
      </c>
      <c r="M60" t="s">
        <v>267</v>
      </c>
    </row>
    <row r="61" spans="1:13" x14ac:dyDescent="0.35">
      <c r="A61">
        <v>1</v>
      </c>
      <c r="B61" s="18">
        <v>44044</v>
      </c>
      <c r="C61" t="s">
        <v>34</v>
      </c>
      <c r="D61" s="23">
        <v>246.12</v>
      </c>
      <c r="E61" t="s">
        <v>292</v>
      </c>
      <c r="F61" t="s">
        <v>221</v>
      </c>
      <c r="G61" t="s">
        <v>82</v>
      </c>
      <c r="H61" t="s">
        <v>408</v>
      </c>
      <c r="I61" t="s">
        <v>351</v>
      </c>
      <c r="J61" s="23">
        <v>-246.12</v>
      </c>
      <c r="K61" s="22">
        <v>246.12</v>
      </c>
    </row>
    <row r="62" spans="1:13" x14ac:dyDescent="0.35">
      <c r="A62">
        <v>1</v>
      </c>
      <c r="B62" s="18">
        <v>44044</v>
      </c>
      <c r="C62" t="s">
        <v>34</v>
      </c>
      <c r="D62" s="23">
        <v>272.7</v>
      </c>
      <c r="E62" t="s">
        <v>290</v>
      </c>
      <c r="F62" t="s">
        <v>180</v>
      </c>
      <c r="G62" t="s">
        <v>214</v>
      </c>
      <c r="H62" t="s">
        <v>409</v>
      </c>
      <c r="I62" t="s">
        <v>352</v>
      </c>
      <c r="J62" s="23">
        <v>-272.7</v>
      </c>
      <c r="K62" s="22">
        <v>272.7</v>
      </c>
      <c r="M62" t="s">
        <v>267</v>
      </c>
    </row>
    <row r="63" spans="1:13" x14ac:dyDescent="0.35">
      <c r="A63">
        <v>1</v>
      </c>
      <c r="B63" s="18">
        <v>44044</v>
      </c>
      <c r="C63" t="s">
        <v>169</v>
      </c>
      <c r="D63" s="23">
        <v>97.13</v>
      </c>
      <c r="E63" t="s">
        <v>291</v>
      </c>
      <c r="F63" t="s">
        <v>180</v>
      </c>
      <c r="G63" t="s">
        <v>214</v>
      </c>
      <c r="H63" t="s">
        <v>409</v>
      </c>
      <c r="I63" t="s">
        <v>353</v>
      </c>
      <c r="J63" s="23">
        <v>97.13</v>
      </c>
      <c r="K63" s="22">
        <v>97.13</v>
      </c>
      <c r="M63" t="s">
        <v>267</v>
      </c>
    </row>
    <row r="64" spans="1:13" x14ac:dyDescent="0.35">
      <c r="A64">
        <v>1</v>
      </c>
      <c r="B64" s="18">
        <v>44044</v>
      </c>
      <c r="C64" t="s">
        <v>169</v>
      </c>
      <c r="D64" s="23">
        <v>924.42</v>
      </c>
      <c r="E64" t="s">
        <v>292</v>
      </c>
      <c r="F64" t="s">
        <v>180</v>
      </c>
      <c r="G64" t="s">
        <v>214</v>
      </c>
      <c r="H64" t="s">
        <v>409</v>
      </c>
      <c r="I64" t="s">
        <v>354</v>
      </c>
      <c r="J64" s="23">
        <v>924.42</v>
      </c>
      <c r="K64" s="22">
        <v>924.42</v>
      </c>
      <c r="M64" t="s">
        <v>267</v>
      </c>
    </row>
    <row r="65" spans="1:13" x14ac:dyDescent="0.35">
      <c r="A65">
        <v>1</v>
      </c>
      <c r="B65" s="18">
        <v>44044</v>
      </c>
      <c r="C65" t="s">
        <v>169</v>
      </c>
      <c r="D65" s="23">
        <v>1935.2</v>
      </c>
      <c r="E65" t="s">
        <v>293</v>
      </c>
      <c r="F65" t="s">
        <v>180</v>
      </c>
      <c r="G65" t="s">
        <v>214</v>
      </c>
      <c r="H65" t="s">
        <v>409</v>
      </c>
      <c r="I65" t="s">
        <v>355</v>
      </c>
      <c r="J65" s="23">
        <v>1935.2</v>
      </c>
      <c r="K65" s="22">
        <v>1935.2</v>
      </c>
      <c r="M65" t="s">
        <v>267</v>
      </c>
    </row>
    <row r="66" spans="1:13" x14ac:dyDescent="0.35">
      <c r="A66">
        <v>1</v>
      </c>
      <c r="B66" s="18">
        <v>44044</v>
      </c>
      <c r="C66" t="s">
        <v>34</v>
      </c>
      <c r="D66" s="23">
        <v>2684.05</v>
      </c>
      <c r="E66" t="s">
        <v>67</v>
      </c>
      <c r="F66" t="s">
        <v>180</v>
      </c>
      <c r="G66" t="s">
        <v>214</v>
      </c>
      <c r="H66" t="s">
        <v>409</v>
      </c>
      <c r="I66" t="s">
        <v>356</v>
      </c>
      <c r="J66" s="23">
        <v>-2684.05</v>
      </c>
      <c r="K66" s="22">
        <v>2684.05</v>
      </c>
      <c r="M66" t="s">
        <v>267</v>
      </c>
    </row>
    <row r="67" spans="1:13" x14ac:dyDescent="0.35">
      <c r="A67">
        <v>1</v>
      </c>
      <c r="B67" s="18">
        <v>44044</v>
      </c>
      <c r="C67" t="s">
        <v>169</v>
      </c>
      <c r="D67" s="23">
        <v>924.42</v>
      </c>
      <c r="E67" t="s">
        <v>293</v>
      </c>
      <c r="F67" t="s">
        <v>180</v>
      </c>
      <c r="G67" t="s">
        <v>214</v>
      </c>
      <c r="H67" t="s">
        <v>409</v>
      </c>
      <c r="I67" t="s">
        <v>357</v>
      </c>
      <c r="J67" s="23">
        <v>924.42</v>
      </c>
      <c r="K67" s="22">
        <v>924.42</v>
      </c>
      <c r="M67" t="s">
        <v>267</v>
      </c>
    </row>
    <row r="68" spans="1:13" x14ac:dyDescent="0.35">
      <c r="A68">
        <v>1</v>
      </c>
      <c r="B68" s="18">
        <v>44044</v>
      </c>
      <c r="C68" t="s">
        <v>34</v>
      </c>
      <c r="D68" s="23">
        <v>924.42</v>
      </c>
      <c r="E68" t="s">
        <v>292</v>
      </c>
      <c r="F68" t="s">
        <v>180</v>
      </c>
      <c r="G68" t="s">
        <v>214</v>
      </c>
      <c r="H68" t="s">
        <v>409</v>
      </c>
      <c r="I68" t="s">
        <v>358</v>
      </c>
      <c r="J68" s="23">
        <v>-924.42</v>
      </c>
      <c r="K68" s="22">
        <v>924.42</v>
      </c>
      <c r="M68" t="s">
        <v>267</v>
      </c>
    </row>
    <row r="69" spans="1:13" x14ac:dyDescent="0.35">
      <c r="A69">
        <v>1</v>
      </c>
      <c r="B69" s="18">
        <v>44044</v>
      </c>
      <c r="C69" t="s">
        <v>34</v>
      </c>
      <c r="D69" s="23">
        <v>25.81</v>
      </c>
      <c r="E69" t="s">
        <v>290</v>
      </c>
      <c r="F69" t="s">
        <v>180</v>
      </c>
      <c r="G69" t="s">
        <v>214</v>
      </c>
      <c r="H69" t="s">
        <v>410</v>
      </c>
      <c r="I69" t="s">
        <v>391</v>
      </c>
      <c r="J69" s="23">
        <v>-25.81</v>
      </c>
      <c r="K69" s="22">
        <v>25.81</v>
      </c>
      <c r="M69" t="s">
        <v>267</v>
      </c>
    </row>
    <row r="70" spans="1:13" x14ac:dyDescent="0.35">
      <c r="A70">
        <v>1</v>
      </c>
      <c r="B70" s="18">
        <v>44044</v>
      </c>
      <c r="C70" t="s">
        <v>34</v>
      </c>
      <c r="D70" s="23">
        <v>42.11</v>
      </c>
      <c r="E70" t="s">
        <v>290</v>
      </c>
      <c r="F70" t="s">
        <v>221</v>
      </c>
      <c r="G70" t="s">
        <v>82</v>
      </c>
      <c r="H70" t="s">
        <v>410</v>
      </c>
      <c r="I70" t="s">
        <v>391</v>
      </c>
      <c r="J70" s="23">
        <v>-42.11</v>
      </c>
      <c r="K70" s="22">
        <v>42.11</v>
      </c>
    </row>
    <row r="71" spans="1:13" x14ac:dyDescent="0.35">
      <c r="A71">
        <v>1</v>
      </c>
      <c r="B71" s="18">
        <v>44044</v>
      </c>
      <c r="C71" t="s">
        <v>169</v>
      </c>
      <c r="D71" s="23">
        <v>62.74</v>
      </c>
      <c r="E71" t="s">
        <v>292</v>
      </c>
      <c r="F71" t="s">
        <v>180</v>
      </c>
      <c r="G71" t="s">
        <v>214</v>
      </c>
      <c r="H71" t="s">
        <v>410</v>
      </c>
      <c r="I71" t="s">
        <v>392</v>
      </c>
      <c r="J71" s="23">
        <v>62.74</v>
      </c>
      <c r="K71" s="22">
        <v>62.74</v>
      </c>
      <c r="M71" t="s">
        <v>267</v>
      </c>
    </row>
    <row r="72" spans="1:13" x14ac:dyDescent="0.35">
      <c r="A72">
        <v>1</v>
      </c>
      <c r="B72" s="18">
        <v>44044</v>
      </c>
      <c r="C72" t="s">
        <v>169</v>
      </c>
      <c r="D72" s="23">
        <v>102.37</v>
      </c>
      <c r="E72" t="s">
        <v>292</v>
      </c>
      <c r="F72" t="s">
        <v>221</v>
      </c>
      <c r="G72" t="s">
        <v>82</v>
      </c>
      <c r="H72" t="s">
        <v>410</v>
      </c>
      <c r="I72" t="s">
        <v>392</v>
      </c>
      <c r="J72" s="23">
        <v>102.37</v>
      </c>
      <c r="K72" s="22">
        <v>102.37</v>
      </c>
    </row>
    <row r="73" spans="1:13" x14ac:dyDescent="0.35">
      <c r="A73">
        <v>1</v>
      </c>
      <c r="B73" s="18">
        <v>44044</v>
      </c>
      <c r="C73" t="s">
        <v>169</v>
      </c>
      <c r="D73" s="23">
        <v>210.07</v>
      </c>
      <c r="E73" t="s">
        <v>293</v>
      </c>
      <c r="F73" t="s">
        <v>180</v>
      </c>
      <c r="G73" t="s">
        <v>214</v>
      </c>
      <c r="H73" t="s">
        <v>410</v>
      </c>
      <c r="I73" t="s">
        <v>393</v>
      </c>
      <c r="J73" s="23">
        <v>210.07</v>
      </c>
      <c r="K73" s="22">
        <v>210.07</v>
      </c>
      <c r="M73" t="s">
        <v>267</v>
      </c>
    </row>
    <row r="74" spans="1:13" x14ac:dyDescent="0.35">
      <c r="A74">
        <v>1</v>
      </c>
      <c r="B74" s="18">
        <v>44044</v>
      </c>
      <c r="C74" t="s">
        <v>169</v>
      </c>
      <c r="D74" s="23">
        <v>342.74</v>
      </c>
      <c r="E74" t="s">
        <v>293</v>
      </c>
      <c r="F74" t="s">
        <v>221</v>
      </c>
      <c r="G74" t="s">
        <v>82</v>
      </c>
      <c r="H74" t="s">
        <v>410</v>
      </c>
      <c r="I74" t="s">
        <v>393</v>
      </c>
      <c r="J74" s="23">
        <v>342.74</v>
      </c>
      <c r="K74" s="22">
        <v>342.74</v>
      </c>
    </row>
    <row r="75" spans="1:13" x14ac:dyDescent="0.35">
      <c r="A75">
        <v>1</v>
      </c>
      <c r="B75" s="18">
        <v>44044</v>
      </c>
      <c r="C75" t="s">
        <v>34</v>
      </c>
      <c r="D75" s="23">
        <v>247</v>
      </c>
      <c r="E75" t="s">
        <v>166</v>
      </c>
      <c r="F75" t="s">
        <v>180</v>
      </c>
      <c r="G75" t="s">
        <v>214</v>
      </c>
      <c r="H75" t="s">
        <v>410</v>
      </c>
      <c r="I75" t="s">
        <v>394</v>
      </c>
      <c r="J75" s="23">
        <v>-247</v>
      </c>
      <c r="K75" s="22">
        <v>247</v>
      </c>
      <c r="M75" t="s">
        <v>267</v>
      </c>
    </row>
    <row r="76" spans="1:13" x14ac:dyDescent="0.35">
      <c r="A76">
        <v>1</v>
      </c>
      <c r="B76" s="18">
        <v>44044</v>
      </c>
      <c r="C76" t="s">
        <v>34</v>
      </c>
      <c r="D76" s="23">
        <v>403</v>
      </c>
      <c r="E76" t="s">
        <v>166</v>
      </c>
      <c r="F76" t="s">
        <v>221</v>
      </c>
      <c r="G76" t="s">
        <v>82</v>
      </c>
      <c r="H76" t="s">
        <v>410</v>
      </c>
      <c r="I76" t="s">
        <v>394</v>
      </c>
      <c r="J76" s="23">
        <v>-403</v>
      </c>
      <c r="K76" s="22">
        <v>403</v>
      </c>
    </row>
    <row r="77" spans="1:13" x14ac:dyDescent="0.35">
      <c r="A77">
        <v>1</v>
      </c>
      <c r="B77" s="18">
        <v>44044</v>
      </c>
      <c r="C77" t="s">
        <v>169</v>
      </c>
      <c r="D77" s="23">
        <v>62.74</v>
      </c>
      <c r="E77" t="s">
        <v>293</v>
      </c>
      <c r="F77" t="s">
        <v>180</v>
      </c>
      <c r="G77" t="s">
        <v>214</v>
      </c>
      <c r="H77" t="s">
        <v>410</v>
      </c>
      <c r="I77" t="s">
        <v>395</v>
      </c>
      <c r="J77" s="23">
        <v>62.74</v>
      </c>
      <c r="K77" s="22">
        <v>62.74</v>
      </c>
      <c r="M77" t="s">
        <v>267</v>
      </c>
    </row>
    <row r="78" spans="1:13" x14ac:dyDescent="0.35">
      <c r="A78">
        <v>1</v>
      </c>
      <c r="B78" s="18">
        <v>44044</v>
      </c>
      <c r="C78" t="s">
        <v>169</v>
      </c>
      <c r="D78" s="23">
        <v>102.37</v>
      </c>
      <c r="E78" t="s">
        <v>293</v>
      </c>
      <c r="F78" t="s">
        <v>221</v>
      </c>
      <c r="G78" t="s">
        <v>82</v>
      </c>
      <c r="H78" t="s">
        <v>410</v>
      </c>
      <c r="I78" t="s">
        <v>395</v>
      </c>
      <c r="J78" s="23">
        <v>102.37</v>
      </c>
      <c r="K78" s="22">
        <v>102.37</v>
      </c>
    </row>
    <row r="79" spans="1:13" x14ac:dyDescent="0.35">
      <c r="A79">
        <v>1</v>
      </c>
      <c r="B79" s="18">
        <v>44044</v>
      </c>
      <c r="C79" t="s">
        <v>34</v>
      </c>
      <c r="D79" s="23">
        <v>62.74</v>
      </c>
      <c r="E79" t="s">
        <v>292</v>
      </c>
      <c r="F79" t="s">
        <v>180</v>
      </c>
      <c r="G79" t="s">
        <v>214</v>
      </c>
      <c r="H79" t="s">
        <v>410</v>
      </c>
      <c r="I79" t="s">
        <v>396</v>
      </c>
      <c r="J79" s="23">
        <v>-62.74</v>
      </c>
      <c r="K79" s="22">
        <v>62.74</v>
      </c>
      <c r="M79" t="s">
        <v>267</v>
      </c>
    </row>
    <row r="80" spans="1:13" x14ac:dyDescent="0.35">
      <c r="A80">
        <v>1</v>
      </c>
      <c r="B80" s="18">
        <v>44044</v>
      </c>
      <c r="C80" t="s">
        <v>34</v>
      </c>
      <c r="D80" s="23">
        <v>102.37</v>
      </c>
      <c r="E80" t="s">
        <v>292</v>
      </c>
      <c r="F80" t="s">
        <v>221</v>
      </c>
      <c r="G80" t="s">
        <v>82</v>
      </c>
      <c r="H80" t="s">
        <v>410</v>
      </c>
      <c r="I80" t="s">
        <v>396</v>
      </c>
      <c r="J80" s="23">
        <v>-102.37</v>
      </c>
      <c r="K80" s="22">
        <v>102.37</v>
      </c>
    </row>
    <row r="81" spans="1:13" x14ac:dyDescent="0.35">
      <c r="A81">
        <v>1</v>
      </c>
      <c r="B81" s="18">
        <v>44044</v>
      </c>
      <c r="C81" t="s">
        <v>34</v>
      </c>
      <c r="D81" s="23">
        <v>110.62</v>
      </c>
      <c r="E81" t="s">
        <v>290</v>
      </c>
      <c r="F81" t="s">
        <v>180</v>
      </c>
      <c r="G81" t="s">
        <v>214</v>
      </c>
      <c r="H81" t="s">
        <v>411</v>
      </c>
      <c r="I81" t="s">
        <v>359</v>
      </c>
      <c r="J81" s="23">
        <v>-110.62</v>
      </c>
      <c r="K81" s="22">
        <v>110.62</v>
      </c>
      <c r="M81" t="s">
        <v>267</v>
      </c>
    </row>
    <row r="82" spans="1:13" x14ac:dyDescent="0.35">
      <c r="A82">
        <v>1</v>
      </c>
      <c r="B82" s="18">
        <v>44044</v>
      </c>
      <c r="C82" t="s">
        <v>169</v>
      </c>
      <c r="D82" s="23">
        <v>256.2</v>
      </c>
      <c r="E82" t="s">
        <v>292</v>
      </c>
      <c r="F82" t="s">
        <v>180</v>
      </c>
      <c r="G82" t="s">
        <v>214</v>
      </c>
      <c r="H82" t="s">
        <v>411</v>
      </c>
      <c r="I82" t="s">
        <v>360</v>
      </c>
      <c r="J82" s="23">
        <v>256.2</v>
      </c>
      <c r="K82" s="22">
        <v>256.2</v>
      </c>
      <c r="M82" t="s">
        <v>267</v>
      </c>
    </row>
    <row r="83" spans="1:13" x14ac:dyDescent="0.35">
      <c r="A83">
        <v>1</v>
      </c>
      <c r="B83" s="18">
        <v>44044</v>
      </c>
      <c r="C83" t="s">
        <v>169</v>
      </c>
      <c r="D83" s="23">
        <v>912.82</v>
      </c>
      <c r="E83" t="s">
        <v>293</v>
      </c>
      <c r="F83" t="s">
        <v>180</v>
      </c>
      <c r="G83" t="s">
        <v>214</v>
      </c>
      <c r="H83" t="s">
        <v>411</v>
      </c>
      <c r="I83" t="s">
        <v>361</v>
      </c>
      <c r="J83" s="23">
        <v>912.82</v>
      </c>
      <c r="K83" s="22">
        <v>912.82</v>
      </c>
      <c r="M83" t="s">
        <v>267</v>
      </c>
    </row>
    <row r="84" spans="1:13" x14ac:dyDescent="0.35">
      <c r="A84">
        <v>1</v>
      </c>
      <c r="B84" s="18">
        <v>44044</v>
      </c>
      <c r="C84" t="s">
        <v>34</v>
      </c>
      <c r="D84" s="23">
        <v>1058.4000000000001</v>
      </c>
      <c r="E84" t="s">
        <v>443</v>
      </c>
      <c r="F84" t="s">
        <v>180</v>
      </c>
      <c r="G84" t="s">
        <v>214</v>
      </c>
      <c r="H84" t="s">
        <v>411</v>
      </c>
      <c r="I84" t="s">
        <v>362</v>
      </c>
      <c r="J84" s="23">
        <v>-1058.4000000000001</v>
      </c>
      <c r="K84" s="22">
        <v>1058.4000000000001</v>
      </c>
      <c r="M84" t="s">
        <v>267</v>
      </c>
    </row>
    <row r="85" spans="1:13" x14ac:dyDescent="0.35">
      <c r="A85">
        <v>1</v>
      </c>
      <c r="B85" s="18">
        <v>44044</v>
      </c>
      <c r="C85" t="s">
        <v>169</v>
      </c>
      <c r="D85" s="23">
        <v>256.2</v>
      </c>
      <c r="E85" t="s">
        <v>293</v>
      </c>
      <c r="F85" t="s">
        <v>180</v>
      </c>
      <c r="G85" t="s">
        <v>214</v>
      </c>
      <c r="H85" t="s">
        <v>411</v>
      </c>
      <c r="I85" t="s">
        <v>363</v>
      </c>
      <c r="J85" s="23">
        <v>256.2</v>
      </c>
      <c r="K85" s="22">
        <v>256.2</v>
      </c>
      <c r="M85" t="s">
        <v>267</v>
      </c>
    </row>
    <row r="86" spans="1:13" x14ac:dyDescent="0.35">
      <c r="A86">
        <v>1</v>
      </c>
      <c r="B86" s="18">
        <v>44044</v>
      </c>
      <c r="C86" t="s">
        <v>34</v>
      </c>
      <c r="D86" s="23">
        <v>256.2</v>
      </c>
      <c r="E86" t="s">
        <v>292</v>
      </c>
      <c r="F86" t="s">
        <v>180</v>
      </c>
      <c r="G86" t="s">
        <v>214</v>
      </c>
      <c r="H86" t="s">
        <v>411</v>
      </c>
      <c r="I86" t="s">
        <v>364</v>
      </c>
      <c r="J86" s="23">
        <v>-256.2</v>
      </c>
      <c r="K86" s="22">
        <v>256.2</v>
      </c>
      <c r="M86" t="s">
        <v>267</v>
      </c>
    </row>
    <row r="87" spans="1:13" x14ac:dyDescent="0.35">
      <c r="A87">
        <v>1</v>
      </c>
      <c r="B87" s="18">
        <v>44044</v>
      </c>
      <c r="C87" t="s">
        <v>34</v>
      </c>
      <c r="D87" s="23">
        <v>227.17</v>
      </c>
      <c r="E87" t="s">
        <v>290</v>
      </c>
      <c r="F87" t="s">
        <v>180</v>
      </c>
      <c r="G87" t="s">
        <v>214</v>
      </c>
      <c r="H87" t="s">
        <v>412</v>
      </c>
      <c r="I87" t="s">
        <v>397</v>
      </c>
      <c r="J87" s="23">
        <v>-227.17</v>
      </c>
      <c r="K87" s="22">
        <v>227.17</v>
      </c>
      <c r="M87" t="s">
        <v>267</v>
      </c>
    </row>
    <row r="88" spans="1:13" x14ac:dyDescent="0.35">
      <c r="A88">
        <v>1</v>
      </c>
      <c r="B88" s="18">
        <v>44044</v>
      </c>
      <c r="C88" t="s">
        <v>169</v>
      </c>
      <c r="D88" s="23">
        <v>624.66</v>
      </c>
      <c r="E88" t="s">
        <v>292</v>
      </c>
      <c r="F88" t="s">
        <v>180</v>
      </c>
      <c r="G88" t="s">
        <v>214</v>
      </c>
      <c r="H88" t="s">
        <v>412</v>
      </c>
      <c r="I88" t="s">
        <v>398</v>
      </c>
      <c r="J88" s="23">
        <v>624.66</v>
      </c>
      <c r="K88" s="22">
        <v>624.66</v>
      </c>
      <c r="M88" t="s">
        <v>267</v>
      </c>
    </row>
    <row r="89" spans="1:13" x14ac:dyDescent="0.35">
      <c r="A89">
        <v>1</v>
      </c>
      <c r="B89" s="18">
        <v>44044</v>
      </c>
      <c r="C89" t="s">
        <v>169</v>
      </c>
      <c r="D89" s="23">
        <v>1776.42</v>
      </c>
      <c r="E89" t="s">
        <v>293</v>
      </c>
      <c r="F89" t="s">
        <v>180</v>
      </c>
      <c r="G89" t="s">
        <v>214</v>
      </c>
      <c r="H89" t="s">
        <v>412</v>
      </c>
      <c r="I89" t="s">
        <v>399</v>
      </c>
      <c r="J89" s="23">
        <v>1776.42</v>
      </c>
      <c r="K89" s="22">
        <v>1776.42</v>
      </c>
      <c r="M89" t="s">
        <v>267</v>
      </c>
    </row>
    <row r="90" spans="1:13" x14ac:dyDescent="0.35">
      <c r="A90">
        <v>1</v>
      </c>
      <c r="B90" s="18">
        <v>44044</v>
      </c>
      <c r="C90" t="s">
        <v>34</v>
      </c>
      <c r="D90" s="23">
        <v>2173.91</v>
      </c>
      <c r="E90" t="s">
        <v>67</v>
      </c>
      <c r="F90" t="s">
        <v>180</v>
      </c>
      <c r="G90" t="s">
        <v>214</v>
      </c>
      <c r="H90" t="s">
        <v>412</v>
      </c>
      <c r="I90" t="s">
        <v>400</v>
      </c>
      <c r="J90" s="23">
        <v>-2173.91</v>
      </c>
      <c r="K90" s="22">
        <v>2173.91</v>
      </c>
      <c r="M90" t="s">
        <v>267</v>
      </c>
    </row>
    <row r="91" spans="1:13" x14ac:dyDescent="0.35">
      <c r="A91">
        <v>1</v>
      </c>
      <c r="B91" s="18">
        <v>44044</v>
      </c>
      <c r="C91" t="s">
        <v>169</v>
      </c>
      <c r="D91" s="23">
        <v>624.66</v>
      </c>
      <c r="E91" t="s">
        <v>293</v>
      </c>
      <c r="F91" t="s">
        <v>180</v>
      </c>
      <c r="G91" t="s">
        <v>214</v>
      </c>
      <c r="H91" t="s">
        <v>412</v>
      </c>
      <c r="I91" t="s">
        <v>401</v>
      </c>
      <c r="J91" s="23">
        <v>624.66</v>
      </c>
      <c r="K91" s="22">
        <v>624.66</v>
      </c>
      <c r="M91" t="s">
        <v>267</v>
      </c>
    </row>
    <row r="92" spans="1:13" x14ac:dyDescent="0.35">
      <c r="A92">
        <v>1</v>
      </c>
      <c r="B92" s="18">
        <v>44044</v>
      </c>
      <c r="C92" t="s">
        <v>34</v>
      </c>
      <c r="D92" s="23">
        <v>624.66</v>
      </c>
      <c r="E92" t="s">
        <v>292</v>
      </c>
      <c r="F92" t="s">
        <v>180</v>
      </c>
      <c r="G92" t="s">
        <v>214</v>
      </c>
      <c r="H92" t="s">
        <v>412</v>
      </c>
      <c r="I92" t="s">
        <v>402</v>
      </c>
      <c r="J92" s="23">
        <v>-624.66</v>
      </c>
      <c r="K92" s="22">
        <v>624.66</v>
      </c>
      <c r="M92" t="s">
        <v>267</v>
      </c>
    </row>
    <row r="93" spans="1:13" x14ac:dyDescent="0.35">
      <c r="A93">
        <v>1</v>
      </c>
      <c r="B93" s="18">
        <v>44044</v>
      </c>
      <c r="C93" t="s">
        <v>34</v>
      </c>
      <c r="D93" s="23">
        <v>113.1</v>
      </c>
      <c r="E93" t="s">
        <v>290</v>
      </c>
      <c r="F93" t="s">
        <v>180</v>
      </c>
      <c r="G93" t="s">
        <v>214</v>
      </c>
      <c r="H93" t="s">
        <v>413</v>
      </c>
      <c r="I93" t="s">
        <v>365</v>
      </c>
      <c r="J93" s="23">
        <v>-113.1</v>
      </c>
      <c r="K93" s="22">
        <v>113.1</v>
      </c>
      <c r="M93" t="s">
        <v>267</v>
      </c>
    </row>
    <row r="94" spans="1:13" x14ac:dyDescent="0.35">
      <c r="A94">
        <v>1</v>
      </c>
      <c r="B94" s="18">
        <v>44044</v>
      </c>
      <c r="C94" t="s">
        <v>169</v>
      </c>
      <c r="D94" s="23">
        <v>214.2</v>
      </c>
      <c r="E94" t="s">
        <v>292</v>
      </c>
      <c r="F94" t="s">
        <v>180</v>
      </c>
      <c r="G94" t="s">
        <v>214</v>
      </c>
      <c r="H94" t="s">
        <v>413</v>
      </c>
      <c r="I94" t="s">
        <v>366</v>
      </c>
      <c r="J94" s="23">
        <v>214.2</v>
      </c>
      <c r="K94" s="22">
        <v>214.2</v>
      </c>
      <c r="M94" t="s">
        <v>267</v>
      </c>
    </row>
    <row r="95" spans="1:13" x14ac:dyDescent="0.35">
      <c r="A95">
        <v>1</v>
      </c>
      <c r="B95" s="18">
        <v>44044</v>
      </c>
      <c r="C95" t="s">
        <v>169</v>
      </c>
      <c r="D95" s="23">
        <v>981.29</v>
      </c>
      <c r="E95" t="s">
        <v>293</v>
      </c>
      <c r="F95" t="s">
        <v>180</v>
      </c>
      <c r="G95" t="s">
        <v>214</v>
      </c>
      <c r="H95" t="s">
        <v>413</v>
      </c>
      <c r="I95" t="s">
        <v>367</v>
      </c>
      <c r="J95" s="23">
        <v>981.29</v>
      </c>
      <c r="K95" s="22">
        <v>981.29</v>
      </c>
      <c r="M95" t="s">
        <v>267</v>
      </c>
    </row>
    <row r="96" spans="1:13" x14ac:dyDescent="0.35">
      <c r="A96">
        <v>1</v>
      </c>
      <c r="B96" s="18">
        <v>44044</v>
      </c>
      <c r="C96" t="s">
        <v>34</v>
      </c>
      <c r="D96" s="23">
        <v>1082.3900000000001</v>
      </c>
      <c r="E96" t="s">
        <v>443</v>
      </c>
      <c r="F96" t="s">
        <v>180</v>
      </c>
      <c r="G96" t="s">
        <v>214</v>
      </c>
      <c r="H96" t="s">
        <v>413</v>
      </c>
      <c r="I96" t="s">
        <v>368</v>
      </c>
      <c r="J96" s="23">
        <v>-1082.3900000000001</v>
      </c>
      <c r="K96" s="22">
        <v>1082.3900000000001</v>
      </c>
      <c r="M96" t="s">
        <v>267</v>
      </c>
    </row>
    <row r="97" spans="1:13" x14ac:dyDescent="0.35">
      <c r="A97">
        <v>1</v>
      </c>
      <c r="B97" s="18">
        <v>44044</v>
      </c>
      <c r="C97" t="s">
        <v>169</v>
      </c>
      <c r="D97" s="23">
        <v>214.2</v>
      </c>
      <c r="E97" t="s">
        <v>293</v>
      </c>
      <c r="F97" t="s">
        <v>180</v>
      </c>
      <c r="G97" t="s">
        <v>214</v>
      </c>
      <c r="H97" t="s">
        <v>413</v>
      </c>
      <c r="I97" t="s">
        <v>369</v>
      </c>
      <c r="J97" s="23">
        <v>214.2</v>
      </c>
      <c r="K97" s="22">
        <v>214.2</v>
      </c>
      <c r="M97" t="s">
        <v>267</v>
      </c>
    </row>
    <row r="98" spans="1:13" x14ac:dyDescent="0.35">
      <c r="A98">
        <v>1</v>
      </c>
      <c r="B98" s="18">
        <v>44044</v>
      </c>
      <c r="C98" t="s">
        <v>34</v>
      </c>
      <c r="D98" s="23">
        <v>214.2</v>
      </c>
      <c r="E98" t="s">
        <v>292</v>
      </c>
      <c r="F98" t="s">
        <v>180</v>
      </c>
      <c r="G98" t="s">
        <v>214</v>
      </c>
      <c r="H98" t="s">
        <v>413</v>
      </c>
      <c r="I98" t="s">
        <v>370</v>
      </c>
      <c r="J98" s="23">
        <v>-214.2</v>
      </c>
      <c r="K98" s="22">
        <v>214.2</v>
      </c>
      <c r="M98" t="s">
        <v>267</v>
      </c>
    </row>
    <row r="99" spans="1:13" x14ac:dyDescent="0.35">
      <c r="A99">
        <v>1</v>
      </c>
      <c r="B99" s="18">
        <v>44044</v>
      </c>
      <c r="C99" t="s">
        <v>34</v>
      </c>
      <c r="D99" s="23">
        <v>154.37</v>
      </c>
      <c r="E99" t="s">
        <v>290</v>
      </c>
      <c r="F99" t="s">
        <v>180</v>
      </c>
      <c r="G99" t="s">
        <v>214</v>
      </c>
      <c r="H99" t="s">
        <v>414</v>
      </c>
      <c r="I99" t="s">
        <v>371</v>
      </c>
      <c r="J99" s="23">
        <v>-154.37</v>
      </c>
      <c r="K99" s="22">
        <v>154.37</v>
      </c>
      <c r="M99" t="s">
        <v>267</v>
      </c>
    </row>
    <row r="100" spans="1:13" x14ac:dyDescent="0.35">
      <c r="A100">
        <v>1</v>
      </c>
      <c r="B100" s="18">
        <v>44044</v>
      </c>
      <c r="C100" t="s">
        <v>169</v>
      </c>
      <c r="D100" s="23">
        <v>183.16</v>
      </c>
      <c r="E100" t="s">
        <v>291</v>
      </c>
      <c r="F100" t="s">
        <v>180</v>
      </c>
      <c r="G100" t="s">
        <v>214</v>
      </c>
      <c r="H100" t="s">
        <v>414</v>
      </c>
      <c r="I100" t="s">
        <v>372</v>
      </c>
      <c r="J100" s="23">
        <v>183.16</v>
      </c>
      <c r="K100" s="22">
        <v>183.16</v>
      </c>
      <c r="M100" t="s">
        <v>267</v>
      </c>
    </row>
    <row r="101" spans="1:13" x14ac:dyDescent="0.35">
      <c r="A101">
        <v>1</v>
      </c>
      <c r="B101" s="18">
        <v>44044</v>
      </c>
      <c r="C101" t="s">
        <v>169</v>
      </c>
      <c r="D101" s="23">
        <v>379.51</v>
      </c>
      <c r="E101" t="s">
        <v>292</v>
      </c>
      <c r="F101" t="s">
        <v>180</v>
      </c>
      <c r="G101" t="s">
        <v>214</v>
      </c>
      <c r="H101" t="s">
        <v>414</v>
      </c>
      <c r="I101" t="s">
        <v>373</v>
      </c>
      <c r="J101" s="23">
        <v>379.51</v>
      </c>
      <c r="K101" s="22">
        <v>379.51</v>
      </c>
      <c r="M101" t="s">
        <v>267</v>
      </c>
    </row>
    <row r="102" spans="1:13" x14ac:dyDescent="0.35">
      <c r="A102">
        <v>1</v>
      </c>
      <c r="B102" s="18">
        <v>44044</v>
      </c>
      <c r="C102" t="s">
        <v>169</v>
      </c>
      <c r="D102" s="23">
        <v>1170.93</v>
      </c>
      <c r="E102" t="s">
        <v>293</v>
      </c>
      <c r="F102" t="s">
        <v>180</v>
      </c>
      <c r="G102" t="s">
        <v>214</v>
      </c>
      <c r="H102" t="s">
        <v>414</v>
      </c>
      <c r="I102" t="s">
        <v>374</v>
      </c>
      <c r="J102" s="23">
        <v>1170.93</v>
      </c>
      <c r="K102" s="22">
        <v>1170.93</v>
      </c>
      <c r="M102" t="s">
        <v>267</v>
      </c>
    </row>
    <row r="103" spans="1:13" x14ac:dyDescent="0.35">
      <c r="A103">
        <v>1</v>
      </c>
      <c r="B103" s="18">
        <v>44044</v>
      </c>
      <c r="C103" t="s">
        <v>34</v>
      </c>
      <c r="D103" s="23">
        <v>1579.23</v>
      </c>
      <c r="E103" t="s">
        <v>443</v>
      </c>
      <c r="F103" t="s">
        <v>180</v>
      </c>
      <c r="G103" t="s">
        <v>214</v>
      </c>
      <c r="H103" t="s">
        <v>414</v>
      </c>
      <c r="I103" t="s">
        <v>375</v>
      </c>
      <c r="J103" s="23">
        <v>-1579.23</v>
      </c>
      <c r="K103" s="22">
        <v>1579.23</v>
      </c>
      <c r="M103" t="s">
        <v>267</v>
      </c>
    </row>
    <row r="104" spans="1:13" x14ac:dyDescent="0.35">
      <c r="A104">
        <v>1</v>
      </c>
      <c r="B104" s="18">
        <v>44044</v>
      </c>
      <c r="C104" t="s">
        <v>169</v>
      </c>
      <c r="D104" s="23">
        <v>379.51</v>
      </c>
      <c r="E104" t="s">
        <v>293</v>
      </c>
      <c r="F104" t="s">
        <v>180</v>
      </c>
      <c r="G104" t="s">
        <v>214</v>
      </c>
      <c r="H104" t="s">
        <v>414</v>
      </c>
      <c r="I104" t="s">
        <v>376</v>
      </c>
      <c r="J104" s="23">
        <v>379.51</v>
      </c>
      <c r="K104" s="22">
        <v>379.51</v>
      </c>
      <c r="M104" t="s">
        <v>267</v>
      </c>
    </row>
    <row r="105" spans="1:13" x14ac:dyDescent="0.35">
      <c r="A105">
        <v>1</v>
      </c>
      <c r="B105" s="18">
        <v>44044</v>
      </c>
      <c r="C105" t="s">
        <v>34</v>
      </c>
      <c r="D105" s="23">
        <v>379.51</v>
      </c>
      <c r="E105" t="s">
        <v>292</v>
      </c>
      <c r="F105" t="s">
        <v>180</v>
      </c>
      <c r="G105" t="s">
        <v>214</v>
      </c>
      <c r="H105" t="s">
        <v>414</v>
      </c>
      <c r="I105" t="s">
        <v>377</v>
      </c>
      <c r="J105" s="23">
        <v>-379.51</v>
      </c>
      <c r="K105" s="22">
        <v>379.51</v>
      </c>
      <c r="M105" t="s">
        <v>267</v>
      </c>
    </row>
    <row r="106" spans="1:13" x14ac:dyDescent="0.35">
      <c r="A106">
        <v>1</v>
      </c>
      <c r="B106" s="18">
        <v>44044</v>
      </c>
      <c r="C106" t="s">
        <v>34</v>
      </c>
      <c r="D106" s="23">
        <v>37.35</v>
      </c>
      <c r="E106" t="s">
        <v>290</v>
      </c>
      <c r="F106" t="s">
        <v>1004</v>
      </c>
      <c r="G106" t="s">
        <v>82</v>
      </c>
      <c r="H106" t="s">
        <v>415</v>
      </c>
      <c r="I106" t="s">
        <v>378</v>
      </c>
      <c r="J106" s="23">
        <v>-37.35</v>
      </c>
      <c r="K106" s="22">
        <v>37.35</v>
      </c>
      <c r="M106" t="s">
        <v>267</v>
      </c>
    </row>
    <row r="107" spans="1:13" x14ac:dyDescent="0.35">
      <c r="A107">
        <v>1</v>
      </c>
      <c r="B107" s="18">
        <v>44044</v>
      </c>
      <c r="C107" t="s">
        <v>169</v>
      </c>
      <c r="D107" s="23">
        <v>71.349999999999994</v>
      </c>
      <c r="E107" t="s">
        <v>292</v>
      </c>
      <c r="F107" t="s">
        <v>1004</v>
      </c>
      <c r="G107" t="s">
        <v>82</v>
      </c>
      <c r="H107" t="s">
        <v>415</v>
      </c>
      <c r="I107" t="s">
        <v>379</v>
      </c>
      <c r="J107" s="23">
        <v>71.349999999999994</v>
      </c>
      <c r="K107" s="22">
        <v>71.349999999999994</v>
      </c>
      <c r="M107" t="s">
        <v>267</v>
      </c>
    </row>
    <row r="108" spans="1:13" x14ac:dyDescent="0.35">
      <c r="A108">
        <v>1</v>
      </c>
      <c r="B108" s="18">
        <v>44044</v>
      </c>
      <c r="C108" t="s">
        <v>169</v>
      </c>
      <c r="D108" s="23">
        <v>323.5</v>
      </c>
      <c r="E108" t="s">
        <v>293</v>
      </c>
      <c r="F108" t="s">
        <v>1004</v>
      </c>
      <c r="G108" t="s">
        <v>82</v>
      </c>
      <c r="H108" t="s">
        <v>415</v>
      </c>
      <c r="I108" t="s">
        <v>380</v>
      </c>
      <c r="J108" s="23">
        <v>323.5</v>
      </c>
      <c r="K108" s="22">
        <v>323.5</v>
      </c>
      <c r="M108" t="s">
        <v>267</v>
      </c>
    </row>
    <row r="109" spans="1:13" x14ac:dyDescent="0.35">
      <c r="A109">
        <v>1</v>
      </c>
      <c r="B109" s="18">
        <v>44044</v>
      </c>
      <c r="C109" t="s">
        <v>34</v>
      </c>
      <c r="D109" s="23">
        <v>357.5</v>
      </c>
      <c r="E109" t="s">
        <v>442</v>
      </c>
      <c r="F109" t="s">
        <v>1004</v>
      </c>
      <c r="G109" t="s">
        <v>82</v>
      </c>
      <c r="H109" t="s">
        <v>415</v>
      </c>
      <c r="I109" t="s">
        <v>381</v>
      </c>
      <c r="J109" s="23">
        <v>-357.5</v>
      </c>
      <c r="K109" s="22">
        <v>357.5</v>
      </c>
      <c r="M109" t="s">
        <v>267</v>
      </c>
    </row>
    <row r="110" spans="1:13" x14ac:dyDescent="0.35">
      <c r="A110">
        <v>1</v>
      </c>
      <c r="B110" s="18">
        <v>44044</v>
      </c>
      <c r="C110" t="s">
        <v>169</v>
      </c>
      <c r="D110" s="23">
        <v>71.349999999999994</v>
      </c>
      <c r="E110" t="s">
        <v>293</v>
      </c>
      <c r="F110" t="s">
        <v>1004</v>
      </c>
      <c r="G110" t="s">
        <v>82</v>
      </c>
      <c r="H110" t="s">
        <v>415</v>
      </c>
      <c r="I110" t="s">
        <v>382</v>
      </c>
      <c r="J110" s="23">
        <v>71.349999999999994</v>
      </c>
      <c r="K110" s="22">
        <v>71.349999999999994</v>
      </c>
      <c r="M110" t="s">
        <v>267</v>
      </c>
    </row>
    <row r="111" spans="1:13" x14ac:dyDescent="0.35">
      <c r="A111">
        <v>1</v>
      </c>
      <c r="B111" s="18">
        <v>44044</v>
      </c>
      <c r="C111" t="s">
        <v>34</v>
      </c>
      <c r="D111" s="23">
        <v>71.349999999999994</v>
      </c>
      <c r="E111" t="s">
        <v>292</v>
      </c>
      <c r="F111" t="s">
        <v>1004</v>
      </c>
      <c r="G111" t="s">
        <v>82</v>
      </c>
      <c r="H111" t="s">
        <v>415</v>
      </c>
      <c r="I111" t="s">
        <v>383</v>
      </c>
      <c r="J111" s="23">
        <v>-71.349999999999994</v>
      </c>
      <c r="K111" s="22">
        <v>71.349999999999994</v>
      </c>
      <c r="M111" t="s">
        <v>267</v>
      </c>
    </row>
    <row r="112" spans="1:13" x14ac:dyDescent="0.35">
      <c r="A112">
        <v>1</v>
      </c>
      <c r="B112" s="18">
        <v>44044</v>
      </c>
      <c r="C112" t="s">
        <v>34</v>
      </c>
      <c r="D112" s="23">
        <v>93.03</v>
      </c>
      <c r="E112" t="s">
        <v>290</v>
      </c>
      <c r="F112" t="s">
        <v>222</v>
      </c>
      <c r="G112" t="s">
        <v>82</v>
      </c>
      <c r="H112" t="s">
        <v>416</v>
      </c>
      <c r="I112" t="s">
        <v>384</v>
      </c>
      <c r="J112" s="23">
        <v>-93.03</v>
      </c>
      <c r="K112" s="22">
        <v>93.03</v>
      </c>
      <c r="M112" t="s">
        <v>267</v>
      </c>
    </row>
    <row r="113" spans="1:13" x14ac:dyDescent="0.35">
      <c r="A113">
        <v>1</v>
      </c>
      <c r="B113" s="18">
        <v>44044</v>
      </c>
      <c r="C113" t="s">
        <v>169</v>
      </c>
      <c r="D113" s="23">
        <v>123.62</v>
      </c>
      <c r="E113" t="s">
        <v>291</v>
      </c>
      <c r="F113" t="s">
        <v>222</v>
      </c>
      <c r="G113" t="s">
        <v>82</v>
      </c>
      <c r="H113" t="s">
        <v>416</v>
      </c>
      <c r="I113" t="s">
        <v>385</v>
      </c>
      <c r="J113" s="23">
        <v>123.62</v>
      </c>
      <c r="K113" s="22">
        <v>123.62</v>
      </c>
      <c r="M113" t="s">
        <v>267</v>
      </c>
    </row>
    <row r="114" spans="1:13" x14ac:dyDescent="0.35">
      <c r="A114">
        <v>1</v>
      </c>
      <c r="B114" s="18">
        <v>44044</v>
      </c>
      <c r="C114" t="s">
        <v>169</v>
      </c>
      <c r="D114" s="23">
        <v>201.81</v>
      </c>
      <c r="E114" t="s">
        <v>292</v>
      </c>
      <c r="F114" t="s">
        <v>222</v>
      </c>
      <c r="G114" t="s">
        <v>82</v>
      </c>
      <c r="H114" t="s">
        <v>416</v>
      </c>
      <c r="I114" t="s">
        <v>386</v>
      </c>
      <c r="J114" s="23">
        <v>201.81</v>
      </c>
      <c r="K114" s="22">
        <v>201.81</v>
      </c>
      <c r="M114" t="s">
        <v>267</v>
      </c>
    </row>
    <row r="115" spans="1:13" x14ac:dyDescent="0.35">
      <c r="A115">
        <v>1</v>
      </c>
      <c r="B115" s="18">
        <v>44044</v>
      </c>
      <c r="C115" t="s">
        <v>169</v>
      </c>
      <c r="D115" s="23">
        <v>732.4</v>
      </c>
      <c r="E115" t="s">
        <v>293</v>
      </c>
      <c r="F115" t="s">
        <v>222</v>
      </c>
      <c r="G115" t="s">
        <v>82</v>
      </c>
      <c r="H115" t="s">
        <v>416</v>
      </c>
      <c r="I115" t="s">
        <v>387</v>
      </c>
      <c r="J115" s="23">
        <v>732.4</v>
      </c>
      <c r="K115" s="22">
        <v>732.4</v>
      </c>
      <c r="M115" t="s">
        <v>267</v>
      </c>
    </row>
    <row r="116" spans="1:13" x14ac:dyDescent="0.35">
      <c r="A116">
        <v>1</v>
      </c>
      <c r="B116" s="18">
        <v>44044</v>
      </c>
      <c r="C116" t="s">
        <v>34</v>
      </c>
      <c r="D116" s="23">
        <v>964.8</v>
      </c>
      <c r="E116" t="s">
        <v>67</v>
      </c>
      <c r="F116" t="s">
        <v>222</v>
      </c>
      <c r="G116" t="s">
        <v>82</v>
      </c>
      <c r="H116" t="s">
        <v>416</v>
      </c>
      <c r="I116" t="s">
        <v>388</v>
      </c>
      <c r="J116" s="23">
        <v>-964.8</v>
      </c>
      <c r="K116" s="22">
        <v>964.8</v>
      </c>
      <c r="M116" t="s">
        <v>267</v>
      </c>
    </row>
    <row r="117" spans="1:13" x14ac:dyDescent="0.35">
      <c r="A117">
        <v>1</v>
      </c>
      <c r="B117" s="18">
        <v>44044</v>
      </c>
      <c r="C117" t="s">
        <v>169</v>
      </c>
      <c r="D117" s="23">
        <v>201.81</v>
      </c>
      <c r="E117" t="s">
        <v>293</v>
      </c>
      <c r="F117" t="s">
        <v>222</v>
      </c>
      <c r="G117" t="s">
        <v>82</v>
      </c>
      <c r="H117" t="s">
        <v>416</v>
      </c>
      <c r="I117" t="s">
        <v>389</v>
      </c>
      <c r="J117" s="23">
        <v>201.81</v>
      </c>
      <c r="K117" s="22">
        <v>201.81</v>
      </c>
      <c r="M117" t="s">
        <v>267</v>
      </c>
    </row>
    <row r="118" spans="1:13" x14ac:dyDescent="0.35">
      <c r="A118">
        <v>1</v>
      </c>
      <c r="B118" s="18">
        <v>44044</v>
      </c>
      <c r="C118" t="s">
        <v>34</v>
      </c>
      <c r="D118" s="23">
        <v>201.81</v>
      </c>
      <c r="E118" t="s">
        <v>292</v>
      </c>
      <c r="F118" t="s">
        <v>222</v>
      </c>
      <c r="G118" t="s">
        <v>82</v>
      </c>
      <c r="H118" t="s">
        <v>416</v>
      </c>
      <c r="I118" t="s">
        <v>390</v>
      </c>
      <c r="J118" s="23">
        <v>-201.81</v>
      </c>
      <c r="K118" s="22">
        <v>201.81</v>
      </c>
      <c r="M118" t="s">
        <v>267</v>
      </c>
    </row>
    <row r="119" spans="1:13" x14ac:dyDescent="0.35">
      <c r="M119" t="s">
        <v>267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120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244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  <c r="H1" t="s">
        <v>251</v>
      </c>
      <c r="I1" t="s">
        <v>252</v>
      </c>
      <c r="J1" t="s">
        <v>253</v>
      </c>
    </row>
    <row r="2" spans="1:10" x14ac:dyDescent="0.35">
      <c r="A2" t="s">
        <v>254</v>
      </c>
      <c r="B2" t="s">
        <v>255</v>
      </c>
      <c r="C2" t="s">
        <v>246</v>
      </c>
      <c r="D2" t="s">
        <v>247</v>
      </c>
      <c r="E2" t="s">
        <v>248</v>
      </c>
      <c r="F2" t="s">
        <v>249</v>
      </c>
      <c r="G2" t="s">
        <v>250</v>
      </c>
      <c r="H2" t="s">
        <v>251</v>
      </c>
      <c r="I2" t="s">
        <v>252</v>
      </c>
      <c r="J2" t="s">
        <v>253</v>
      </c>
    </row>
    <row r="3" spans="1:10" x14ac:dyDescent="0.35">
      <c r="A3" t="s">
        <v>256</v>
      </c>
    </row>
    <row r="4" spans="1:10" x14ac:dyDescent="0.35">
      <c r="A4" t="s">
        <v>260</v>
      </c>
      <c r="C4" t="s">
        <v>258</v>
      </c>
      <c r="D4">
        <v>44044</v>
      </c>
      <c r="F4" t="s">
        <v>290</v>
      </c>
      <c r="G4" t="s">
        <v>403</v>
      </c>
      <c r="H4">
        <v>90.120800000000003</v>
      </c>
      <c r="I4" t="s">
        <v>180</v>
      </c>
    </row>
    <row r="5" spans="1:10" x14ac:dyDescent="0.35">
      <c r="A5" t="s">
        <v>260</v>
      </c>
      <c r="C5" t="s">
        <v>258</v>
      </c>
      <c r="D5">
        <v>44044</v>
      </c>
      <c r="F5" t="s">
        <v>290</v>
      </c>
      <c r="G5" t="s">
        <v>403</v>
      </c>
      <c r="H5">
        <v>26.919200000000004</v>
      </c>
      <c r="I5" t="s">
        <v>221</v>
      </c>
    </row>
    <row r="6" spans="1:10" x14ac:dyDescent="0.35">
      <c r="A6" t="s">
        <v>260</v>
      </c>
      <c r="C6" t="s">
        <v>258</v>
      </c>
      <c r="D6">
        <v>44044</v>
      </c>
      <c r="F6" t="s">
        <v>291</v>
      </c>
      <c r="G6" t="s">
        <v>403</v>
      </c>
      <c r="H6">
        <v>38.5</v>
      </c>
      <c r="I6" t="s">
        <v>180</v>
      </c>
    </row>
    <row r="7" spans="1:10" x14ac:dyDescent="0.35">
      <c r="A7" t="s">
        <v>260</v>
      </c>
      <c r="C7" t="s">
        <v>258</v>
      </c>
      <c r="D7">
        <v>44044</v>
      </c>
      <c r="F7" t="s">
        <v>291</v>
      </c>
      <c r="G7" t="s">
        <v>403</v>
      </c>
      <c r="H7">
        <v>11.5</v>
      </c>
      <c r="I7" t="s">
        <v>221</v>
      </c>
    </row>
    <row r="8" spans="1:10" x14ac:dyDescent="0.35">
      <c r="A8" t="s">
        <v>260</v>
      </c>
      <c r="C8" t="s">
        <v>258</v>
      </c>
      <c r="D8">
        <v>44044</v>
      </c>
      <c r="F8" t="s">
        <v>292</v>
      </c>
      <c r="G8" t="s">
        <v>403</v>
      </c>
      <c r="H8">
        <v>225.23269999999999</v>
      </c>
      <c r="I8" t="s">
        <v>180</v>
      </c>
    </row>
    <row r="9" spans="1:10" x14ac:dyDescent="0.35">
      <c r="A9" t="s">
        <v>260</v>
      </c>
      <c r="C9" t="s">
        <v>258</v>
      </c>
      <c r="D9">
        <v>44044</v>
      </c>
      <c r="F9" t="s">
        <v>292</v>
      </c>
      <c r="G9" t="s">
        <v>403</v>
      </c>
      <c r="H9">
        <v>67.277299999999997</v>
      </c>
      <c r="I9" t="s">
        <v>221</v>
      </c>
    </row>
    <row r="10" spans="1:10" x14ac:dyDescent="0.35">
      <c r="A10" t="s">
        <v>260</v>
      </c>
      <c r="C10" t="s">
        <v>258</v>
      </c>
      <c r="D10">
        <v>44044</v>
      </c>
      <c r="F10" t="s">
        <v>293</v>
      </c>
      <c r="G10" t="s">
        <v>403</v>
      </c>
      <c r="H10">
        <v>688.78809999999999</v>
      </c>
      <c r="I10" t="s">
        <v>180</v>
      </c>
    </row>
    <row r="11" spans="1:10" x14ac:dyDescent="0.35">
      <c r="A11" t="s">
        <v>260</v>
      </c>
      <c r="C11" t="s">
        <v>258</v>
      </c>
      <c r="D11">
        <v>44044</v>
      </c>
      <c r="F11" t="s">
        <v>293</v>
      </c>
      <c r="G11" t="s">
        <v>403</v>
      </c>
      <c r="H11">
        <v>205.74190000000002</v>
      </c>
      <c r="I11" t="s">
        <v>221</v>
      </c>
    </row>
    <row r="12" spans="1:10" x14ac:dyDescent="0.35">
      <c r="A12" t="s">
        <v>260</v>
      </c>
      <c r="C12" t="s">
        <v>258</v>
      </c>
      <c r="D12">
        <v>44044</v>
      </c>
      <c r="F12" t="s">
        <v>439</v>
      </c>
      <c r="G12" t="s">
        <v>403</v>
      </c>
      <c r="H12">
        <v>862.4</v>
      </c>
      <c r="I12" t="s">
        <v>180</v>
      </c>
    </row>
    <row r="13" spans="1:10" x14ac:dyDescent="0.35">
      <c r="A13" t="s">
        <v>260</v>
      </c>
      <c r="C13" t="s">
        <v>258</v>
      </c>
      <c r="D13">
        <v>44044</v>
      </c>
      <c r="F13" t="s">
        <v>439</v>
      </c>
      <c r="G13" t="s">
        <v>403</v>
      </c>
      <c r="H13">
        <v>257.60000000000002</v>
      </c>
      <c r="I13" t="s">
        <v>221</v>
      </c>
    </row>
    <row r="14" spans="1:10" x14ac:dyDescent="0.35">
      <c r="A14" t="s">
        <v>260</v>
      </c>
      <c r="C14" t="s">
        <v>258</v>
      </c>
      <c r="D14">
        <v>44044</v>
      </c>
      <c r="F14" t="s">
        <v>293</v>
      </c>
      <c r="G14" t="s">
        <v>403</v>
      </c>
      <c r="H14">
        <v>225.23269999999999</v>
      </c>
      <c r="I14" t="s">
        <v>180</v>
      </c>
    </row>
    <row r="15" spans="1:10" x14ac:dyDescent="0.35">
      <c r="A15" t="s">
        <v>260</v>
      </c>
      <c r="C15" t="s">
        <v>258</v>
      </c>
      <c r="D15">
        <v>44044</v>
      </c>
      <c r="F15" t="s">
        <v>293</v>
      </c>
      <c r="G15" t="s">
        <v>403</v>
      </c>
      <c r="H15">
        <v>67.277299999999997</v>
      </c>
      <c r="I15" t="s">
        <v>221</v>
      </c>
    </row>
    <row r="16" spans="1:10" x14ac:dyDescent="0.35">
      <c r="A16" t="s">
        <v>260</v>
      </c>
      <c r="C16" t="s">
        <v>258</v>
      </c>
      <c r="D16">
        <v>44044</v>
      </c>
      <c r="F16" t="s">
        <v>292</v>
      </c>
      <c r="G16" t="s">
        <v>403</v>
      </c>
      <c r="H16">
        <v>225.23269999999999</v>
      </c>
      <c r="I16" t="s">
        <v>180</v>
      </c>
    </row>
    <row r="17" spans="1:9" x14ac:dyDescent="0.35">
      <c r="A17" t="s">
        <v>260</v>
      </c>
      <c r="C17" t="s">
        <v>258</v>
      </c>
      <c r="D17">
        <v>44044</v>
      </c>
      <c r="F17" t="s">
        <v>292</v>
      </c>
      <c r="G17" t="s">
        <v>403</v>
      </c>
      <c r="H17">
        <v>67.277299999999997</v>
      </c>
      <c r="I17" t="s">
        <v>221</v>
      </c>
    </row>
    <row r="18" spans="1:9" x14ac:dyDescent="0.35">
      <c r="A18" t="s">
        <v>260</v>
      </c>
      <c r="C18" t="s">
        <v>258</v>
      </c>
      <c r="D18">
        <v>44044</v>
      </c>
      <c r="F18" t="s">
        <v>290</v>
      </c>
      <c r="G18" t="s">
        <v>404</v>
      </c>
      <c r="H18">
        <v>127.1</v>
      </c>
      <c r="I18" t="s">
        <v>222</v>
      </c>
    </row>
    <row r="19" spans="1:9" x14ac:dyDescent="0.35">
      <c r="A19" t="s">
        <v>260</v>
      </c>
      <c r="C19" t="s">
        <v>258</v>
      </c>
      <c r="D19">
        <v>44044</v>
      </c>
      <c r="F19" t="s">
        <v>291</v>
      </c>
      <c r="G19" t="s">
        <v>404</v>
      </c>
      <c r="H19">
        <v>156.81</v>
      </c>
      <c r="I19" t="s">
        <v>222</v>
      </c>
    </row>
    <row r="20" spans="1:9" x14ac:dyDescent="0.35">
      <c r="A20" t="s">
        <v>260</v>
      </c>
      <c r="C20" t="s">
        <v>258</v>
      </c>
      <c r="D20">
        <v>44044</v>
      </c>
      <c r="F20" t="s">
        <v>292</v>
      </c>
      <c r="G20" t="s">
        <v>404</v>
      </c>
      <c r="H20">
        <v>263.94</v>
      </c>
      <c r="I20" t="s">
        <v>222</v>
      </c>
    </row>
    <row r="21" spans="1:9" x14ac:dyDescent="0.35">
      <c r="A21" t="s">
        <v>260</v>
      </c>
      <c r="C21" t="s">
        <v>258</v>
      </c>
      <c r="D21">
        <v>44044</v>
      </c>
      <c r="F21" t="s">
        <v>293</v>
      </c>
      <c r="G21" t="s">
        <v>404</v>
      </c>
      <c r="H21">
        <v>989.06</v>
      </c>
      <c r="I21" t="s">
        <v>222</v>
      </c>
    </row>
    <row r="22" spans="1:9" x14ac:dyDescent="0.35">
      <c r="A22" t="s">
        <v>260</v>
      </c>
      <c r="C22" t="s">
        <v>258</v>
      </c>
      <c r="D22">
        <v>44044</v>
      </c>
      <c r="F22" t="s">
        <v>67</v>
      </c>
      <c r="G22" t="s">
        <v>404</v>
      </c>
      <c r="H22">
        <v>1282.71</v>
      </c>
      <c r="I22" t="s">
        <v>222</v>
      </c>
    </row>
    <row r="23" spans="1:9" x14ac:dyDescent="0.35">
      <c r="A23" t="s">
        <v>260</v>
      </c>
      <c r="C23" t="s">
        <v>258</v>
      </c>
      <c r="D23">
        <v>44044</v>
      </c>
      <c r="F23" t="s">
        <v>293</v>
      </c>
      <c r="G23" t="s">
        <v>404</v>
      </c>
      <c r="H23">
        <v>263.94</v>
      </c>
      <c r="I23" t="s">
        <v>222</v>
      </c>
    </row>
    <row r="24" spans="1:9" x14ac:dyDescent="0.35">
      <c r="A24" t="s">
        <v>260</v>
      </c>
      <c r="C24" t="s">
        <v>258</v>
      </c>
      <c r="D24">
        <v>44044</v>
      </c>
      <c r="F24" t="s">
        <v>292</v>
      </c>
      <c r="G24" t="s">
        <v>404</v>
      </c>
      <c r="H24">
        <v>263.94</v>
      </c>
      <c r="I24" t="s">
        <v>222</v>
      </c>
    </row>
    <row r="25" spans="1:9" x14ac:dyDescent="0.35">
      <c r="A25" t="s">
        <v>260</v>
      </c>
      <c r="C25" t="s">
        <v>258</v>
      </c>
      <c r="D25">
        <v>44044</v>
      </c>
      <c r="F25" t="s">
        <v>290</v>
      </c>
      <c r="G25" t="s">
        <v>405</v>
      </c>
      <c r="H25">
        <v>132.44999999999999</v>
      </c>
      <c r="I25" t="s">
        <v>180</v>
      </c>
    </row>
    <row r="26" spans="1:9" x14ac:dyDescent="0.35">
      <c r="A26" t="s">
        <v>260</v>
      </c>
      <c r="C26" t="s">
        <v>258</v>
      </c>
      <c r="D26">
        <v>44044</v>
      </c>
      <c r="F26" t="s">
        <v>291</v>
      </c>
      <c r="G26" t="s">
        <v>405</v>
      </c>
      <c r="H26">
        <v>109.32</v>
      </c>
      <c r="I26" t="s">
        <v>180</v>
      </c>
    </row>
    <row r="27" spans="1:9" x14ac:dyDescent="0.35">
      <c r="A27" t="s">
        <v>260</v>
      </c>
      <c r="C27" t="s">
        <v>258</v>
      </c>
      <c r="D27">
        <v>44044</v>
      </c>
      <c r="F27" t="s">
        <v>292</v>
      </c>
      <c r="G27" t="s">
        <v>405</v>
      </c>
      <c r="H27">
        <v>323.44</v>
      </c>
      <c r="I27" t="s">
        <v>180</v>
      </c>
    </row>
    <row r="28" spans="1:9" x14ac:dyDescent="0.35">
      <c r="A28" t="s">
        <v>260</v>
      </c>
      <c r="C28" t="s">
        <v>258</v>
      </c>
      <c r="D28">
        <v>44044</v>
      </c>
      <c r="F28" t="s">
        <v>293</v>
      </c>
      <c r="G28" t="s">
        <v>405</v>
      </c>
      <c r="H28">
        <v>1047.17</v>
      </c>
      <c r="I28" t="s">
        <v>180</v>
      </c>
    </row>
    <row r="29" spans="1:9" x14ac:dyDescent="0.35">
      <c r="A29" t="s">
        <v>260</v>
      </c>
      <c r="C29" t="s">
        <v>258</v>
      </c>
      <c r="D29">
        <v>44044</v>
      </c>
      <c r="F29" t="s">
        <v>443</v>
      </c>
      <c r="G29" t="s">
        <v>405</v>
      </c>
      <c r="H29">
        <v>1347.48</v>
      </c>
      <c r="I29" t="s">
        <v>180</v>
      </c>
    </row>
    <row r="30" spans="1:9" x14ac:dyDescent="0.35">
      <c r="A30" t="s">
        <v>260</v>
      </c>
      <c r="C30" t="s">
        <v>258</v>
      </c>
      <c r="D30">
        <v>44044</v>
      </c>
      <c r="F30" t="s">
        <v>293</v>
      </c>
      <c r="G30" t="s">
        <v>405</v>
      </c>
      <c r="H30">
        <v>323.44</v>
      </c>
      <c r="I30" t="s">
        <v>180</v>
      </c>
    </row>
    <row r="31" spans="1:9" x14ac:dyDescent="0.35">
      <c r="A31" t="s">
        <v>260</v>
      </c>
      <c r="C31" t="s">
        <v>258</v>
      </c>
      <c r="D31">
        <v>44044</v>
      </c>
      <c r="F31" t="s">
        <v>292</v>
      </c>
      <c r="G31" t="s">
        <v>405</v>
      </c>
      <c r="H31">
        <v>323.44</v>
      </c>
      <c r="I31" t="s">
        <v>180</v>
      </c>
    </row>
    <row r="32" spans="1:9" x14ac:dyDescent="0.35">
      <c r="A32" t="s">
        <v>260</v>
      </c>
      <c r="C32" t="s">
        <v>258</v>
      </c>
      <c r="D32">
        <v>44044</v>
      </c>
      <c r="F32" t="s">
        <v>290</v>
      </c>
      <c r="G32" t="s">
        <v>406</v>
      </c>
      <c r="H32">
        <v>55.27</v>
      </c>
      <c r="I32" t="s">
        <v>1004</v>
      </c>
    </row>
    <row r="33" spans="1:9" x14ac:dyDescent="0.35">
      <c r="A33" t="s">
        <v>260</v>
      </c>
      <c r="C33" t="s">
        <v>258</v>
      </c>
      <c r="D33">
        <v>44044</v>
      </c>
      <c r="F33" t="s">
        <v>292</v>
      </c>
      <c r="G33" t="s">
        <v>406</v>
      </c>
      <c r="H33">
        <v>145.62</v>
      </c>
      <c r="I33" t="s">
        <v>1004</v>
      </c>
    </row>
    <row r="34" spans="1:9" x14ac:dyDescent="0.35">
      <c r="A34" t="s">
        <v>260</v>
      </c>
      <c r="C34" t="s">
        <v>258</v>
      </c>
      <c r="D34">
        <v>44044</v>
      </c>
      <c r="F34" t="s">
        <v>293</v>
      </c>
      <c r="G34" t="s">
        <v>406</v>
      </c>
      <c r="H34">
        <v>438.53</v>
      </c>
      <c r="I34" t="s">
        <v>1004</v>
      </c>
    </row>
    <row r="35" spans="1:9" x14ac:dyDescent="0.35">
      <c r="A35" t="s">
        <v>260</v>
      </c>
      <c r="C35" t="s">
        <v>258</v>
      </c>
      <c r="D35">
        <v>44044</v>
      </c>
      <c r="F35" t="s">
        <v>442</v>
      </c>
      <c r="G35" t="s">
        <v>406</v>
      </c>
      <c r="H35">
        <v>528.88</v>
      </c>
      <c r="I35" t="s">
        <v>1004</v>
      </c>
    </row>
    <row r="36" spans="1:9" x14ac:dyDescent="0.35">
      <c r="A36" t="s">
        <v>260</v>
      </c>
      <c r="C36" t="s">
        <v>258</v>
      </c>
      <c r="D36">
        <v>44044</v>
      </c>
      <c r="F36" t="s">
        <v>293</v>
      </c>
      <c r="G36" t="s">
        <v>406</v>
      </c>
      <c r="H36">
        <v>145.62</v>
      </c>
      <c r="I36" t="s">
        <v>1004</v>
      </c>
    </row>
    <row r="37" spans="1:9" x14ac:dyDescent="0.35">
      <c r="A37" t="s">
        <v>260</v>
      </c>
      <c r="C37" t="s">
        <v>258</v>
      </c>
      <c r="D37">
        <v>44044</v>
      </c>
      <c r="F37" t="s">
        <v>292</v>
      </c>
      <c r="G37" t="s">
        <v>406</v>
      </c>
      <c r="H37">
        <v>145.62</v>
      </c>
      <c r="I37" t="s">
        <v>1004</v>
      </c>
    </row>
    <row r="38" spans="1:9" x14ac:dyDescent="0.35">
      <c r="A38" t="s">
        <v>260</v>
      </c>
      <c r="C38" t="s">
        <v>258</v>
      </c>
      <c r="D38">
        <v>44044</v>
      </c>
      <c r="F38" t="s">
        <v>290</v>
      </c>
      <c r="G38" t="s">
        <v>407</v>
      </c>
      <c r="H38">
        <v>21.625799999999998</v>
      </c>
      <c r="I38" t="s">
        <v>180</v>
      </c>
    </row>
    <row r="39" spans="1:9" x14ac:dyDescent="0.35">
      <c r="A39" t="s">
        <v>260</v>
      </c>
      <c r="C39" t="s">
        <v>258</v>
      </c>
      <c r="D39">
        <v>44044</v>
      </c>
      <c r="F39" t="s">
        <v>290</v>
      </c>
      <c r="G39" t="s">
        <v>407</v>
      </c>
      <c r="H39">
        <v>35.284199999999998</v>
      </c>
      <c r="I39" t="s">
        <v>221</v>
      </c>
    </row>
    <row r="40" spans="1:9" x14ac:dyDescent="0.35">
      <c r="A40" t="s">
        <v>260</v>
      </c>
      <c r="C40" t="s">
        <v>258</v>
      </c>
      <c r="D40">
        <v>44044</v>
      </c>
      <c r="F40" t="s">
        <v>292</v>
      </c>
      <c r="G40" t="s">
        <v>407</v>
      </c>
      <c r="H40">
        <v>50.612200000000001</v>
      </c>
      <c r="I40" t="s">
        <v>180</v>
      </c>
    </row>
    <row r="41" spans="1:9" x14ac:dyDescent="0.35">
      <c r="A41" t="s">
        <v>260</v>
      </c>
      <c r="C41" t="s">
        <v>258</v>
      </c>
      <c r="D41">
        <v>44044</v>
      </c>
      <c r="F41" t="s">
        <v>292</v>
      </c>
      <c r="G41" t="s">
        <v>407</v>
      </c>
      <c r="H41">
        <v>82.577799999999996</v>
      </c>
      <c r="I41" t="s">
        <v>221</v>
      </c>
    </row>
    <row r="42" spans="1:9" x14ac:dyDescent="0.35">
      <c r="A42" t="s">
        <v>260</v>
      </c>
      <c r="C42" t="s">
        <v>258</v>
      </c>
      <c r="D42">
        <v>44044</v>
      </c>
      <c r="F42" t="s">
        <v>293</v>
      </c>
      <c r="G42" t="s">
        <v>407</v>
      </c>
      <c r="H42">
        <v>177.92360000000002</v>
      </c>
      <c r="I42" t="s">
        <v>180</v>
      </c>
    </row>
    <row r="43" spans="1:9" x14ac:dyDescent="0.35">
      <c r="A43" t="s">
        <v>260</v>
      </c>
      <c r="C43" t="s">
        <v>258</v>
      </c>
      <c r="D43">
        <v>44044</v>
      </c>
      <c r="F43" t="s">
        <v>293</v>
      </c>
      <c r="G43" t="s">
        <v>407</v>
      </c>
      <c r="H43">
        <v>290.29640000000001</v>
      </c>
      <c r="I43" t="s">
        <v>221</v>
      </c>
    </row>
    <row r="44" spans="1:9" x14ac:dyDescent="0.35">
      <c r="A44" t="s">
        <v>260</v>
      </c>
      <c r="C44" t="s">
        <v>258</v>
      </c>
      <c r="D44">
        <v>44044</v>
      </c>
      <c r="F44" t="s">
        <v>438</v>
      </c>
      <c r="G44" t="s">
        <v>407</v>
      </c>
      <c r="H44">
        <v>206.91</v>
      </c>
      <c r="I44" t="s">
        <v>180</v>
      </c>
    </row>
    <row r="45" spans="1:9" x14ac:dyDescent="0.35">
      <c r="A45" t="s">
        <v>260</v>
      </c>
      <c r="C45" t="s">
        <v>258</v>
      </c>
      <c r="D45">
        <v>44044</v>
      </c>
      <c r="F45" t="s">
        <v>438</v>
      </c>
      <c r="G45" t="s">
        <v>407</v>
      </c>
      <c r="H45">
        <v>337.59</v>
      </c>
      <c r="I45" t="s">
        <v>221</v>
      </c>
    </row>
    <row r="46" spans="1:9" x14ac:dyDescent="0.35">
      <c r="A46" t="s">
        <v>260</v>
      </c>
      <c r="C46" t="s">
        <v>258</v>
      </c>
      <c r="D46">
        <v>44044</v>
      </c>
      <c r="F46" t="s">
        <v>293</v>
      </c>
      <c r="G46" t="s">
        <v>407</v>
      </c>
      <c r="H46">
        <v>50.612200000000001</v>
      </c>
      <c r="I46" t="s">
        <v>180</v>
      </c>
    </row>
    <row r="47" spans="1:9" x14ac:dyDescent="0.35">
      <c r="A47" t="s">
        <v>260</v>
      </c>
      <c r="C47" t="s">
        <v>258</v>
      </c>
      <c r="D47">
        <v>44044</v>
      </c>
      <c r="F47" t="s">
        <v>293</v>
      </c>
      <c r="G47" t="s">
        <v>407</v>
      </c>
      <c r="H47">
        <v>82.577799999999996</v>
      </c>
      <c r="I47" t="s">
        <v>221</v>
      </c>
    </row>
    <row r="48" spans="1:9" x14ac:dyDescent="0.35">
      <c r="A48" t="s">
        <v>260</v>
      </c>
      <c r="C48" t="s">
        <v>258</v>
      </c>
      <c r="D48">
        <v>44044</v>
      </c>
      <c r="F48" t="s">
        <v>292</v>
      </c>
      <c r="G48" t="s">
        <v>407</v>
      </c>
      <c r="H48">
        <v>50.612200000000001</v>
      </c>
      <c r="I48" t="s">
        <v>180</v>
      </c>
    </row>
    <row r="49" spans="1:9" x14ac:dyDescent="0.35">
      <c r="A49" t="s">
        <v>260</v>
      </c>
      <c r="C49" t="s">
        <v>258</v>
      </c>
      <c r="D49">
        <v>44044</v>
      </c>
      <c r="F49" t="s">
        <v>292</v>
      </c>
      <c r="G49" t="s">
        <v>407</v>
      </c>
      <c r="H49">
        <v>82.577799999999996</v>
      </c>
      <c r="I49" t="s">
        <v>221</v>
      </c>
    </row>
    <row r="50" spans="1:9" x14ac:dyDescent="0.35">
      <c r="A50" t="s">
        <v>260</v>
      </c>
      <c r="C50" t="s">
        <v>258</v>
      </c>
      <c r="D50">
        <v>44044</v>
      </c>
      <c r="F50" t="s">
        <v>290</v>
      </c>
      <c r="G50" t="s">
        <v>408</v>
      </c>
      <c r="H50">
        <v>194.06159999999997</v>
      </c>
      <c r="I50" t="s">
        <v>180</v>
      </c>
    </row>
    <row r="51" spans="1:9" x14ac:dyDescent="0.35">
      <c r="A51" t="s">
        <v>260</v>
      </c>
      <c r="C51" t="s">
        <v>258</v>
      </c>
      <c r="D51">
        <v>44044</v>
      </c>
      <c r="F51" t="s">
        <v>290</v>
      </c>
      <c r="G51" t="s">
        <v>408</v>
      </c>
      <c r="H51">
        <v>75.468400000000003</v>
      </c>
      <c r="I51" t="s">
        <v>221</v>
      </c>
    </row>
    <row r="52" spans="1:9" x14ac:dyDescent="0.35">
      <c r="A52" t="s">
        <v>260</v>
      </c>
      <c r="C52" t="s">
        <v>258</v>
      </c>
      <c r="D52">
        <v>44044</v>
      </c>
      <c r="F52" t="s">
        <v>291</v>
      </c>
      <c r="G52" t="s">
        <v>408</v>
      </c>
      <c r="H52">
        <v>203.83920000000001</v>
      </c>
      <c r="I52" t="s">
        <v>180</v>
      </c>
    </row>
    <row r="53" spans="1:9" x14ac:dyDescent="0.35">
      <c r="A53" t="s">
        <v>260</v>
      </c>
      <c r="C53" t="s">
        <v>258</v>
      </c>
      <c r="D53">
        <v>44044</v>
      </c>
      <c r="F53" t="s">
        <v>291</v>
      </c>
      <c r="G53" t="s">
        <v>408</v>
      </c>
      <c r="H53">
        <v>79.270800000000008</v>
      </c>
      <c r="I53" t="s">
        <v>221</v>
      </c>
    </row>
    <row r="54" spans="1:9" x14ac:dyDescent="0.35">
      <c r="A54" t="s">
        <v>260</v>
      </c>
      <c r="C54" t="s">
        <v>258</v>
      </c>
      <c r="D54">
        <v>44044</v>
      </c>
      <c r="F54" t="s">
        <v>292</v>
      </c>
      <c r="G54" t="s">
        <v>408</v>
      </c>
      <c r="H54">
        <v>632.87279999999998</v>
      </c>
      <c r="I54" t="s">
        <v>180</v>
      </c>
    </row>
    <row r="55" spans="1:9" x14ac:dyDescent="0.35">
      <c r="A55" t="s">
        <v>260</v>
      </c>
      <c r="C55" t="s">
        <v>258</v>
      </c>
      <c r="D55">
        <v>44044</v>
      </c>
      <c r="F55" t="s">
        <v>292</v>
      </c>
      <c r="G55" t="s">
        <v>408</v>
      </c>
      <c r="H55">
        <v>246.11720000000003</v>
      </c>
      <c r="I55" t="s">
        <v>221</v>
      </c>
    </row>
    <row r="56" spans="1:9" x14ac:dyDescent="0.35">
      <c r="A56" t="s">
        <v>260</v>
      </c>
      <c r="C56" t="s">
        <v>258</v>
      </c>
      <c r="D56">
        <v>44044</v>
      </c>
      <c r="F56" t="s">
        <v>293</v>
      </c>
      <c r="G56" t="s">
        <v>408</v>
      </c>
      <c r="H56">
        <v>1295.8127999999999</v>
      </c>
      <c r="I56" t="s">
        <v>180</v>
      </c>
    </row>
    <row r="57" spans="1:9" x14ac:dyDescent="0.35">
      <c r="A57" t="s">
        <v>260</v>
      </c>
      <c r="C57" t="s">
        <v>258</v>
      </c>
      <c r="D57">
        <v>44044</v>
      </c>
      <c r="F57" t="s">
        <v>293</v>
      </c>
      <c r="G57" t="s">
        <v>408</v>
      </c>
      <c r="H57">
        <v>503.92720000000003</v>
      </c>
      <c r="I57" t="s">
        <v>221</v>
      </c>
    </row>
    <row r="58" spans="1:9" x14ac:dyDescent="0.35">
      <c r="A58" t="s">
        <v>260</v>
      </c>
      <c r="C58" t="s">
        <v>258</v>
      </c>
      <c r="D58">
        <v>44044</v>
      </c>
      <c r="F58" t="s">
        <v>435</v>
      </c>
      <c r="G58" t="s">
        <v>408</v>
      </c>
      <c r="H58">
        <v>1938.4631999999999</v>
      </c>
      <c r="I58" t="s">
        <v>180</v>
      </c>
    </row>
    <row r="59" spans="1:9" x14ac:dyDescent="0.35">
      <c r="A59" t="s">
        <v>260</v>
      </c>
      <c r="C59" t="s">
        <v>258</v>
      </c>
      <c r="D59">
        <v>44044</v>
      </c>
      <c r="F59" t="s">
        <v>435</v>
      </c>
      <c r="G59" t="s">
        <v>408</v>
      </c>
      <c r="H59">
        <v>753.84680000000003</v>
      </c>
      <c r="I59" t="s">
        <v>221</v>
      </c>
    </row>
    <row r="60" spans="1:9" x14ac:dyDescent="0.35">
      <c r="A60" t="s">
        <v>260</v>
      </c>
      <c r="C60" t="s">
        <v>258</v>
      </c>
      <c r="D60">
        <v>44044</v>
      </c>
      <c r="F60" t="s">
        <v>293</v>
      </c>
      <c r="G60" t="s">
        <v>408</v>
      </c>
      <c r="H60">
        <v>632.87279999999998</v>
      </c>
      <c r="I60" t="s">
        <v>180</v>
      </c>
    </row>
    <row r="61" spans="1:9" x14ac:dyDescent="0.35">
      <c r="A61" t="s">
        <v>260</v>
      </c>
      <c r="C61" t="s">
        <v>258</v>
      </c>
      <c r="D61">
        <v>44044</v>
      </c>
      <c r="F61" t="s">
        <v>293</v>
      </c>
      <c r="G61" t="s">
        <v>408</v>
      </c>
      <c r="H61">
        <v>246.11720000000003</v>
      </c>
      <c r="I61" t="s">
        <v>221</v>
      </c>
    </row>
    <row r="62" spans="1:9" x14ac:dyDescent="0.35">
      <c r="A62" t="s">
        <v>260</v>
      </c>
      <c r="C62" t="s">
        <v>258</v>
      </c>
      <c r="D62">
        <v>44044</v>
      </c>
      <c r="F62" t="s">
        <v>292</v>
      </c>
      <c r="G62" t="s">
        <v>408</v>
      </c>
      <c r="H62">
        <v>632.87279999999998</v>
      </c>
      <c r="I62" t="s">
        <v>180</v>
      </c>
    </row>
    <row r="63" spans="1:9" x14ac:dyDescent="0.35">
      <c r="A63" t="s">
        <v>260</v>
      </c>
      <c r="C63" t="s">
        <v>258</v>
      </c>
      <c r="D63">
        <v>44044</v>
      </c>
      <c r="F63" t="s">
        <v>292</v>
      </c>
      <c r="G63" t="s">
        <v>408</v>
      </c>
      <c r="H63">
        <v>246.11720000000003</v>
      </c>
      <c r="I63" t="s">
        <v>221</v>
      </c>
    </row>
    <row r="64" spans="1:9" x14ac:dyDescent="0.35">
      <c r="A64" t="s">
        <v>260</v>
      </c>
      <c r="C64" t="s">
        <v>258</v>
      </c>
      <c r="D64">
        <v>44044</v>
      </c>
      <c r="F64" t="s">
        <v>290</v>
      </c>
      <c r="G64" t="s">
        <v>409</v>
      </c>
      <c r="H64">
        <v>272.7</v>
      </c>
      <c r="I64" t="s">
        <v>180</v>
      </c>
    </row>
    <row r="65" spans="1:9" x14ac:dyDescent="0.35">
      <c r="A65" t="s">
        <v>260</v>
      </c>
      <c r="C65" t="s">
        <v>258</v>
      </c>
      <c r="D65">
        <v>44044</v>
      </c>
      <c r="F65" t="s">
        <v>291</v>
      </c>
      <c r="G65" t="s">
        <v>409</v>
      </c>
      <c r="H65">
        <v>97.13</v>
      </c>
      <c r="I65" t="s">
        <v>180</v>
      </c>
    </row>
    <row r="66" spans="1:9" x14ac:dyDescent="0.35">
      <c r="A66" t="s">
        <v>260</v>
      </c>
      <c r="C66" t="s">
        <v>258</v>
      </c>
      <c r="D66">
        <v>44044</v>
      </c>
      <c r="F66" t="s">
        <v>292</v>
      </c>
      <c r="G66" t="s">
        <v>409</v>
      </c>
      <c r="H66">
        <v>924.42</v>
      </c>
      <c r="I66" t="s">
        <v>180</v>
      </c>
    </row>
    <row r="67" spans="1:9" x14ac:dyDescent="0.35">
      <c r="A67" t="s">
        <v>260</v>
      </c>
      <c r="C67" t="s">
        <v>258</v>
      </c>
      <c r="D67">
        <v>44044</v>
      </c>
      <c r="F67" t="s">
        <v>293</v>
      </c>
      <c r="G67" t="s">
        <v>409</v>
      </c>
      <c r="H67">
        <v>1935.2</v>
      </c>
      <c r="I67" t="s">
        <v>180</v>
      </c>
    </row>
    <row r="68" spans="1:9" x14ac:dyDescent="0.35">
      <c r="A68" t="s">
        <v>260</v>
      </c>
      <c r="C68" t="s">
        <v>258</v>
      </c>
      <c r="D68">
        <v>44044</v>
      </c>
      <c r="F68" t="s">
        <v>67</v>
      </c>
      <c r="G68" t="s">
        <v>409</v>
      </c>
      <c r="H68">
        <v>2684.05</v>
      </c>
      <c r="I68" t="s">
        <v>180</v>
      </c>
    </row>
    <row r="69" spans="1:9" x14ac:dyDescent="0.35">
      <c r="A69" t="s">
        <v>260</v>
      </c>
      <c r="C69" t="s">
        <v>258</v>
      </c>
      <c r="D69">
        <v>44044</v>
      </c>
      <c r="F69" t="s">
        <v>293</v>
      </c>
      <c r="G69" t="s">
        <v>409</v>
      </c>
      <c r="H69">
        <v>924.42</v>
      </c>
      <c r="I69" t="s">
        <v>180</v>
      </c>
    </row>
    <row r="70" spans="1:9" x14ac:dyDescent="0.35">
      <c r="A70" t="s">
        <v>260</v>
      </c>
      <c r="C70" t="s">
        <v>258</v>
      </c>
      <c r="D70">
        <v>44044</v>
      </c>
      <c r="F70" t="s">
        <v>292</v>
      </c>
      <c r="G70" t="s">
        <v>409</v>
      </c>
      <c r="H70">
        <v>924.42</v>
      </c>
      <c r="I70" t="s">
        <v>180</v>
      </c>
    </row>
    <row r="71" spans="1:9" x14ac:dyDescent="0.35">
      <c r="A71" t="s">
        <v>260</v>
      </c>
      <c r="C71" t="s">
        <v>258</v>
      </c>
      <c r="D71">
        <v>44044</v>
      </c>
      <c r="F71" t="s">
        <v>290</v>
      </c>
      <c r="G71" t="s">
        <v>410</v>
      </c>
      <c r="H71">
        <v>25.8096</v>
      </c>
      <c r="I71" t="s">
        <v>180</v>
      </c>
    </row>
    <row r="72" spans="1:9" x14ac:dyDescent="0.35">
      <c r="A72" t="s">
        <v>260</v>
      </c>
      <c r="C72" t="s">
        <v>258</v>
      </c>
      <c r="D72">
        <v>44044</v>
      </c>
      <c r="F72" t="s">
        <v>290</v>
      </c>
      <c r="G72" t="s">
        <v>410</v>
      </c>
      <c r="H72">
        <v>42.110399999999998</v>
      </c>
      <c r="I72" t="s">
        <v>221</v>
      </c>
    </row>
    <row r="73" spans="1:9" x14ac:dyDescent="0.35">
      <c r="A73" t="s">
        <v>260</v>
      </c>
      <c r="C73" t="s">
        <v>258</v>
      </c>
      <c r="D73">
        <v>44044</v>
      </c>
      <c r="F73" t="s">
        <v>292</v>
      </c>
      <c r="G73" t="s">
        <v>410</v>
      </c>
      <c r="H73">
        <v>62.741800000000005</v>
      </c>
      <c r="I73" t="s">
        <v>180</v>
      </c>
    </row>
    <row r="74" spans="1:9" x14ac:dyDescent="0.35">
      <c r="A74" t="s">
        <v>260</v>
      </c>
      <c r="C74" t="s">
        <v>258</v>
      </c>
      <c r="D74">
        <v>44044</v>
      </c>
      <c r="F74" t="s">
        <v>292</v>
      </c>
      <c r="G74" t="s">
        <v>410</v>
      </c>
      <c r="H74">
        <v>102.3682</v>
      </c>
      <c r="I74" t="s">
        <v>221</v>
      </c>
    </row>
    <row r="75" spans="1:9" x14ac:dyDescent="0.35">
      <c r="A75" t="s">
        <v>260</v>
      </c>
      <c r="C75" t="s">
        <v>258</v>
      </c>
      <c r="D75">
        <v>44044</v>
      </c>
      <c r="F75" t="s">
        <v>293</v>
      </c>
      <c r="G75" t="s">
        <v>410</v>
      </c>
      <c r="H75">
        <v>210.06779999999998</v>
      </c>
      <c r="I75" t="s">
        <v>180</v>
      </c>
    </row>
    <row r="76" spans="1:9" x14ac:dyDescent="0.35">
      <c r="A76" t="s">
        <v>260</v>
      </c>
      <c r="C76" t="s">
        <v>258</v>
      </c>
      <c r="D76">
        <v>44044</v>
      </c>
      <c r="F76" t="s">
        <v>293</v>
      </c>
      <c r="G76" t="s">
        <v>410</v>
      </c>
      <c r="H76">
        <v>342.74219999999997</v>
      </c>
      <c r="I76" t="s">
        <v>221</v>
      </c>
    </row>
    <row r="77" spans="1:9" x14ac:dyDescent="0.35">
      <c r="A77" t="s">
        <v>260</v>
      </c>
      <c r="C77" t="s">
        <v>258</v>
      </c>
      <c r="D77">
        <v>44044</v>
      </c>
      <c r="F77" t="s">
        <v>166</v>
      </c>
      <c r="G77" t="s">
        <v>410</v>
      </c>
      <c r="H77">
        <v>247</v>
      </c>
      <c r="I77" t="s">
        <v>180</v>
      </c>
    </row>
    <row r="78" spans="1:9" x14ac:dyDescent="0.35">
      <c r="A78" t="s">
        <v>260</v>
      </c>
      <c r="C78" t="s">
        <v>258</v>
      </c>
      <c r="D78">
        <v>44044</v>
      </c>
      <c r="F78" t="s">
        <v>166</v>
      </c>
      <c r="G78" t="s">
        <v>410</v>
      </c>
      <c r="H78">
        <v>403</v>
      </c>
      <c r="I78" t="s">
        <v>221</v>
      </c>
    </row>
    <row r="79" spans="1:9" x14ac:dyDescent="0.35">
      <c r="A79" t="s">
        <v>260</v>
      </c>
      <c r="C79" t="s">
        <v>258</v>
      </c>
      <c r="D79">
        <v>44044</v>
      </c>
      <c r="F79" t="s">
        <v>293</v>
      </c>
      <c r="G79" t="s">
        <v>410</v>
      </c>
      <c r="H79">
        <v>62.741800000000005</v>
      </c>
      <c r="I79" t="s">
        <v>180</v>
      </c>
    </row>
    <row r="80" spans="1:9" x14ac:dyDescent="0.35">
      <c r="A80" t="s">
        <v>260</v>
      </c>
      <c r="C80" t="s">
        <v>258</v>
      </c>
      <c r="D80">
        <v>44044</v>
      </c>
      <c r="F80" t="s">
        <v>293</v>
      </c>
      <c r="G80" t="s">
        <v>410</v>
      </c>
      <c r="H80">
        <v>102.3682</v>
      </c>
      <c r="I80" t="s">
        <v>221</v>
      </c>
    </row>
    <row r="81" spans="1:9" x14ac:dyDescent="0.35">
      <c r="A81" t="s">
        <v>260</v>
      </c>
      <c r="C81" t="s">
        <v>258</v>
      </c>
      <c r="D81">
        <v>44044</v>
      </c>
      <c r="F81" t="s">
        <v>292</v>
      </c>
      <c r="G81" t="s">
        <v>410</v>
      </c>
      <c r="H81">
        <v>62.741800000000005</v>
      </c>
      <c r="I81" t="s">
        <v>180</v>
      </c>
    </row>
    <row r="82" spans="1:9" x14ac:dyDescent="0.35">
      <c r="A82" t="s">
        <v>260</v>
      </c>
      <c r="C82" t="s">
        <v>258</v>
      </c>
      <c r="D82">
        <v>44044</v>
      </c>
      <c r="F82" t="s">
        <v>292</v>
      </c>
      <c r="G82" t="s">
        <v>410</v>
      </c>
      <c r="H82">
        <v>102.3682</v>
      </c>
      <c r="I82" t="s">
        <v>221</v>
      </c>
    </row>
    <row r="83" spans="1:9" x14ac:dyDescent="0.35">
      <c r="A83" t="s">
        <v>260</v>
      </c>
      <c r="C83" t="s">
        <v>258</v>
      </c>
      <c r="D83">
        <v>44044</v>
      </c>
      <c r="F83" t="s">
        <v>290</v>
      </c>
      <c r="G83" t="s">
        <v>411</v>
      </c>
      <c r="H83">
        <v>110.62</v>
      </c>
      <c r="I83" t="s">
        <v>180</v>
      </c>
    </row>
    <row r="84" spans="1:9" x14ac:dyDescent="0.35">
      <c r="A84" t="s">
        <v>260</v>
      </c>
      <c r="C84" t="s">
        <v>258</v>
      </c>
      <c r="D84">
        <v>44044</v>
      </c>
      <c r="F84" t="s">
        <v>292</v>
      </c>
      <c r="G84" t="s">
        <v>411</v>
      </c>
      <c r="H84">
        <v>256.2</v>
      </c>
      <c r="I84" t="s">
        <v>180</v>
      </c>
    </row>
    <row r="85" spans="1:9" x14ac:dyDescent="0.35">
      <c r="A85" t="s">
        <v>260</v>
      </c>
      <c r="C85" t="s">
        <v>258</v>
      </c>
      <c r="D85">
        <v>44044</v>
      </c>
      <c r="F85" t="s">
        <v>293</v>
      </c>
      <c r="G85" t="s">
        <v>411</v>
      </c>
      <c r="H85">
        <v>912.82</v>
      </c>
      <c r="I85" t="s">
        <v>180</v>
      </c>
    </row>
    <row r="86" spans="1:9" x14ac:dyDescent="0.35">
      <c r="A86" t="s">
        <v>260</v>
      </c>
      <c r="C86" t="s">
        <v>258</v>
      </c>
      <c r="D86">
        <v>44044</v>
      </c>
      <c r="F86" t="s">
        <v>443</v>
      </c>
      <c r="G86" t="s">
        <v>411</v>
      </c>
      <c r="H86">
        <v>1058.4000000000001</v>
      </c>
      <c r="I86" t="s">
        <v>180</v>
      </c>
    </row>
    <row r="87" spans="1:9" x14ac:dyDescent="0.35">
      <c r="A87" t="s">
        <v>260</v>
      </c>
      <c r="C87" t="s">
        <v>258</v>
      </c>
      <c r="D87">
        <v>44044</v>
      </c>
      <c r="F87" t="s">
        <v>293</v>
      </c>
      <c r="G87" t="s">
        <v>411</v>
      </c>
      <c r="H87">
        <v>256.2</v>
      </c>
      <c r="I87" t="s">
        <v>180</v>
      </c>
    </row>
    <row r="88" spans="1:9" x14ac:dyDescent="0.35">
      <c r="A88" t="s">
        <v>260</v>
      </c>
      <c r="C88" t="s">
        <v>258</v>
      </c>
      <c r="D88">
        <v>44044</v>
      </c>
      <c r="F88" t="s">
        <v>292</v>
      </c>
      <c r="G88" t="s">
        <v>411</v>
      </c>
      <c r="H88">
        <v>256.2</v>
      </c>
      <c r="I88" t="s">
        <v>180</v>
      </c>
    </row>
    <row r="89" spans="1:9" x14ac:dyDescent="0.35">
      <c r="A89" t="s">
        <v>260</v>
      </c>
      <c r="C89" t="s">
        <v>258</v>
      </c>
      <c r="D89">
        <v>44044</v>
      </c>
      <c r="F89" t="s">
        <v>290</v>
      </c>
      <c r="G89" t="s">
        <v>412</v>
      </c>
      <c r="H89">
        <v>227.17</v>
      </c>
      <c r="I89" t="s">
        <v>180</v>
      </c>
    </row>
    <row r="90" spans="1:9" x14ac:dyDescent="0.35">
      <c r="A90" t="s">
        <v>260</v>
      </c>
      <c r="C90" t="s">
        <v>258</v>
      </c>
      <c r="D90">
        <v>44044</v>
      </c>
      <c r="F90" t="s">
        <v>292</v>
      </c>
      <c r="G90" t="s">
        <v>412</v>
      </c>
      <c r="H90">
        <v>624.66</v>
      </c>
      <c r="I90" t="s">
        <v>180</v>
      </c>
    </row>
    <row r="91" spans="1:9" x14ac:dyDescent="0.35">
      <c r="A91" t="s">
        <v>260</v>
      </c>
      <c r="C91" t="s">
        <v>258</v>
      </c>
      <c r="D91">
        <v>44044</v>
      </c>
      <c r="F91" t="s">
        <v>293</v>
      </c>
      <c r="G91" t="s">
        <v>412</v>
      </c>
      <c r="H91">
        <v>1776.42</v>
      </c>
      <c r="I91" t="s">
        <v>180</v>
      </c>
    </row>
    <row r="92" spans="1:9" x14ac:dyDescent="0.35">
      <c r="A92" t="s">
        <v>260</v>
      </c>
      <c r="C92" t="s">
        <v>258</v>
      </c>
      <c r="D92">
        <v>44044</v>
      </c>
      <c r="F92" t="s">
        <v>67</v>
      </c>
      <c r="G92" t="s">
        <v>412</v>
      </c>
      <c r="H92">
        <v>2173.91</v>
      </c>
      <c r="I92" t="s">
        <v>180</v>
      </c>
    </row>
    <row r="93" spans="1:9" x14ac:dyDescent="0.35">
      <c r="A93" t="s">
        <v>260</v>
      </c>
      <c r="C93" t="s">
        <v>258</v>
      </c>
      <c r="D93">
        <v>44044</v>
      </c>
      <c r="F93" t="s">
        <v>293</v>
      </c>
      <c r="G93" t="s">
        <v>412</v>
      </c>
      <c r="H93">
        <v>624.66</v>
      </c>
      <c r="I93" t="s">
        <v>180</v>
      </c>
    </row>
    <row r="94" spans="1:9" x14ac:dyDescent="0.35">
      <c r="A94" t="s">
        <v>260</v>
      </c>
      <c r="C94" t="s">
        <v>258</v>
      </c>
      <c r="D94">
        <v>44044</v>
      </c>
      <c r="F94" t="s">
        <v>292</v>
      </c>
      <c r="G94" t="s">
        <v>412</v>
      </c>
      <c r="H94">
        <v>624.66</v>
      </c>
      <c r="I94" t="s">
        <v>180</v>
      </c>
    </row>
    <row r="95" spans="1:9" x14ac:dyDescent="0.35">
      <c r="A95" t="s">
        <v>260</v>
      </c>
      <c r="C95" t="s">
        <v>258</v>
      </c>
      <c r="D95">
        <v>44044</v>
      </c>
      <c r="F95" t="s">
        <v>290</v>
      </c>
      <c r="G95" t="s">
        <v>413</v>
      </c>
      <c r="H95">
        <v>113.1</v>
      </c>
      <c r="I95" t="s">
        <v>180</v>
      </c>
    </row>
    <row r="96" spans="1:9" x14ac:dyDescent="0.35">
      <c r="A96" t="s">
        <v>260</v>
      </c>
      <c r="C96" t="s">
        <v>258</v>
      </c>
      <c r="D96">
        <v>44044</v>
      </c>
      <c r="F96" t="s">
        <v>292</v>
      </c>
      <c r="G96" t="s">
        <v>413</v>
      </c>
      <c r="H96">
        <v>214.2</v>
      </c>
      <c r="I96" t="s">
        <v>180</v>
      </c>
    </row>
    <row r="97" spans="1:9" x14ac:dyDescent="0.35">
      <c r="A97" t="s">
        <v>260</v>
      </c>
      <c r="C97" t="s">
        <v>258</v>
      </c>
      <c r="D97">
        <v>44044</v>
      </c>
      <c r="F97" t="s">
        <v>293</v>
      </c>
      <c r="G97" t="s">
        <v>413</v>
      </c>
      <c r="H97">
        <v>981.29</v>
      </c>
      <c r="I97" t="s">
        <v>180</v>
      </c>
    </row>
    <row r="98" spans="1:9" x14ac:dyDescent="0.35">
      <c r="A98" t="s">
        <v>260</v>
      </c>
      <c r="C98" t="s">
        <v>258</v>
      </c>
      <c r="D98">
        <v>44044</v>
      </c>
      <c r="F98" t="s">
        <v>443</v>
      </c>
      <c r="G98" t="s">
        <v>413</v>
      </c>
      <c r="H98">
        <v>1082.3900000000001</v>
      </c>
      <c r="I98" t="s">
        <v>180</v>
      </c>
    </row>
    <row r="99" spans="1:9" x14ac:dyDescent="0.35">
      <c r="A99" t="s">
        <v>260</v>
      </c>
      <c r="C99" t="s">
        <v>258</v>
      </c>
      <c r="D99">
        <v>44044</v>
      </c>
      <c r="F99" t="s">
        <v>293</v>
      </c>
      <c r="G99" t="s">
        <v>413</v>
      </c>
      <c r="H99">
        <v>214.2</v>
      </c>
      <c r="I99" t="s">
        <v>180</v>
      </c>
    </row>
    <row r="100" spans="1:9" x14ac:dyDescent="0.35">
      <c r="A100" t="s">
        <v>260</v>
      </c>
      <c r="C100" t="s">
        <v>258</v>
      </c>
      <c r="D100">
        <v>44044</v>
      </c>
      <c r="F100" t="s">
        <v>292</v>
      </c>
      <c r="G100" t="s">
        <v>413</v>
      </c>
      <c r="H100">
        <v>214.2</v>
      </c>
      <c r="I100" t="s">
        <v>180</v>
      </c>
    </row>
    <row r="101" spans="1:9" x14ac:dyDescent="0.35">
      <c r="A101" t="s">
        <v>260</v>
      </c>
      <c r="C101" t="s">
        <v>258</v>
      </c>
      <c r="D101">
        <v>44044</v>
      </c>
      <c r="F101" t="s">
        <v>290</v>
      </c>
      <c r="G101" t="s">
        <v>414</v>
      </c>
      <c r="H101">
        <v>154.37</v>
      </c>
      <c r="I101" t="s">
        <v>180</v>
      </c>
    </row>
    <row r="102" spans="1:9" x14ac:dyDescent="0.35">
      <c r="A102" t="s">
        <v>260</v>
      </c>
      <c r="C102" t="s">
        <v>258</v>
      </c>
      <c r="D102">
        <v>44044</v>
      </c>
      <c r="F102" t="s">
        <v>291</v>
      </c>
      <c r="G102" t="s">
        <v>414</v>
      </c>
      <c r="H102">
        <v>183.16</v>
      </c>
      <c r="I102" t="s">
        <v>180</v>
      </c>
    </row>
    <row r="103" spans="1:9" x14ac:dyDescent="0.35">
      <c r="A103" t="s">
        <v>260</v>
      </c>
      <c r="C103" t="s">
        <v>258</v>
      </c>
      <c r="D103">
        <v>44044</v>
      </c>
      <c r="F103" t="s">
        <v>292</v>
      </c>
      <c r="G103" t="s">
        <v>414</v>
      </c>
      <c r="H103">
        <v>379.51</v>
      </c>
      <c r="I103" t="s">
        <v>180</v>
      </c>
    </row>
    <row r="104" spans="1:9" x14ac:dyDescent="0.35">
      <c r="A104" t="s">
        <v>260</v>
      </c>
      <c r="C104" t="s">
        <v>258</v>
      </c>
      <c r="D104">
        <v>44044</v>
      </c>
      <c r="F104" t="s">
        <v>293</v>
      </c>
      <c r="G104" t="s">
        <v>414</v>
      </c>
      <c r="H104">
        <v>1170.93</v>
      </c>
      <c r="I104" t="s">
        <v>180</v>
      </c>
    </row>
    <row r="105" spans="1:9" x14ac:dyDescent="0.35">
      <c r="A105" t="s">
        <v>260</v>
      </c>
      <c r="C105" t="s">
        <v>258</v>
      </c>
      <c r="D105">
        <v>44044</v>
      </c>
      <c r="F105" t="s">
        <v>443</v>
      </c>
      <c r="G105" t="s">
        <v>414</v>
      </c>
      <c r="H105">
        <v>1579.23</v>
      </c>
      <c r="I105" t="s">
        <v>180</v>
      </c>
    </row>
    <row r="106" spans="1:9" x14ac:dyDescent="0.35">
      <c r="A106" t="s">
        <v>260</v>
      </c>
      <c r="C106" t="s">
        <v>258</v>
      </c>
      <c r="D106">
        <v>44044</v>
      </c>
      <c r="F106" t="s">
        <v>293</v>
      </c>
      <c r="G106" t="s">
        <v>414</v>
      </c>
      <c r="H106">
        <v>379.51</v>
      </c>
      <c r="I106" t="s">
        <v>180</v>
      </c>
    </row>
    <row r="107" spans="1:9" x14ac:dyDescent="0.35">
      <c r="A107" t="s">
        <v>260</v>
      </c>
      <c r="C107" t="s">
        <v>258</v>
      </c>
      <c r="D107">
        <v>44044</v>
      </c>
      <c r="F107" t="s">
        <v>292</v>
      </c>
      <c r="G107" t="s">
        <v>414</v>
      </c>
      <c r="H107">
        <v>379.51</v>
      </c>
      <c r="I107" t="s">
        <v>180</v>
      </c>
    </row>
    <row r="108" spans="1:9" x14ac:dyDescent="0.35">
      <c r="A108" t="s">
        <v>260</v>
      </c>
      <c r="C108" t="s">
        <v>258</v>
      </c>
      <c r="D108">
        <v>44044</v>
      </c>
      <c r="F108" t="s">
        <v>290</v>
      </c>
      <c r="G108" t="s">
        <v>415</v>
      </c>
      <c r="H108">
        <v>37.35</v>
      </c>
      <c r="I108" t="s">
        <v>1004</v>
      </c>
    </row>
    <row r="109" spans="1:9" x14ac:dyDescent="0.35">
      <c r="A109" t="s">
        <v>260</v>
      </c>
      <c r="C109" t="s">
        <v>258</v>
      </c>
      <c r="D109">
        <v>44044</v>
      </c>
      <c r="F109" t="s">
        <v>292</v>
      </c>
      <c r="G109" t="s">
        <v>415</v>
      </c>
      <c r="H109">
        <v>71.349999999999994</v>
      </c>
      <c r="I109" t="s">
        <v>1004</v>
      </c>
    </row>
    <row r="110" spans="1:9" x14ac:dyDescent="0.35">
      <c r="A110" t="s">
        <v>260</v>
      </c>
      <c r="C110" t="s">
        <v>258</v>
      </c>
      <c r="D110">
        <v>44044</v>
      </c>
      <c r="F110" t="s">
        <v>293</v>
      </c>
      <c r="G110" t="s">
        <v>415</v>
      </c>
      <c r="H110">
        <v>323.5</v>
      </c>
      <c r="I110" t="s">
        <v>1004</v>
      </c>
    </row>
    <row r="111" spans="1:9" x14ac:dyDescent="0.35">
      <c r="A111" t="s">
        <v>260</v>
      </c>
      <c r="C111" t="s">
        <v>258</v>
      </c>
      <c r="D111">
        <v>44044</v>
      </c>
      <c r="F111" t="s">
        <v>442</v>
      </c>
      <c r="G111" t="s">
        <v>415</v>
      </c>
      <c r="H111">
        <v>357.5</v>
      </c>
      <c r="I111" t="s">
        <v>1004</v>
      </c>
    </row>
    <row r="112" spans="1:9" x14ac:dyDescent="0.35">
      <c r="A112" t="s">
        <v>260</v>
      </c>
      <c r="C112" t="s">
        <v>258</v>
      </c>
      <c r="D112">
        <v>44044</v>
      </c>
      <c r="F112" t="s">
        <v>293</v>
      </c>
      <c r="G112" t="s">
        <v>415</v>
      </c>
      <c r="H112">
        <v>71.349999999999994</v>
      </c>
      <c r="I112" t="s">
        <v>1004</v>
      </c>
    </row>
    <row r="113" spans="1:9" x14ac:dyDescent="0.35">
      <c r="A113" t="s">
        <v>260</v>
      </c>
      <c r="C113" t="s">
        <v>258</v>
      </c>
      <c r="D113">
        <v>44044</v>
      </c>
      <c r="F113" t="s">
        <v>292</v>
      </c>
      <c r="G113" t="s">
        <v>415</v>
      </c>
      <c r="H113">
        <v>71.349999999999994</v>
      </c>
      <c r="I113" t="s">
        <v>1004</v>
      </c>
    </row>
    <row r="114" spans="1:9" x14ac:dyDescent="0.35">
      <c r="A114" t="s">
        <v>260</v>
      </c>
      <c r="C114" t="s">
        <v>258</v>
      </c>
      <c r="D114">
        <v>44044</v>
      </c>
      <c r="F114" t="s">
        <v>290</v>
      </c>
      <c r="G114" t="s">
        <v>416</v>
      </c>
      <c r="H114">
        <v>93.03</v>
      </c>
      <c r="I114" t="s">
        <v>222</v>
      </c>
    </row>
    <row r="115" spans="1:9" x14ac:dyDescent="0.35">
      <c r="A115" t="s">
        <v>260</v>
      </c>
      <c r="C115" t="s">
        <v>258</v>
      </c>
      <c r="D115">
        <v>44044</v>
      </c>
      <c r="F115" t="s">
        <v>291</v>
      </c>
      <c r="G115" t="s">
        <v>416</v>
      </c>
      <c r="H115">
        <v>123.62</v>
      </c>
      <c r="I115" t="s">
        <v>222</v>
      </c>
    </row>
    <row r="116" spans="1:9" x14ac:dyDescent="0.35">
      <c r="A116" t="s">
        <v>260</v>
      </c>
      <c r="C116" t="s">
        <v>258</v>
      </c>
      <c r="D116">
        <v>44044</v>
      </c>
      <c r="F116" t="s">
        <v>292</v>
      </c>
      <c r="G116" t="s">
        <v>416</v>
      </c>
      <c r="H116">
        <v>201.81</v>
      </c>
      <c r="I116" t="s">
        <v>222</v>
      </c>
    </row>
    <row r="117" spans="1:9" x14ac:dyDescent="0.35">
      <c r="A117" t="s">
        <v>260</v>
      </c>
      <c r="C117" t="s">
        <v>258</v>
      </c>
      <c r="D117">
        <v>44044</v>
      </c>
      <c r="F117" t="s">
        <v>293</v>
      </c>
      <c r="G117" t="s">
        <v>416</v>
      </c>
      <c r="H117">
        <v>732.4</v>
      </c>
      <c r="I117" t="s">
        <v>222</v>
      </c>
    </row>
    <row r="118" spans="1:9" x14ac:dyDescent="0.35">
      <c r="A118" t="s">
        <v>260</v>
      </c>
      <c r="C118" t="s">
        <v>258</v>
      </c>
      <c r="D118">
        <v>44044</v>
      </c>
      <c r="F118" t="s">
        <v>67</v>
      </c>
      <c r="G118" t="s">
        <v>416</v>
      </c>
      <c r="H118">
        <v>964.8</v>
      </c>
      <c r="I118" t="s">
        <v>222</v>
      </c>
    </row>
    <row r="119" spans="1:9" x14ac:dyDescent="0.35">
      <c r="A119" t="s">
        <v>260</v>
      </c>
      <c r="C119" t="s">
        <v>258</v>
      </c>
      <c r="D119">
        <v>44044</v>
      </c>
      <c r="F119" t="s">
        <v>293</v>
      </c>
      <c r="G119" t="s">
        <v>416</v>
      </c>
      <c r="H119">
        <v>201.81</v>
      </c>
      <c r="I119" t="s">
        <v>222</v>
      </c>
    </row>
    <row r="120" spans="1:9" x14ac:dyDescent="0.35">
      <c r="A120" t="s">
        <v>260</v>
      </c>
      <c r="C120" t="s">
        <v>258</v>
      </c>
      <c r="D120">
        <v>44044</v>
      </c>
      <c r="F120" t="s">
        <v>292</v>
      </c>
      <c r="G120" t="s">
        <v>416</v>
      </c>
      <c r="H120">
        <v>201.81</v>
      </c>
      <c r="I120" t="s">
        <v>222</v>
      </c>
    </row>
  </sheetData>
  <sortState ref="A2:J402">
    <sortCondition ref="G2:G4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st"/>
  <dimension ref="A1:C6"/>
  <sheetViews>
    <sheetView workbookViewId="0">
      <selection activeCell="C3" sqref="A3:C6"/>
    </sheetView>
  </sheetViews>
  <sheetFormatPr defaultRowHeight="14.5" x14ac:dyDescent="0.35"/>
  <sheetData>
    <row r="1" spans="1:3" x14ac:dyDescent="0.35">
      <c r="A1" t="s">
        <v>268</v>
      </c>
      <c r="B1">
        <v>500</v>
      </c>
    </row>
    <row r="3" spans="1:3" x14ac:dyDescent="0.35">
      <c r="A3">
        <v>0</v>
      </c>
      <c r="B3">
        <v>166.66666666666666</v>
      </c>
      <c r="C3">
        <v>166.66</v>
      </c>
    </row>
    <row r="4" spans="1:3" x14ac:dyDescent="0.35">
      <c r="A4">
        <v>1</v>
      </c>
      <c r="B4">
        <v>166.66666666666666</v>
      </c>
      <c r="C4">
        <v>166.67</v>
      </c>
    </row>
    <row r="5" spans="1:3" x14ac:dyDescent="0.35">
      <c r="A5">
        <v>2</v>
      </c>
      <c r="B5">
        <v>166.66666666666666</v>
      </c>
      <c r="C5">
        <v>166.67</v>
      </c>
    </row>
    <row r="6" spans="1:3" x14ac:dyDescent="0.35">
      <c r="A6">
        <v>3</v>
      </c>
      <c r="B6">
        <v>0</v>
      </c>
      <c r="C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M19"/>
  <sheetViews>
    <sheetView workbookViewId="0">
      <selection activeCell="A7" sqref="A7:XFD7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3" x14ac:dyDescent="0.35">
      <c r="A1" s="10" t="s">
        <v>193</v>
      </c>
      <c r="B1" s="10" t="s">
        <v>194</v>
      </c>
      <c r="C1" s="11" t="s">
        <v>186</v>
      </c>
      <c r="D1" s="11" t="s">
        <v>187</v>
      </c>
      <c r="E1" s="11" t="s">
        <v>191</v>
      </c>
      <c r="F1" s="11" t="s">
        <v>188</v>
      </c>
      <c r="G1" s="11" t="s">
        <v>17</v>
      </c>
      <c r="H1" s="11" t="s">
        <v>189</v>
      </c>
      <c r="I1" s="11" t="s">
        <v>30</v>
      </c>
      <c r="J1" s="11" t="s">
        <v>190</v>
      </c>
    </row>
    <row r="3" spans="1:13" x14ac:dyDescent="0.35">
      <c r="A3" s="11" t="s">
        <v>203</v>
      </c>
      <c r="B3" s="11" t="s">
        <v>204</v>
      </c>
      <c r="C3" s="11" t="s">
        <v>205</v>
      </c>
      <c r="D3" s="11" t="s">
        <v>17</v>
      </c>
      <c r="E3" s="11" t="s">
        <v>16</v>
      </c>
      <c r="F3" s="11" t="s">
        <v>190</v>
      </c>
      <c r="G3" s="11" t="s">
        <v>30</v>
      </c>
      <c r="H3" s="11" t="s">
        <v>188</v>
      </c>
      <c r="I3" s="11" t="s">
        <v>266</v>
      </c>
      <c r="J3" s="11" t="s">
        <v>269</v>
      </c>
      <c r="K3" s="11" t="s">
        <v>270</v>
      </c>
      <c r="L3" s="11" t="s">
        <v>288</v>
      </c>
      <c r="M3" s="11" t="s">
        <v>289</v>
      </c>
    </row>
    <row r="5" spans="1:13" x14ac:dyDescent="0.35">
      <c r="A5" t="s">
        <v>244</v>
      </c>
      <c r="B5" t="s">
        <v>245</v>
      </c>
      <c r="C5" t="s">
        <v>246</v>
      </c>
      <c r="D5" t="s">
        <v>247</v>
      </c>
      <c r="E5" t="s">
        <v>248</v>
      </c>
      <c r="F5" t="s">
        <v>249</v>
      </c>
      <c r="G5" t="s">
        <v>250</v>
      </c>
      <c r="H5" t="s">
        <v>251</v>
      </c>
      <c r="I5" t="s">
        <v>252</v>
      </c>
      <c r="J5" t="s">
        <v>253</v>
      </c>
    </row>
    <row r="6" spans="1:13" x14ac:dyDescent="0.35">
      <c r="A6" t="s">
        <v>254</v>
      </c>
      <c r="B6" t="s">
        <v>255</v>
      </c>
      <c r="C6" t="s">
        <v>246</v>
      </c>
      <c r="D6" t="s">
        <v>247</v>
      </c>
      <c r="E6" t="s">
        <v>248</v>
      </c>
      <c r="F6" t="s">
        <v>249</v>
      </c>
      <c r="G6" t="s">
        <v>250</v>
      </c>
      <c r="H6" t="s">
        <v>251</v>
      </c>
      <c r="I6" t="s">
        <v>252</v>
      </c>
      <c r="J6" t="s">
        <v>253</v>
      </c>
    </row>
    <row r="7" spans="1:13" x14ac:dyDescent="0.35">
      <c r="A7" t="s">
        <v>256</v>
      </c>
    </row>
    <row r="8" spans="1:13" x14ac:dyDescent="0.35">
      <c r="A8" t="s">
        <v>257</v>
      </c>
      <c r="C8" t="s">
        <v>258</v>
      </c>
      <c r="D8" s="18">
        <v>43905</v>
      </c>
      <c r="F8">
        <v>7251</v>
      </c>
      <c r="G8" t="s">
        <v>259</v>
      </c>
      <c r="H8">
        <v>117.04</v>
      </c>
      <c r="I8" t="s">
        <v>180</v>
      </c>
    </row>
    <row r="9" spans="1:13" x14ac:dyDescent="0.35">
      <c r="A9" t="s">
        <v>260</v>
      </c>
      <c r="C9" t="s">
        <v>258</v>
      </c>
      <c r="D9" s="18">
        <v>43905</v>
      </c>
      <c r="F9">
        <v>2260</v>
      </c>
      <c r="G9" t="s">
        <v>259</v>
      </c>
      <c r="H9">
        <v>-50</v>
      </c>
      <c r="I9" t="s">
        <v>180</v>
      </c>
    </row>
    <row r="10" spans="1:13" x14ac:dyDescent="0.35">
      <c r="A10" t="s">
        <v>260</v>
      </c>
      <c r="C10" t="s">
        <v>258</v>
      </c>
      <c r="D10" s="18">
        <v>43905</v>
      </c>
      <c r="F10">
        <v>2241</v>
      </c>
      <c r="G10" t="s">
        <v>259</v>
      </c>
      <c r="H10">
        <v>-293.45999999999998</v>
      </c>
      <c r="I10" t="s">
        <v>180</v>
      </c>
    </row>
    <row r="11" spans="1:13" x14ac:dyDescent="0.35">
      <c r="A11" t="s">
        <v>260</v>
      </c>
      <c r="C11" t="s">
        <v>258</v>
      </c>
      <c r="D11" s="18">
        <v>43905</v>
      </c>
      <c r="F11">
        <v>1010</v>
      </c>
      <c r="G11" t="s">
        <v>259</v>
      </c>
      <c r="H11">
        <v>-893.58</v>
      </c>
      <c r="I11" t="s">
        <v>180</v>
      </c>
    </row>
    <row r="12" spans="1:13" x14ac:dyDescent="0.35">
      <c r="A12" t="s">
        <v>260</v>
      </c>
      <c r="C12" t="s">
        <v>258</v>
      </c>
      <c r="D12" s="18">
        <v>43905</v>
      </c>
      <c r="F12">
        <v>7220</v>
      </c>
      <c r="G12" t="s">
        <v>259</v>
      </c>
      <c r="H12">
        <v>1120</v>
      </c>
      <c r="I12" t="s">
        <v>180</v>
      </c>
    </row>
    <row r="13" spans="1:13" x14ac:dyDescent="0.35">
      <c r="A13" t="s">
        <v>260</v>
      </c>
      <c r="C13" t="s">
        <v>258</v>
      </c>
      <c r="D13" s="18">
        <v>43905</v>
      </c>
      <c r="F13">
        <v>2241</v>
      </c>
      <c r="G13" t="s">
        <v>259</v>
      </c>
      <c r="H13">
        <v>293.45999999999998</v>
      </c>
      <c r="I13" t="s">
        <v>180</v>
      </c>
    </row>
    <row r="14" spans="1:13" x14ac:dyDescent="0.35">
      <c r="A14" t="s">
        <v>260</v>
      </c>
      <c r="C14" t="s">
        <v>258</v>
      </c>
      <c r="D14" s="18">
        <v>43905</v>
      </c>
      <c r="F14">
        <v>1010</v>
      </c>
      <c r="G14" t="s">
        <v>259</v>
      </c>
      <c r="H14">
        <v>-293.45999999999998</v>
      </c>
      <c r="I14" t="s">
        <v>180</v>
      </c>
    </row>
    <row r="15" spans="1:13" x14ac:dyDescent="0.35">
      <c r="A15" t="s">
        <v>261</v>
      </c>
    </row>
    <row r="18" spans="1:10" x14ac:dyDescent="0.35">
      <c r="A18" s="25"/>
      <c r="B18" s="25"/>
      <c r="C18" s="27" t="s">
        <v>273</v>
      </c>
      <c r="D18" s="25" t="s">
        <v>31</v>
      </c>
      <c r="E18" s="25" t="s">
        <v>167</v>
      </c>
      <c r="F18" s="25" t="s">
        <v>167</v>
      </c>
      <c r="G18" s="25" t="s">
        <v>171</v>
      </c>
      <c r="H18" s="25" t="s">
        <v>173</v>
      </c>
      <c r="I18" s="25" t="s">
        <v>175</v>
      </c>
      <c r="J18" s="25" t="s">
        <v>175</v>
      </c>
    </row>
    <row r="19" spans="1:10" x14ac:dyDescent="0.35">
      <c r="A19" s="25" t="s">
        <v>271</v>
      </c>
      <c r="B19" s="24" t="s">
        <v>23</v>
      </c>
      <c r="C19" s="26" t="s">
        <v>274</v>
      </c>
      <c r="D19" s="25" t="s">
        <v>6</v>
      </c>
      <c r="E19" s="25" t="s">
        <v>7</v>
      </c>
      <c r="F19" s="25" t="s">
        <v>8</v>
      </c>
      <c r="G19" s="25" t="s">
        <v>9</v>
      </c>
      <c r="H19" s="25" t="s">
        <v>10</v>
      </c>
      <c r="I19" s="25" t="s">
        <v>9</v>
      </c>
      <c r="J19" s="25" t="s">
        <v>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24"/>
  <sheetViews>
    <sheetView topLeftCell="AG1" workbookViewId="0">
      <selection activeCell="E2" sqref="E2:AW2"/>
    </sheetView>
  </sheetViews>
  <sheetFormatPr defaultRowHeight="14.5" x14ac:dyDescent="0.35"/>
  <sheetData>
    <row r="1" spans="1:49" x14ac:dyDescent="0.35">
      <c r="A1" t="s">
        <v>16</v>
      </c>
      <c r="B1" t="s">
        <v>178</v>
      </c>
      <c r="E1" s="36">
        <v>7225</v>
      </c>
      <c r="F1" s="36"/>
      <c r="G1" s="36">
        <v>7226</v>
      </c>
      <c r="H1" s="36"/>
      <c r="I1" s="36">
        <v>7227</v>
      </c>
      <c r="J1" s="36"/>
      <c r="K1" s="36">
        <v>7228</v>
      </c>
      <c r="L1" s="36"/>
      <c r="M1" s="36" t="s">
        <v>156</v>
      </c>
      <c r="N1" s="36"/>
      <c r="O1" s="36" t="s">
        <v>61</v>
      </c>
      <c r="P1" s="36"/>
      <c r="Q1" s="36" t="s">
        <v>131</v>
      </c>
      <c r="R1" s="36"/>
      <c r="S1" s="36" t="s">
        <v>93</v>
      </c>
      <c r="T1" s="36"/>
      <c r="U1" s="36" t="s">
        <v>417</v>
      </c>
      <c r="V1" s="36"/>
      <c r="W1" s="36" t="s">
        <v>418</v>
      </c>
      <c r="X1" s="36"/>
      <c r="Y1" s="36" t="s">
        <v>165</v>
      </c>
      <c r="Z1" s="36"/>
      <c r="AA1" s="36" t="s">
        <v>419</v>
      </c>
      <c r="AB1" s="36"/>
      <c r="AC1" s="36" t="s">
        <v>420</v>
      </c>
      <c r="AD1" s="36"/>
      <c r="AE1" s="36" t="s">
        <v>421</v>
      </c>
      <c r="AF1" s="36"/>
      <c r="AG1" s="36" t="s">
        <v>422</v>
      </c>
      <c r="AH1" s="36"/>
      <c r="AI1" s="36" t="s">
        <v>66</v>
      </c>
      <c r="AJ1" s="36"/>
      <c r="AK1" s="36" t="s">
        <v>107</v>
      </c>
      <c r="AL1" s="36"/>
      <c r="AM1" s="36" t="s">
        <v>324</v>
      </c>
      <c r="AN1" s="36"/>
      <c r="AO1" s="36" t="s">
        <v>423</v>
      </c>
      <c r="AP1" s="36"/>
      <c r="AQ1" s="36" t="s">
        <v>424</v>
      </c>
      <c r="AR1" s="36"/>
      <c r="AS1" s="36" t="s">
        <v>51</v>
      </c>
      <c r="AT1" s="36"/>
      <c r="AU1" s="36" t="s">
        <v>425</v>
      </c>
      <c r="AV1" s="36"/>
      <c r="AW1" t="s">
        <v>426</v>
      </c>
    </row>
    <row r="2" spans="1:49" x14ac:dyDescent="0.35">
      <c r="A2" s="36">
        <v>7225</v>
      </c>
      <c r="B2" t="str">
        <f>VLOOKUP(A2,[1]Sheet2!B:D,3,FALSE)</f>
        <v>VP - Workforce</v>
      </c>
      <c r="E2" t="s">
        <v>427</v>
      </c>
      <c r="G2" t="s">
        <v>428</v>
      </c>
      <c r="I2" t="s">
        <v>429</v>
      </c>
      <c r="K2" t="s">
        <v>430</v>
      </c>
      <c r="M2" t="s">
        <v>431</v>
      </c>
      <c r="O2" t="s">
        <v>432</v>
      </c>
      <c r="Q2" t="s">
        <v>433</v>
      </c>
      <c r="S2" t="s">
        <v>94</v>
      </c>
      <c r="U2" t="s">
        <v>434</v>
      </c>
      <c r="W2" t="s">
        <v>435</v>
      </c>
      <c r="Y2" t="s">
        <v>166</v>
      </c>
      <c r="AA2" t="s">
        <v>436</v>
      </c>
      <c r="AC2" t="s">
        <v>437</v>
      </c>
      <c r="AE2" t="s">
        <v>438</v>
      </c>
      <c r="AG2" t="s">
        <v>439</v>
      </c>
      <c r="AI2" t="s">
        <v>67</v>
      </c>
      <c r="AK2" t="s">
        <v>440</v>
      </c>
      <c r="AM2" t="s">
        <v>441</v>
      </c>
      <c r="AO2" t="s">
        <v>442</v>
      </c>
      <c r="AQ2" t="s">
        <v>443</v>
      </c>
      <c r="AS2" t="s">
        <v>444</v>
      </c>
      <c r="AU2" t="s">
        <v>445</v>
      </c>
      <c r="AW2" t="s">
        <v>446</v>
      </c>
    </row>
    <row r="3" spans="1:49" x14ac:dyDescent="0.35">
      <c r="A3" s="36">
        <v>7226</v>
      </c>
      <c r="B3" t="str">
        <f>VLOOKUP(A3,[1]Sheet2!B:D,3,FALSE)</f>
        <v>Business Developer</v>
      </c>
    </row>
    <row r="4" spans="1:49" x14ac:dyDescent="0.35">
      <c r="A4" s="36">
        <v>7227</v>
      </c>
      <c r="B4" t="str">
        <f>VLOOKUP(A4,[1]Sheet2!B:D,3,FALSE)</f>
        <v>Career Coach</v>
      </c>
    </row>
    <row r="5" spans="1:49" x14ac:dyDescent="0.35">
      <c r="A5" s="36">
        <v>7228</v>
      </c>
      <c r="B5" t="str">
        <f>VLOOKUP(A5,[1]Sheet2!B:D,3,FALSE)</f>
        <v>Financial Coach</v>
      </c>
    </row>
    <row r="6" spans="1:49" x14ac:dyDescent="0.35">
      <c r="A6" s="36" t="s">
        <v>156</v>
      </c>
      <c r="B6" t="str">
        <f>VLOOKUP(A6,[1]Sheet2!B:D,3,FALSE)</f>
        <v>Executive Director</v>
      </c>
    </row>
    <row r="7" spans="1:49" x14ac:dyDescent="0.35">
      <c r="A7" s="36" t="s">
        <v>61</v>
      </c>
      <c r="B7" t="str">
        <f>VLOOKUP(A7,[1]Sheet2!B:D,3,FALSE)</f>
        <v>Director Facilities - CAO</v>
      </c>
    </row>
    <row r="8" spans="1:49" x14ac:dyDescent="0.35">
      <c r="A8" s="36" t="s">
        <v>131</v>
      </c>
      <c r="B8" t="str">
        <f>VLOOKUP(A8,[1]Sheet2!B:D,3,FALSE)</f>
        <v>Director of Operations COO</v>
      </c>
    </row>
    <row r="9" spans="1:49" x14ac:dyDescent="0.35">
      <c r="A9" s="36" t="s">
        <v>93</v>
      </c>
      <c r="B9" t="str">
        <f>VLOOKUP(A9,[1]Sheet2!B:D,3,FALSE)</f>
        <v>Director of Finance</v>
      </c>
    </row>
    <row r="10" spans="1:49" x14ac:dyDescent="0.35">
      <c r="A10" s="36" t="s">
        <v>417</v>
      </c>
      <c r="B10" t="str">
        <f>VLOOKUP(A10,[1]Sheet2!B:D,3,FALSE)</f>
        <v>Director of Real Estate</v>
      </c>
    </row>
    <row r="11" spans="1:49" x14ac:dyDescent="0.35">
      <c r="A11" s="36" t="s">
        <v>418</v>
      </c>
      <c r="B11" t="str">
        <f>VLOOKUP(A11,[1]Sheet2!B:D,3,FALSE)</f>
        <v>Program Director</v>
      </c>
    </row>
    <row r="12" spans="1:49" x14ac:dyDescent="0.35">
      <c r="A12" s="36" t="s">
        <v>165</v>
      </c>
      <c r="B12" t="str">
        <f>VLOOKUP(A12,[1]Sheet2!B:D,3,FALSE)</f>
        <v>Custodian</v>
      </c>
    </row>
    <row r="13" spans="1:49" x14ac:dyDescent="0.35">
      <c r="A13" s="36" t="s">
        <v>419</v>
      </c>
      <c r="B13" t="str">
        <f>VLOOKUP(A13,[1]Sheet2!B:D,3,FALSE)</f>
        <v>Community Organizer</v>
      </c>
    </row>
    <row r="14" spans="1:49" x14ac:dyDescent="0.35">
      <c r="A14" s="36" t="s">
        <v>420</v>
      </c>
      <c r="B14" t="str">
        <f>VLOOKUP(A14,[1]Sheet2!B:D,3,FALSE)</f>
        <v>Family Worker</v>
      </c>
    </row>
    <row r="15" spans="1:49" x14ac:dyDescent="0.35">
      <c r="A15" s="36" t="s">
        <v>421</v>
      </c>
      <c r="B15" t="str">
        <f>VLOOKUP(A15,[1]Sheet2!B:D,3,FALSE)</f>
        <v>Food Worker</v>
      </c>
    </row>
    <row r="16" spans="1:49" x14ac:dyDescent="0.35">
      <c r="A16" s="36" t="s">
        <v>422</v>
      </c>
      <c r="B16" t="str">
        <f>VLOOKUP(A16,[1]Sheet2!B:D,3,FALSE)</f>
        <v>Security Guard</v>
      </c>
    </row>
    <row r="17" spans="1:2" x14ac:dyDescent="0.35">
      <c r="A17" s="36" t="s">
        <v>66</v>
      </c>
      <c r="B17" t="str">
        <f>VLOOKUP(A17,[1]Sheet2!B:D,3,FALSE)</f>
        <v>Teacher</v>
      </c>
    </row>
    <row r="18" spans="1:2" x14ac:dyDescent="0.35">
      <c r="A18" s="36" t="s">
        <v>107</v>
      </c>
      <c r="B18" t="str">
        <f>VLOOKUP(A18,[1]Sheet2!B:D,3,FALSE)</f>
        <v>Program Coordinator</v>
      </c>
    </row>
    <row r="19" spans="1:2" x14ac:dyDescent="0.35">
      <c r="A19" s="36" t="s">
        <v>324</v>
      </c>
      <c r="B19" t="str">
        <f>VLOOKUP(A19,[1]Sheet2!B:D,3,FALSE)</f>
        <v>Housing Counselor</v>
      </c>
    </row>
    <row r="20" spans="1:2" x14ac:dyDescent="0.35">
      <c r="A20" s="36" t="s">
        <v>423</v>
      </c>
      <c r="B20" t="str">
        <f>VLOOKUP(A20,[1]Sheet2!B:D,3,FALSE)</f>
        <v>Wrap Around Coordinator</v>
      </c>
    </row>
    <row r="21" spans="1:2" x14ac:dyDescent="0.35">
      <c r="A21" s="36" t="s">
        <v>424</v>
      </c>
      <c r="B21" t="str">
        <f>VLOOKUP(A21,[1]Sheet2!B:D,3,FALSE)</f>
        <v>Teacher Assistants</v>
      </c>
    </row>
    <row r="22" spans="1:2" x14ac:dyDescent="0.35">
      <c r="A22" s="36" t="s">
        <v>51</v>
      </c>
      <c r="B22" t="str">
        <f>VLOOKUP(A22,[1]Sheet2!B:D,3,FALSE)</f>
        <v>Floating Teacher Assistant</v>
      </c>
    </row>
    <row r="23" spans="1:2" x14ac:dyDescent="0.35">
      <c r="A23" s="36" t="s">
        <v>425</v>
      </c>
      <c r="B23" t="str">
        <f>VLOOKUP(A23,[1]Sheet2!B:D,3,FALSE)</f>
        <v>Site Coordinator IC</v>
      </c>
    </row>
    <row r="24" spans="1:2" x14ac:dyDescent="0.35">
      <c r="A24" t="s">
        <v>426</v>
      </c>
      <c r="B24" t="str">
        <f>VLOOKUP(A24,[1]Sheet2!B:D,3,FALSE)</f>
        <v>Payroll Coordinator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22"/>
  <sheetViews>
    <sheetView workbookViewId="0">
      <selection activeCell="A15" sqref="A15"/>
    </sheetView>
  </sheetViews>
  <sheetFormatPr defaultRowHeight="14.5" x14ac:dyDescent="0.35"/>
  <cols>
    <col min="1" max="1" width="86.08984375" style="21" bestFit="1" customWidth="1"/>
    <col min="2" max="2" width="14.90625" style="21" bestFit="1" customWidth="1"/>
    <col min="3" max="3" width="3.81640625" style="21" bestFit="1" customWidth="1"/>
    <col min="4" max="4" width="86.08984375" style="21" bestFit="1" customWidth="1"/>
    <col min="5" max="16384" width="8.7265625" style="21"/>
  </cols>
  <sheetData>
    <row r="1" spans="1:4" x14ac:dyDescent="0.35">
      <c r="A1" s="21" t="s">
        <v>178</v>
      </c>
      <c r="B1" s="21" t="s">
        <v>447</v>
      </c>
      <c r="C1" s="21" t="s">
        <v>203</v>
      </c>
      <c r="D1" s="21" t="s">
        <v>178</v>
      </c>
    </row>
    <row r="2" spans="1:4" x14ac:dyDescent="0.35">
      <c r="A2" s="21" t="s">
        <v>198</v>
      </c>
      <c r="B2" s="21">
        <v>1000</v>
      </c>
      <c r="C2" s="21">
        <v>47</v>
      </c>
      <c r="D2" s="21" t="s">
        <v>198</v>
      </c>
    </row>
    <row r="3" spans="1:4" x14ac:dyDescent="0.35">
      <c r="A3" s="21" t="s">
        <v>448</v>
      </c>
      <c r="B3" s="21">
        <v>1001</v>
      </c>
      <c r="C3" s="21">
        <v>611</v>
      </c>
      <c r="D3" s="21" t="s">
        <v>448</v>
      </c>
    </row>
    <row r="4" spans="1:4" x14ac:dyDescent="0.35">
      <c r="A4" s="21" t="s">
        <v>449</v>
      </c>
      <c r="B4" s="21">
        <v>1005</v>
      </c>
      <c r="C4" s="21">
        <v>605</v>
      </c>
      <c r="D4" s="21" t="s">
        <v>449</v>
      </c>
    </row>
    <row r="5" spans="1:4" x14ac:dyDescent="0.35">
      <c r="A5" s="21" t="s">
        <v>293</v>
      </c>
      <c r="B5" s="21">
        <v>1010</v>
      </c>
      <c r="C5" s="21">
        <v>48</v>
      </c>
      <c r="D5" s="21" t="s">
        <v>293</v>
      </c>
    </row>
    <row r="6" spans="1:4" x14ac:dyDescent="0.35">
      <c r="A6" s="21" t="s">
        <v>450</v>
      </c>
      <c r="B6" s="21">
        <v>1012</v>
      </c>
      <c r="C6" s="21">
        <v>727</v>
      </c>
      <c r="D6" s="21" t="s">
        <v>450</v>
      </c>
    </row>
    <row r="7" spans="1:4" x14ac:dyDescent="0.35">
      <c r="A7" s="21" t="s">
        <v>451</v>
      </c>
      <c r="B7" s="21">
        <v>1014</v>
      </c>
      <c r="C7" s="21">
        <v>728</v>
      </c>
      <c r="D7" s="21" t="s">
        <v>451</v>
      </c>
    </row>
    <row r="8" spans="1:4" x14ac:dyDescent="0.35">
      <c r="A8" s="21" t="s">
        <v>452</v>
      </c>
      <c r="B8" s="21">
        <v>1015</v>
      </c>
      <c r="C8" s="21">
        <v>369</v>
      </c>
      <c r="D8" s="21" t="s">
        <v>452</v>
      </c>
    </row>
    <row r="9" spans="1:4" x14ac:dyDescent="0.35">
      <c r="A9" s="21" t="s">
        <v>453</v>
      </c>
      <c r="B9" s="21">
        <v>1016</v>
      </c>
      <c r="C9" s="21">
        <v>777</v>
      </c>
      <c r="D9" s="21" t="s">
        <v>453</v>
      </c>
    </row>
    <row r="10" spans="1:4" x14ac:dyDescent="0.35">
      <c r="A10" s="21" t="s">
        <v>454</v>
      </c>
      <c r="B10" s="21">
        <v>1017</v>
      </c>
      <c r="C10" s="21">
        <v>778</v>
      </c>
      <c r="D10" s="21" t="s">
        <v>454</v>
      </c>
    </row>
    <row r="11" spans="1:4" x14ac:dyDescent="0.35">
      <c r="A11" s="21" t="s">
        <v>455</v>
      </c>
      <c r="B11" s="21">
        <v>1021</v>
      </c>
      <c r="C11" s="21">
        <v>804</v>
      </c>
      <c r="D11" s="21" t="s">
        <v>455</v>
      </c>
    </row>
    <row r="12" spans="1:4" x14ac:dyDescent="0.35">
      <c r="A12" s="21" t="s">
        <v>456</v>
      </c>
      <c r="B12" s="21">
        <v>1025</v>
      </c>
      <c r="C12" s="21">
        <v>373</v>
      </c>
      <c r="D12" s="21" t="s">
        <v>456</v>
      </c>
    </row>
    <row r="13" spans="1:4" x14ac:dyDescent="0.35">
      <c r="A13" s="21" t="s">
        <v>457</v>
      </c>
      <c r="B13" s="21">
        <v>1030</v>
      </c>
      <c r="C13" s="21">
        <v>50</v>
      </c>
      <c r="D13" s="21" t="s">
        <v>457</v>
      </c>
    </row>
    <row r="14" spans="1:4" x14ac:dyDescent="0.35">
      <c r="A14" s="21" t="s">
        <v>458</v>
      </c>
      <c r="B14" s="21">
        <v>1035</v>
      </c>
      <c r="C14" s="21">
        <v>404</v>
      </c>
      <c r="D14" s="21" t="s">
        <v>458</v>
      </c>
    </row>
    <row r="15" spans="1:4" x14ac:dyDescent="0.35">
      <c r="A15" s="21" t="s">
        <v>459</v>
      </c>
      <c r="B15" s="21">
        <v>1040</v>
      </c>
      <c r="C15" s="21">
        <v>148</v>
      </c>
      <c r="D15" s="21" t="s">
        <v>459</v>
      </c>
    </row>
    <row r="16" spans="1:4" x14ac:dyDescent="0.35">
      <c r="A16" s="21" t="s">
        <v>460</v>
      </c>
      <c r="B16" s="21">
        <v>1045</v>
      </c>
      <c r="C16" s="21">
        <v>405</v>
      </c>
      <c r="D16" s="21" t="s">
        <v>460</v>
      </c>
    </row>
    <row r="17" spans="1:4" x14ac:dyDescent="0.35">
      <c r="A17" s="21" t="s">
        <v>461</v>
      </c>
      <c r="B17" s="21">
        <v>1050</v>
      </c>
      <c r="C17" s="21">
        <v>156</v>
      </c>
      <c r="D17" s="21" t="s">
        <v>461</v>
      </c>
    </row>
    <row r="18" spans="1:4" x14ac:dyDescent="0.35">
      <c r="A18" s="21" t="s">
        <v>462</v>
      </c>
      <c r="B18" s="21">
        <v>1070</v>
      </c>
      <c r="C18" s="21">
        <v>167</v>
      </c>
      <c r="D18" s="21" t="s">
        <v>462</v>
      </c>
    </row>
    <row r="19" spans="1:4" x14ac:dyDescent="0.35">
      <c r="A19" s="21" t="s">
        <v>463</v>
      </c>
      <c r="B19" s="21">
        <v>1071</v>
      </c>
      <c r="C19" s="21">
        <v>807</v>
      </c>
      <c r="D19" s="21" t="s">
        <v>463</v>
      </c>
    </row>
    <row r="20" spans="1:4" x14ac:dyDescent="0.35">
      <c r="A20" s="21" t="s">
        <v>464</v>
      </c>
      <c r="B20" s="21">
        <v>1072</v>
      </c>
      <c r="C20" s="21">
        <v>808</v>
      </c>
      <c r="D20" s="21" t="s">
        <v>464</v>
      </c>
    </row>
    <row r="21" spans="1:4" x14ac:dyDescent="0.35">
      <c r="A21" s="21" t="s">
        <v>465</v>
      </c>
      <c r="B21" s="21">
        <v>1085</v>
      </c>
      <c r="C21" s="21">
        <v>740</v>
      </c>
      <c r="D21" s="21" t="s">
        <v>465</v>
      </c>
    </row>
    <row r="22" spans="1:4" x14ac:dyDescent="0.35">
      <c r="A22" s="21" t="s">
        <v>466</v>
      </c>
      <c r="B22" s="21">
        <v>1086</v>
      </c>
      <c r="C22" s="21">
        <v>776</v>
      </c>
      <c r="D22" s="21" t="s">
        <v>466</v>
      </c>
    </row>
    <row r="23" spans="1:4" x14ac:dyDescent="0.35">
      <c r="A23" s="21" t="s">
        <v>467</v>
      </c>
      <c r="B23" s="21">
        <v>1087</v>
      </c>
      <c r="C23" s="21">
        <v>779</v>
      </c>
      <c r="D23" s="21" t="s">
        <v>467</v>
      </c>
    </row>
    <row r="24" spans="1:4" x14ac:dyDescent="0.35">
      <c r="A24" s="21" t="s">
        <v>468</v>
      </c>
      <c r="B24" s="21">
        <v>1090</v>
      </c>
      <c r="C24" s="21">
        <v>52</v>
      </c>
      <c r="D24" s="21" t="s">
        <v>468</v>
      </c>
    </row>
    <row r="25" spans="1:4" x14ac:dyDescent="0.35">
      <c r="A25" s="21" t="s">
        <v>469</v>
      </c>
      <c r="B25" s="21">
        <v>1091</v>
      </c>
      <c r="C25" s="21">
        <v>475</v>
      </c>
      <c r="D25" s="21" t="s">
        <v>469</v>
      </c>
    </row>
    <row r="26" spans="1:4" x14ac:dyDescent="0.35">
      <c r="A26" s="21" t="s">
        <v>470</v>
      </c>
      <c r="B26" s="21">
        <v>1092</v>
      </c>
      <c r="C26" s="21">
        <v>476</v>
      </c>
      <c r="D26" s="21" t="s">
        <v>470</v>
      </c>
    </row>
    <row r="27" spans="1:4" x14ac:dyDescent="0.35">
      <c r="A27" s="21" t="s">
        <v>471</v>
      </c>
      <c r="B27" s="21">
        <v>1093</v>
      </c>
      <c r="C27" s="21">
        <v>622</v>
      </c>
      <c r="D27" s="21" t="s">
        <v>471</v>
      </c>
    </row>
    <row r="28" spans="1:4" x14ac:dyDescent="0.35">
      <c r="A28" s="21" t="s">
        <v>472</v>
      </c>
      <c r="B28" s="21">
        <v>1100</v>
      </c>
      <c r="C28" s="21">
        <v>53</v>
      </c>
      <c r="D28" s="21" t="s">
        <v>472</v>
      </c>
    </row>
    <row r="29" spans="1:4" x14ac:dyDescent="0.35">
      <c r="A29" s="21" t="s">
        <v>473</v>
      </c>
      <c r="B29" s="21">
        <v>1101</v>
      </c>
      <c r="C29" s="21">
        <v>547</v>
      </c>
      <c r="D29" s="21" t="s">
        <v>473</v>
      </c>
    </row>
    <row r="30" spans="1:4" x14ac:dyDescent="0.35">
      <c r="A30" s="21" t="s">
        <v>474</v>
      </c>
      <c r="B30" s="21">
        <v>1400</v>
      </c>
      <c r="C30" s="21">
        <v>241</v>
      </c>
      <c r="D30" s="21" t="s">
        <v>474</v>
      </c>
    </row>
    <row r="31" spans="1:4" x14ac:dyDescent="0.35">
      <c r="A31" s="21" t="s">
        <v>475</v>
      </c>
      <c r="B31" s="21">
        <v>1410</v>
      </c>
      <c r="C31" s="21">
        <v>54</v>
      </c>
      <c r="D31" s="21" t="s">
        <v>475</v>
      </c>
    </row>
    <row r="32" spans="1:4" x14ac:dyDescent="0.35">
      <c r="A32" s="21" t="s">
        <v>476</v>
      </c>
      <c r="B32" s="21">
        <v>1420</v>
      </c>
      <c r="C32" s="21">
        <v>66</v>
      </c>
      <c r="D32" s="21" t="s">
        <v>476</v>
      </c>
    </row>
    <row r="33" spans="1:4" x14ac:dyDescent="0.35">
      <c r="A33" s="21" t="s">
        <v>477</v>
      </c>
      <c r="B33" s="21">
        <v>1421</v>
      </c>
      <c r="C33" s="21">
        <v>445</v>
      </c>
      <c r="D33" s="21" t="s">
        <v>477</v>
      </c>
    </row>
    <row r="34" spans="1:4" x14ac:dyDescent="0.35">
      <c r="A34" s="21" t="s">
        <v>478</v>
      </c>
      <c r="B34" s="21">
        <v>1422</v>
      </c>
      <c r="C34" s="21">
        <v>439</v>
      </c>
      <c r="D34" s="21" t="s">
        <v>478</v>
      </c>
    </row>
    <row r="35" spans="1:4" x14ac:dyDescent="0.35">
      <c r="A35" s="21" t="s">
        <v>479</v>
      </c>
      <c r="B35" s="21">
        <v>1430</v>
      </c>
      <c r="C35" s="21">
        <v>242</v>
      </c>
      <c r="D35" s="21" t="s">
        <v>479</v>
      </c>
    </row>
    <row r="36" spans="1:4" x14ac:dyDescent="0.35">
      <c r="A36" s="21" t="s">
        <v>480</v>
      </c>
      <c r="B36" s="21">
        <v>1440</v>
      </c>
      <c r="C36" s="21">
        <v>401</v>
      </c>
      <c r="D36" s="21" t="s">
        <v>480</v>
      </c>
    </row>
    <row r="37" spans="1:4" x14ac:dyDescent="0.35">
      <c r="A37" s="21" t="s">
        <v>481</v>
      </c>
      <c r="B37" s="21">
        <v>1445</v>
      </c>
      <c r="C37" s="21">
        <v>714</v>
      </c>
      <c r="D37" s="21" t="s">
        <v>481</v>
      </c>
    </row>
    <row r="38" spans="1:4" x14ac:dyDescent="0.35">
      <c r="A38" s="21" t="s">
        <v>482</v>
      </c>
      <c r="B38" s="21">
        <v>1446</v>
      </c>
      <c r="C38" s="21">
        <v>745</v>
      </c>
      <c r="D38" s="21" t="s">
        <v>482</v>
      </c>
    </row>
    <row r="39" spans="1:4" x14ac:dyDescent="0.35">
      <c r="A39" s="21" t="s">
        <v>483</v>
      </c>
      <c r="B39" s="21">
        <v>1447</v>
      </c>
      <c r="C39" s="21">
        <v>746</v>
      </c>
      <c r="D39" s="21" t="s">
        <v>483</v>
      </c>
    </row>
    <row r="40" spans="1:4" x14ac:dyDescent="0.35">
      <c r="A40" s="21" t="s">
        <v>484</v>
      </c>
      <c r="B40" s="21">
        <v>1450</v>
      </c>
      <c r="C40" s="21">
        <v>453</v>
      </c>
      <c r="D40" s="21" t="s">
        <v>484</v>
      </c>
    </row>
    <row r="41" spans="1:4" x14ac:dyDescent="0.35">
      <c r="A41" s="21" t="s">
        <v>485</v>
      </c>
      <c r="B41" s="21">
        <v>1450.1</v>
      </c>
      <c r="C41" s="21">
        <v>742</v>
      </c>
      <c r="D41" s="21" t="s">
        <v>485</v>
      </c>
    </row>
    <row r="42" spans="1:4" x14ac:dyDescent="0.35">
      <c r="A42" s="21" t="s">
        <v>486</v>
      </c>
      <c r="B42" s="21">
        <v>1451</v>
      </c>
      <c r="C42" s="21">
        <v>500</v>
      </c>
      <c r="D42" s="21" t="s">
        <v>486</v>
      </c>
    </row>
    <row r="43" spans="1:4" x14ac:dyDescent="0.35">
      <c r="A43" s="21" t="s">
        <v>487</v>
      </c>
      <c r="B43" s="21">
        <v>1451.1</v>
      </c>
      <c r="C43" s="21">
        <v>580</v>
      </c>
      <c r="D43" s="21" t="s">
        <v>487</v>
      </c>
    </row>
    <row r="44" spans="1:4" x14ac:dyDescent="0.35">
      <c r="A44" s="21" t="s">
        <v>488</v>
      </c>
      <c r="B44" s="21">
        <v>1452</v>
      </c>
      <c r="C44" s="21">
        <v>533</v>
      </c>
      <c r="D44" s="21" t="s">
        <v>488</v>
      </c>
    </row>
    <row r="45" spans="1:4" x14ac:dyDescent="0.35">
      <c r="A45" s="21" t="s">
        <v>489</v>
      </c>
      <c r="B45" s="21">
        <v>1452.1</v>
      </c>
      <c r="C45" s="21">
        <v>546</v>
      </c>
      <c r="D45" s="21" t="s">
        <v>489</v>
      </c>
    </row>
    <row r="46" spans="1:4" x14ac:dyDescent="0.35">
      <c r="A46" s="21" t="s">
        <v>490</v>
      </c>
      <c r="B46" s="21">
        <v>1452.2</v>
      </c>
      <c r="C46" s="21">
        <v>781</v>
      </c>
      <c r="D46" s="21" t="s">
        <v>490</v>
      </c>
    </row>
    <row r="47" spans="1:4" x14ac:dyDescent="0.35">
      <c r="A47" s="21" t="s">
        <v>491</v>
      </c>
      <c r="B47" s="21">
        <v>1452.3</v>
      </c>
      <c r="C47" s="21">
        <v>782</v>
      </c>
      <c r="D47" s="21" t="s">
        <v>491</v>
      </c>
    </row>
    <row r="48" spans="1:4" x14ac:dyDescent="0.35">
      <c r="A48" s="21" t="s">
        <v>492</v>
      </c>
      <c r="B48" s="21">
        <v>1453</v>
      </c>
      <c r="C48" s="21">
        <v>534</v>
      </c>
      <c r="D48" s="21" t="s">
        <v>492</v>
      </c>
    </row>
    <row r="49" spans="1:4" x14ac:dyDescent="0.35">
      <c r="A49" s="21" t="s">
        <v>493</v>
      </c>
      <c r="B49" s="21">
        <v>1454</v>
      </c>
      <c r="C49" s="21">
        <v>535</v>
      </c>
      <c r="D49" s="21" t="s">
        <v>493</v>
      </c>
    </row>
    <row r="50" spans="1:4" x14ac:dyDescent="0.35">
      <c r="A50" s="21" t="s">
        <v>494</v>
      </c>
      <c r="B50" s="21">
        <v>1454.1</v>
      </c>
      <c r="C50" s="21">
        <v>572</v>
      </c>
      <c r="D50" s="21" t="s">
        <v>494</v>
      </c>
    </row>
    <row r="51" spans="1:4" x14ac:dyDescent="0.35">
      <c r="A51" s="21" t="s">
        <v>495</v>
      </c>
      <c r="B51" s="21">
        <v>1454.2</v>
      </c>
      <c r="C51" s="21">
        <v>743</v>
      </c>
      <c r="D51" s="21" t="s">
        <v>495</v>
      </c>
    </row>
    <row r="52" spans="1:4" x14ac:dyDescent="0.35">
      <c r="A52" s="21" t="s">
        <v>496</v>
      </c>
      <c r="B52" s="21">
        <v>1455</v>
      </c>
      <c r="C52" s="21">
        <v>536</v>
      </c>
      <c r="D52" s="21" t="s">
        <v>496</v>
      </c>
    </row>
    <row r="53" spans="1:4" x14ac:dyDescent="0.35">
      <c r="A53" s="21" t="s">
        <v>497</v>
      </c>
      <c r="B53" s="21">
        <v>1456</v>
      </c>
      <c r="C53" s="21">
        <v>537</v>
      </c>
      <c r="D53" s="21" t="s">
        <v>497</v>
      </c>
    </row>
    <row r="54" spans="1:4" x14ac:dyDescent="0.35">
      <c r="A54" s="21" t="s">
        <v>498</v>
      </c>
      <c r="B54" s="21">
        <v>1457</v>
      </c>
      <c r="C54" s="21">
        <v>538</v>
      </c>
      <c r="D54" s="21" t="s">
        <v>498</v>
      </c>
    </row>
    <row r="55" spans="1:4" x14ac:dyDescent="0.35">
      <c r="A55" s="21" t="s">
        <v>499</v>
      </c>
      <c r="B55" s="21">
        <v>1457.1</v>
      </c>
      <c r="C55" s="21">
        <v>720</v>
      </c>
      <c r="D55" s="21" t="s">
        <v>499</v>
      </c>
    </row>
    <row r="56" spans="1:4" x14ac:dyDescent="0.35">
      <c r="A56" s="21" t="s">
        <v>500</v>
      </c>
      <c r="B56" s="21">
        <v>1458</v>
      </c>
      <c r="C56" s="21">
        <v>541</v>
      </c>
      <c r="D56" s="21" t="s">
        <v>500</v>
      </c>
    </row>
    <row r="57" spans="1:4" x14ac:dyDescent="0.35">
      <c r="A57" s="21" t="s">
        <v>501</v>
      </c>
      <c r="B57" s="21">
        <v>1458.2</v>
      </c>
      <c r="C57" s="21">
        <v>716</v>
      </c>
      <c r="D57" s="21" t="s">
        <v>501</v>
      </c>
    </row>
    <row r="58" spans="1:4" x14ac:dyDescent="0.35">
      <c r="A58" s="21" t="s">
        <v>502</v>
      </c>
      <c r="B58" s="21">
        <v>1460</v>
      </c>
      <c r="C58" s="21">
        <v>540</v>
      </c>
      <c r="D58" s="21" t="s">
        <v>502</v>
      </c>
    </row>
    <row r="59" spans="1:4" x14ac:dyDescent="0.35">
      <c r="A59" s="21" t="s">
        <v>503</v>
      </c>
      <c r="B59" s="21">
        <v>1461</v>
      </c>
      <c r="C59" s="21">
        <v>542</v>
      </c>
      <c r="D59" s="21" t="s">
        <v>503</v>
      </c>
    </row>
    <row r="60" spans="1:4" x14ac:dyDescent="0.35">
      <c r="A60" s="21" t="s">
        <v>504</v>
      </c>
      <c r="B60" s="21">
        <v>1462</v>
      </c>
      <c r="C60" s="21">
        <v>543</v>
      </c>
      <c r="D60" s="21" t="s">
        <v>504</v>
      </c>
    </row>
    <row r="61" spans="1:4" x14ac:dyDescent="0.35">
      <c r="A61" s="21" t="s">
        <v>505</v>
      </c>
      <c r="B61" s="21">
        <v>1463</v>
      </c>
      <c r="C61" s="21">
        <v>544</v>
      </c>
      <c r="D61" s="21" t="s">
        <v>505</v>
      </c>
    </row>
    <row r="62" spans="1:4" x14ac:dyDescent="0.35">
      <c r="A62" s="21" t="s">
        <v>506</v>
      </c>
      <c r="B62" s="21">
        <v>1463.1</v>
      </c>
      <c r="C62" s="21">
        <v>574</v>
      </c>
      <c r="D62" s="21" t="s">
        <v>506</v>
      </c>
    </row>
    <row r="63" spans="1:4" x14ac:dyDescent="0.35">
      <c r="A63" s="21" t="s">
        <v>507</v>
      </c>
      <c r="B63" s="21">
        <v>1463.2</v>
      </c>
      <c r="C63" s="21">
        <v>576</v>
      </c>
      <c r="D63" s="21" t="s">
        <v>507</v>
      </c>
    </row>
    <row r="64" spans="1:4" x14ac:dyDescent="0.35">
      <c r="A64" s="21" t="s">
        <v>508</v>
      </c>
      <c r="B64" s="21">
        <v>1463.3</v>
      </c>
      <c r="C64" s="21">
        <v>581</v>
      </c>
      <c r="D64" s="21" t="s">
        <v>508</v>
      </c>
    </row>
    <row r="65" spans="1:4" x14ac:dyDescent="0.35">
      <c r="A65" s="21" t="s">
        <v>509</v>
      </c>
      <c r="B65" s="21">
        <v>1463.4</v>
      </c>
      <c r="C65" s="21">
        <v>723</v>
      </c>
      <c r="D65" s="21" t="s">
        <v>509</v>
      </c>
    </row>
    <row r="66" spans="1:4" x14ac:dyDescent="0.35">
      <c r="A66" s="21" t="s">
        <v>510</v>
      </c>
      <c r="B66" s="21">
        <v>1464</v>
      </c>
      <c r="C66" s="21">
        <v>545</v>
      </c>
      <c r="D66" s="21" t="s">
        <v>510</v>
      </c>
    </row>
    <row r="67" spans="1:4" x14ac:dyDescent="0.35">
      <c r="A67" s="21" t="s">
        <v>511</v>
      </c>
      <c r="B67" s="21">
        <v>1465</v>
      </c>
      <c r="C67" s="21">
        <v>551</v>
      </c>
      <c r="D67" s="21" t="s">
        <v>511</v>
      </c>
    </row>
    <row r="68" spans="1:4" x14ac:dyDescent="0.35">
      <c r="A68" s="21" t="s">
        <v>512</v>
      </c>
      <c r="B68" s="21">
        <v>1465.1</v>
      </c>
      <c r="C68" s="21">
        <v>792</v>
      </c>
      <c r="D68" s="21" t="s">
        <v>512</v>
      </c>
    </row>
    <row r="69" spans="1:4" x14ac:dyDescent="0.35">
      <c r="A69" s="21" t="s">
        <v>513</v>
      </c>
      <c r="B69" s="21">
        <v>1465.2</v>
      </c>
      <c r="C69" s="21">
        <v>796</v>
      </c>
      <c r="D69" s="21" t="s">
        <v>513</v>
      </c>
    </row>
    <row r="70" spans="1:4" x14ac:dyDescent="0.35">
      <c r="A70" s="21" t="s">
        <v>514</v>
      </c>
      <c r="B70" s="21">
        <v>1465.3</v>
      </c>
      <c r="C70" s="21">
        <v>797</v>
      </c>
      <c r="D70" s="21" t="s">
        <v>514</v>
      </c>
    </row>
    <row r="71" spans="1:4" x14ac:dyDescent="0.35">
      <c r="A71" s="21" t="s">
        <v>515</v>
      </c>
      <c r="B71" s="21">
        <v>1467</v>
      </c>
      <c r="C71" s="21">
        <v>548</v>
      </c>
      <c r="D71" s="21" t="s">
        <v>515</v>
      </c>
    </row>
    <row r="72" spans="1:4" x14ac:dyDescent="0.35">
      <c r="A72" s="21" t="s">
        <v>516</v>
      </c>
      <c r="B72" s="21">
        <v>1468</v>
      </c>
      <c r="C72" s="21">
        <v>549</v>
      </c>
      <c r="D72" s="21" t="s">
        <v>516</v>
      </c>
    </row>
    <row r="73" spans="1:4" x14ac:dyDescent="0.35">
      <c r="A73" s="21" t="s">
        <v>517</v>
      </c>
      <c r="B73" s="21">
        <v>1469</v>
      </c>
      <c r="C73" s="21">
        <v>550</v>
      </c>
      <c r="D73" s="21" t="s">
        <v>517</v>
      </c>
    </row>
    <row r="74" spans="1:4" x14ac:dyDescent="0.35">
      <c r="A74" s="21" t="s">
        <v>518</v>
      </c>
      <c r="B74" s="21">
        <v>1470</v>
      </c>
      <c r="C74" s="21">
        <v>561</v>
      </c>
      <c r="D74" s="21" t="s">
        <v>518</v>
      </c>
    </row>
    <row r="75" spans="1:4" x14ac:dyDescent="0.35">
      <c r="A75" s="21" t="s">
        <v>519</v>
      </c>
      <c r="B75" s="21">
        <v>1471</v>
      </c>
      <c r="C75" s="21">
        <v>552</v>
      </c>
      <c r="D75" s="21" t="s">
        <v>519</v>
      </c>
    </row>
    <row r="76" spans="1:4" x14ac:dyDescent="0.35">
      <c r="A76" s="21" t="s">
        <v>520</v>
      </c>
      <c r="B76" s="21">
        <v>1472</v>
      </c>
      <c r="C76" s="21">
        <v>751</v>
      </c>
      <c r="D76" s="21" t="s">
        <v>520</v>
      </c>
    </row>
    <row r="77" spans="1:4" x14ac:dyDescent="0.35">
      <c r="A77" s="21" t="s">
        <v>521</v>
      </c>
      <c r="B77" s="21">
        <v>1473</v>
      </c>
      <c r="C77" s="21">
        <v>563</v>
      </c>
      <c r="D77" s="21" t="s">
        <v>521</v>
      </c>
    </row>
    <row r="78" spans="1:4" x14ac:dyDescent="0.35">
      <c r="A78" s="21" t="s">
        <v>522</v>
      </c>
      <c r="B78" s="21">
        <v>1474</v>
      </c>
      <c r="C78" s="21">
        <v>564</v>
      </c>
      <c r="D78" s="21" t="s">
        <v>522</v>
      </c>
    </row>
    <row r="79" spans="1:4" x14ac:dyDescent="0.35">
      <c r="A79" s="21" t="s">
        <v>523</v>
      </c>
      <c r="B79" s="21">
        <v>1475</v>
      </c>
      <c r="C79" s="21">
        <v>565</v>
      </c>
      <c r="D79" s="21" t="s">
        <v>523</v>
      </c>
    </row>
    <row r="80" spans="1:4" x14ac:dyDescent="0.35">
      <c r="A80" s="21" t="s">
        <v>524</v>
      </c>
      <c r="B80" s="21">
        <v>1476</v>
      </c>
      <c r="C80" s="21">
        <v>566</v>
      </c>
      <c r="D80" s="21" t="s">
        <v>524</v>
      </c>
    </row>
    <row r="81" spans="1:4" x14ac:dyDescent="0.35">
      <c r="A81" s="21" t="s">
        <v>525</v>
      </c>
      <c r="B81" s="21">
        <v>1477</v>
      </c>
      <c r="C81" s="21">
        <v>567</v>
      </c>
      <c r="D81" s="21" t="s">
        <v>525</v>
      </c>
    </row>
    <row r="82" spans="1:4" x14ac:dyDescent="0.35">
      <c r="A82" s="21" t="s">
        <v>526</v>
      </c>
      <c r="B82" s="21">
        <v>1478</v>
      </c>
      <c r="C82" s="21">
        <v>591</v>
      </c>
      <c r="D82" s="21" t="s">
        <v>526</v>
      </c>
    </row>
    <row r="83" spans="1:4" x14ac:dyDescent="0.35">
      <c r="A83" s="21" t="s">
        <v>527</v>
      </c>
      <c r="B83" s="21">
        <v>1479</v>
      </c>
      <c r="C83" s="21">
        <v>752</v>
      </c>
      <c r="D83" s="21" t="s">
        <v>527</v>
      </c>
    </row>
    <row r="84" spans="1:4" x14ac:dyDescent="0.35">
      <c r="A84" s="21" t="s">
        <v>528</v>
      </c>
      <c r="B84" s="21">
        <v>1479.1</v>
      </c>
      <c r="C84" s="21">
        <v>770</v>
      </c>
      <c r="D84" s="21" t="s">
        <v>528</v>
      </c>
    </row>
    <row r="85" spans="1:4" x14ac:dyDescent="0.35">
      <c r="A85" s="21" t="s">
        <v>529</v>
      </c>
      <c r="B85" s="21">
        <v>1480</v>
      </c>
      <c r="C85" s="21">
        <v>753</v>
      </c>
      <c r="D85" s="21" t="s">
        <v>529</v>
      </c>
    </row>
    <row r="86" spans="1:4" x14ac:dyDescent="0.35">
      <c r="A86" s="21" t="s">
        <v>530</v>
      </c>
      <c r="B86" s="21">
        <v>1481</v>
      </c>
      <c r="C86" s="21">
        <v>754</v>
      </c>
      <c r="D86" s="21" t="s">
        <v>530</v>
      </c>
    </row>
    <row r="87" spans="1:4" x14ac:dyDescent="0.35">
      <c r="A87" s="21" t="s">
        <v>531</v>
      </c>
      <c r="B87" s="21">
        <v>1482</v>
      </c>
      <c r="C87" s="21">
        <v>755</v>
      </c>
      <c r="D87" s="21" t="s">
        <v>531</v>
      </c>
    </row>
    <row r="88" spans="1:4" x14ac:dyDescent="0.35">
      <c r="A88" s="21" t="s">
        <v>532</v>
      </c>
      <c r="B88" s="21">
        <v>1499</v>
      </c>
      <c r="C88" s="21">
        <v>98</v>
      </c>
      <c r="D88" s="21" t="s">
        <v>532</v>
      </c>
    </row>
    <row r="89" spans="1:4" x14ac:dyDescent="0.35">
      <c r="A89" s="21" t="s">
        <v>533</v>
      </c>
      <c r="B89" s="21">
        <v>1600</v>
      </c>
      <c r="C89" s="21">
        <v>4</v>
      </c>
      <c r="D89" s="21" t="s">
        <v>533</v>
      </c>
    </row>
    <row r="90" spans="1:4" x14ac:dyDescent="0.35">
      <c r="A90" s="21" t="s">
        <v>534</v>
      </c>
      <c r="B90" s="21">
        <v>1610</v>
      </c>
      <c r="C90" s="21">
        <v>55</v>
      </c>
      <c r="D90" s="21" t="s">
        <v>534</v>
      </c>
    </row>
    <row r="91" spans="1:4" x14ac:dyDescent="0.35">
      <c r="A91" s="21" t="s">
        <v>535</v>
      </c>
      <c r="B91" s="21">
        <v>1620</v>
      </c>
      <c r="C91" s="21">
        <v>56</v>
      </c>
      <c r="D91" s="21" t="s">
        <v>535</v>
      </c>
    </row>
    <row r="92" spans="1:4" x14ac:dyDescent="0.35">
      <c r="A92" s="21" t="s">
        <v>536</v>
      </c>
      <c r="B92" s="21">
        <v>1630</v>
      </c>
      <c r="C92" s="21">
        <v>58</v>
      </c>
      <c r="D92" s="21" t="s">
        <v>536</v>
      </c>
    </row>
    <row r="93" spans="1:4" x14ac:dyDescent="0.35">
      <c r="A93" s="21" t="s">
        <v>537</v>
      </c>
      <c r="B93" s="21">
        <v>1640</v>
      </c>
      <c r="C93" s="21">
        <v>168</v>
      </c>
      <c r="D93" s="21" t="s">
        <v>537</v>
      </c>
    </row>
    <row r="94" spans="1:4" x14ac:dyDescent="0.35">
      <c r="A94" s="21" t="s">
        <v>538</v>
      </c>
      <c r="B94" s="21">
        <v>1650</v>
      </c>
      <c r="C94" s="21">
        <v>62</v>
      </c>
      <c r="D94" s="21" t="s">
        <v>538</v>
      </c>
    </row>
    <row r="95" spans="1:4" x14ac:dyDescent="0.35">
      <c r="A95" s="21" t="s">
        <v>539</v>
      </c>
      <c r="B95" s="21">
        <v>1660</v>
      </c>
      <c r="C95" s="21">
        <v>112</v>
      </c>
      <c r="D95" s="21" t="s">
        <v>539</v>
      </c>
    </row>
    <row r="96" spans="1:4" x14ac:dyDescent="0.35">
      <c r="A96" s="21" t="s">
        <v>540</v>
      </c>
      <c r="B96" s="21">
        <v>1670</v>
      </c>
      <c r="C96" s="21">
        <v>191</v>
      </c>
      <c r="D96" s="21" t="s">
        <v>540</v>
      </c>
    </row>
    <row r="97" spans="1:4" x14ac:dyDescent="0.35">
      <c r="A97" s="21" t="s">
        <v>541</v>
      </c>
      <c r="B97" s="21">
        <v>1700</v>
      </c>
      <c r="C97" s="21">
        <v>243</v>
      </c>
      <c r="D97" s="21" t="s">
        <v>541</v>
      </c>
    </row>
    <row r="98" spans="1:4" x14ac:dyDescent="0.35">
      <c r="A98" s="21" t="s">
        <v>542</v>
      </c>
      <c r="B98" s="21">
        <v>1720</v>
      </c>
      <c r="C98" s="21">
        <v>57</v>
      </c>
      <c r="D98" s="21" t="s">
        <v>542</v>
      </c>
    </row>
    <row r="99" spans="1:4" x14ac:dyDescent="0.35">
      <c r="A99" s="21" t="s">
        <v>543</v>
      </c>
      <c r="B99" s="21">
        <v>1730</v>
      </c>
      <c r="C99" s="21">
        <v>59</v>
      </c>
      <c r="D99" s="21" t="s">
        <v>543</v>
      </c>
    </row>
    <row r="100" spans="1:4" x14ac:dyDescent="0.35">
      <c r="A100" s="21" t="s">
        <v>544</v>
      </c>
      <c r="B100" s="21">
        <v>1740</v>
      </c>
      <c r="C100" s="21">
        <v>169</v>
      </c>
      <c r="D100" s="21" t="s">
        <v>544</v>
      </c>
    </row>
    <row r="101" spans="1:4" x14ac:dyDescent="0.35">
      <c r="A101" s="21" t="s">
        <v>545</v>
      </c>
      <c r="B101" s="21">
        <v>1750</v>
      </c>
      <c r="C101" s="21">
        <v>63</v>
      </c>
      <c r="D101" s="21" t="s">
        <v>545</v>
      </c>
    </row>
    <row r="102" spans="1:4" x14ac:dyDescent="0.35">
      <c r="A102" s="21" t="s">
        <v>546</v>
      </c>
      <c r="B102" s="21">
        <v>1760</v>
      </c>
      <c r="C102" s="21">
        <v>113</v>
      </c>
      <c r="D102" s="21" t="s">
        <v>546</v>
      </c>
    </row>
    <row r="103" spans="1:4" x14ac:dyDescent="0.35">
      <c r="A103" s="21" t="s">
        <v>547</v>
      </c>
      <c r="B103" s="21">
        <v>2000</v>
      </c>
      <c r="C103" s="21">
        <v>67</v>
      </c>
      <c r="D103" s="21" t="s">
        <v>547</v>
      </c>
    </row>
    <row r="104" spans="1:4" x14ac:dyDescent="0.35">
      <c r="A104" s="21" t="s">
        <v>548</v>
      </c>
      <c r="B104" s="21">
        <v>2100</v>
      </c>
      <c r="C104" s="21">
        <v>769</v>
      </c>
      <c r="D104" s="21" t="s">
        <v>548</v>
      </c>
    </row>
    <row r="105" spans="1:4" x14ac:dyDescent="0.35">
      <c r="A105" s="21" t="s">
        <v>549</v>
      </c>
      <c r="B105" s="21">
        <v>2105</v>
      </c>
      <c r="C105" s="21">
        <v>244</v>
      </c>
      <c r="D105" s="21" t="s">
        <v>549</v>
      </c>
    </row>
    <row r="106" spans="1:4" x14ac:dyDescent="0.35">
      <c r="A106" s="21" t="s">
        <v>550</v>
      </c>
      <c r="B106" s="21">
        <v>2150</v>
      </c>
      <c r="C106" s="21">
        <v>245</v>
      </c>
      <c r="D106" s="21" t="s">
        <v>550</v>
      </c>
    </row>
    <row r="107" spans="1:4" x14ac:dyDescent="0.35">
      <c r="A107" s="21" t="s">
        <v>551</v>
      </c>
      <c r="B107" s="21">
        <v>2150.1</v>
      </c>
      <c r="C107" s="21">
        <v>726</v>
      </c>
      <c r="D107" s="21" t="s">
        <v>551</v>
      </c>
    </row>
    <row r="108" spans="1:4" x14ac:dyDescent="0.35">
      <c r="A108" s="21" t="s">
        <v>552</v>
      </c>
      <c r="B108" s="21">
        <v>2152</v>
      </c>
      <c r="C108" s="21">
        <v>789</v>
      </c>
      <c r="D108" s="21" t="s">
        <v>552</v>
      </c>
    </row>
    <row r="109" spans="1:4" x14ac:dyDescent="0.35">
      <c r="A109" s="21" t="s">
        <v>553</v>
      </c>
      <c r="B109" s="21">
        <v>2156</v>
      </c>
      <c r="C109" s="21">
        <v>625</v>
      </c>
      <c r="D109" s="21" t="s">
        <v>553</v>
      </c>
    </row>
    <row r="110" spans="1:4" x14ac:dyDescent="0.35">
      <c r="A110" s="21" t="s">
        <v>554</v>
      </c>
      <c r="B110" s="21">
        <v>2157</v>
      </c>
      <c r="C110" s="21">
        <v>626</v>
      </c>
      <c r="D110" s="21" t="s">
        <v>554</v>
      </c>
    </row>
    <row r="111" spans="1:4" x14ac:dyDescent="0.35">
      <c r="A111" s="21" t="s">
        <v>555</v>
      </c>
      <c r="B111" s="21">
        <v>2160</v>
      </c>
      <c r="C111" s="21">
        <v>624</v>
      </c>
      <c r="D111" s="21" t="s">
        <v>555</v>
      </c>
    </row>
    <row r="112" spans="1:4" x14ac:dyDescent="0.35">
      <c r="A112" s="21" t="s">
        <v>556</v>
      </c>
      <c r="B112" s="21">
        <v>2161</v>
      </c>
      <c r="C112" s="21">
        <v>377</v>
      </c>
      <c r="D112" s="21" t="s">
        <v>556</v>
      </c>
    </row>
    <row r="113" spans="1:4" x14ac:dyDescent="0.35">
      <c r="A113" s="21" t="s">
        <v>557</v>
      </c>
      <c r="B113" s="21">
        <v>2162</v>
      </c>
      <c r="C113" s="21">
        <v>733</v>
      </c>
      <c r="D113" s="21" t="s">
        <v>557</v>
      </c>
    </row>
    <row r="114" spans="1:4" x14ac:dyDescent="0.35">
      <c r="A114" s="21" t="s">
        <v>558</v>
      </c>
      <c r="B114" s="21">
        <v>2163</v>
      </c>
      <c r="C114" s="21">
        <v>734</v>
      </c>
      <c r="D114" s="21" t="s">
        <v>558</v>
      </c>
    </row>
    <row r="115" spans="1:4" x14ac:dyDescent="0.35">
      <c r="A115" s="21" t="s">
        <v>559</v>
      </c>
      <c r="B115" s="21">
        <v>2164</v>
      </c>
      <c r="C115" s="21">
        <v>737</v>
      </c>
      <c r="D115" s="21" t="s">
        <v>559</v>
      </c>
    </row>
    <row r="116" spans="1:4" x14ac:dyDescent="0.35">
      <c r="A116" s="21" t="s">
        <v>560</v>
      </c>
      <c r="B116" s="21">
        <v>2165</v>
      </c>
      <c r="C116" s="21">
        <v>8</v>
      </c>
      <c r="D116" s="21" t="s">
        <v>560</v>
      </c>
    </row>
    <row r="117" spans="1:4" x14ac:dyDescent="0.35">
      <c r="A117" s="21" t="s">
        <v>561</v>
      </c>
      <c r="B117" s="21">
        <v>2167</v>
      </c>
      <c r="C117" s="21">
        <v>749</v>
      </c>
      <c r="D117" s="21" t="s">
        <v>561</v>
      </c>
    </row>
    <row r="118" spans="1:4" x14ac:dyDescent="0.35">
      <c r="A118" s="21" t="s">
        <v>562</v>
      </c>
      <c r="B118" s="21">
        <v>2200</v>
      </c>
      <c r="C118" s="21">
        <v>246</v>
      </c>
      <c r="D118" s="21" t="s">
        <v>562</v>
      </c>
    </row>
    <row r="119" spans="1:4" x14ac:dyDescent="0.35">
      <c r="A119" s="21" t="s">
        <v>563</v>
      </c>
      <c r="B119" s="21">
        <v>2201</v>
      </c>
      <c r="C119" s="21">
        <v>529</v>
      </c>
      <c r="D119" s="21" t="s">
        <v>563</v>
      </c>
    </row>
    <row r="120" spans="1:4" x14ac:dyDescent="0.35">
      <c r="A120" s="21" t="s">
        <v>564</v>
      </c>
      <c r="B120" s="21">
        <v>2210</v>
      </c>
      <c r="C120" s="21">
        <v>76</v>
      </c>
      <c r="D120" s="21" t="s">
        <v>564</v>
      </c>
    </row>
    <row r="121" spans="1:4" x14ac:dyDescent="0.35">
      <c r="A121" s="21" t="s">
        <v>565</v>
      </c>
      <c r="B121" s="21">
        <v>2220</v>
      </c>
      <c r="C121" s="21">
        <v>102</v>
      </c>
      <c r="D121" s="21" t="s">
        <v>565</v>
      </c>
    </row>
    <row r="122" spans="1:4" x14ac:dyDescent="0.35">
      <c r="A122" s="21" t="s">
        <v>566</v>
      </c>
      <c r="B122" s="21">
        <v>2222</v>
      </c>
      <c r="C122" s="21">
        <v>415</v>
      </c>
      <c r="D122" s="21" t="s">
        <v>566</v>
      </c>
    </row>
    <row r="123" spans="1:4" x14ac:dyDescent="0.35">
      <c r="A123" s="21" t="s">
        <v>567</v>
      </c>
      <c r="B123" s="21">
        <v>2230</v>
      </c>
      <c r="C123" s="21">
        <v>247</v>
      </c>
      <c r="D123" s="21" t="s">
        <v>567</v>
      </c>
    </row>
    <row r="124" spans="1:4" x14ac:dyDescent="0.35">
      <c r="A124" s="21" t="s">
        <v>568</v>
      </c>
      <c r="B124" s="21">
        <v>2240</v>
      </c>
      <c r="C124" s="21">
        <v>93</v>
      </c>
      <c r="D124" s="21" t="s">
        <v>568</v>
      </c>
    </row>
    <row r="125" spans="1:4" x14ac:dyDescent="0.35">
      <c r="A125" s="21" t="s">
        <v>292</v>
      </c>
      <c r="B125" s="21">
        <v>2241</v>
      </c>
      <c r="C125" s="21">
        <v>493</v>
      </c>
      <c r="D125" s="21" t="s">
        <v>292</v>
      </c>
    </row>
    <row r="126" spans="1:4" x14ac:dyDescent="0.35">
      <c r="A126" s="21" t="s">
        <v>569</v>
      </c>
      <c r="B126" s="21">
        <v>2242</v>
      </c>
      <c r="C126" s="21">
        <v>494</v>
      </c>
      <c r="D126" s="21" t="s">
        <v>569</v>
      </c>
    </row>
    <row r="127" spans="1:4" x14ac:dyDescent="0.35">
      <c r="A127" s="21" t="s">
        <v>570</v>
      </c>
      <c r="B127" s="21">
        <v>2243</v>
      </c>
      <c r="C127" s="21">
        <v>498</v>
      </c>
      <c r="D127" s="21" t="s">
        <v>570</v>
      </c>
    </row>
    <row r="128" spans="1:4" x14ac:dyDescent="0.35">
      <c r="A128" s="21" t="s">
        <v>571</v>
      </c>
      <c r="B128" s="21">
        <v>2244</v>
      </c>
      <c r="C128" s="21">
        <v>499</v>
      </c>
      <c r="D128" s="21" t="s">
        <v>571</v>
      </c>
    </row>
    <row r="129" spans="1:4" x14ac:dyDescent="0.35">
      <c r="A129" s="21" t="s">
        <v>572</v>
      </c>
      <c r="B129" s="21">
        <v>2250</v>
      </c>
      <c r="C129" s="21">
        <v>77</v>
      </c>
      <c r="D129" s="21" t="s">
        <v>572</v>
      </c>
    </row>
    <row r="130" spans="1:4" x14ac:dyDescent="0.35">
      <c r="A130" s="21" t="s">
        <v>291</v>
      </c>
      <c r="B130" s="21">
        <v>2260</v>
      </c>
      <c r="C130" s="21">
        <v>210</v>
      </c>
      <c r="D130" s="21" t="s">
        <v>291</v>
      </c>
    </row>
    <row r="131" spans="1:4" x14ac:dyDescent="0.35">
      <c r="A131" s="21" t="s">
        <v>573</v>
      </c>
      <c r="B131" s="21">
        <v>2261</v>
      </c>
      <c r="C131" s="21">
        <v>617</v>
      </c>
      <c r="D131" s="21" t="s">
        <v>573</v>
      </c>
    </row>
    <row r="132" spans="1:4" x14ac:dyDescent="0.35">
      <c r="A132" s="21" t="s">
        <v>574</v>
      </c>
      <c r="B132" s="21">
        <v>2270</v>
      </c>
      <c r="C132" s="21">
        <v>73</v>
      </c>
      <c r="D132" s="21" t="s">
        <v>574</v>
      </c>
    </row>
    <row r="133" spans="1:4" x14ac:dyDescent="0.35">
      <c r="A133" s="21" t="s">
        <v>575</v>
      </c>
      <c r="B133" s="21">
        <v>2300</v>
      </c>
      <c r="C133" s="21">
        <v>79</v>
      </c>
      <c r="D133" s="21" t="s">
        <v>575</v>
      </c>
    </row>
    <row r="134" spans="1:4" x14ac:dyDescent="0.35">
      <c r="A134" s="21" t="s">
        <v>576</v>
      </c>
      <c r="B134" s="21">
        <v>2301</v>
      </c>
      <c r="C134" s="21">
        <v>458</v>
      </c>
      <c r="D134" s="21" t="s">
        <v>576</v>
      </c>
    </row>
    <row r="135" spans="1:4" x14ac:dyDescent="0.35">
      <c r="A135" s="21" t="s">
        <v>577</v>
      </c>
      <c r="B135" s="21">
        <v>2302</v>
      </c>
      <c r="C135" s="21">
        <v>459</v>
      </c>
      <c r="D135" s="21" t="s">
        <v>577</v>
      </c>
    </row>
    <row r="136" spans="1:4" x14ac:dyDescent="0.35">
      <c r="A136" s="21" t="s">
        <v>578</v>
      </c>
      <c r="B136" s="21">
        <v>2302.1</v>
      </c>
      <c r="C136" s="21">
        <v>492</v>
      </c>
      <c r="D136" s="21" t="s">
        <v>578</v>
      </c>
    </row>
    <row r="137" spans="1:4" x14ac:dyDescent="0.35">
      <c r="A137" s="21" t="s">
        <v>579</v>
      </c>
      <c r="B137" s="21">
        <v>2302.1999999999998</v>
      </c>
      <c r="C137" s="21">
        <v>569</v>
      </c>
      <c r="D137" s="21" t="s">
        <v>579</v>
      </c>
    </row>
    <row r="138" spans="1:4" x14ac:dyDescent="0.35">
      <c r="A138" s="21" t="s">
        <v>580</v>
      </c>
      <c r="B138" s="21">
        <v>2303</v>
      </c>
      <c r="C138" s="21">
        <v>465</v>
      </c>
      <c r="D138" s="21" t="s">
        <v>580</v>
      </c>
    </row>
    <row r="139" spans="1:4" x14ac:dyDescent="0.35">
      <c r="A139" s="21" t="s">
        <v>581</v>
      </c>
      <c r="B139" s="21">
        <v>2303.1</v>
      </c>
      <c r="C139" s="21">
        <v>805</v>
      </c>
      <c r="D139" s="21" t="s">
        <v>581</v>
      </c>
    </row>
    <row r="140" spans="1:4" x14ac:dyDescent="0.35">
      <c r="A140" s="21" t="s">
        <v>582</v>
      </c>
      <c r="B140" s="21">
        <v>2304</v>
      </c>
      <c r="C140" s="21">
        <v>467</v>
      </c>
      <c r="D140" s="21" t="s">
        <v>582</v>
      </c>
    </row>
    <row r="141" spans="1:4" x14ac:dyDescent="0.35">
      <c r="A141" s="21" t="s">
        <v>583</v>
      </c>
      <c r="B141" s="21">
        <v>2304.1</v>
      </c>
      <c r="C141" s="21">
        <v>514</v>
      </c>
      <c r="D141" s="21" t="s">
        <v>583</v>
      </c>
    </row>
    <row r="142" spans="1:4" x14ac:dyDescent="0.35">
      <c r="A142" s="21" t="s">
        <v>584</v>
      </c>
      <c r="B142" s="21">
        <v>2305</v>
      </c>
      <c r="C142" s="21">
        <v>732</v>
      </c>
      <c r="D142" s="21" t="s">
        <v>584</v>
      </c>
    </row>
    <row r="143" spans="1:4" x14ac:dyDescent="0.35">
      <c r="A143" s="21" t="s">
        <v>585</v>
      </c>
      <c r="B143" s="21">
        <v>2306</v>
      </c>
      <c r="C143" s="21">
        <v>772</v>
      </c>
      <c r="D143" s="21" t="s">
        <v>585</v>
      </c>
    </row>
    <row r="144" spans="1:4" x14ac:dyDescent="0.35">
      <c r="A144" s="21" t="s">
        <v>586</v>
      </c>
      <c r="B144" s="21">
        <v>2307</v>
      </c>
      <c r="C144" s="21">
        <v>786</v>
      </c>
      <c r="D144" s="21" t="s">
        <v>586</v>
      </c>
    </row>
    <row r="145" spans="1:4" x14ac:dyDescent="0.35">
      <c r="A145" s="21" t="s">
        <v>587</v>
      </c>
      <c r="B145" s="21">
        <v>2307.1</v>
      </c>
      <c r="C145" s="21">
        <v>787</v>
      </c>
      <c r="D145" s="21" t="s">
        <v>587</v>
      </c>
    </row>
    <row r="146" spans="1:4" x14ac:dyDescent="0.35">
      <c r="A146" s="21" t="s">
        <v>588</v>
      </c>
      <c r="B146" s="21">
        <v>2307.1999999999998</v>
      </c>
      <c r="C146" s="21">
        <v>788</v>
      </c>
      <c r="D146" s="21" t="s">
        <v>588</v>
      </c>
    </row>
    <row r="147" spans="1:4" x14ac:dyDescent="0.35">
      <c r="A147" s="21" t="s">
        <v>589</v>
      </c>
      <c r="B147" s="21">
        <v>2307.3000000000002</v>
      </c>
      <c r="C147" s="21">
        <v>790</v>
      </c>
      <c r="D147" s="21" t="s">
        <v>589</v>
      </c>
    </row>
    <row r="148" spans="1:4" x14ac:dyDescent="0.35">
      <c r="A148" s="21" t="s">
        <v>590</v>
      </c>
      <c r="B148" s="21">
        <v>2307.4</v>
      </c>
      <c r="C148" s="21">
        <v>791</v>
      </c>
      <c r="D148" s="21" t="s">
        <v>590</v>
      </c>
    </row>
    <row r="149" spans="1:4" x14ac:dyDescent="0.35">
      <c r="A149" s="21" t="s">
        <v>591</v>
      </c>
      <c r="B149" s="21">
        <v>2400</v>
      </c>
      <c r="C149" s="21">
        <v>248</v>
      </c>
      <c r="D149" s="21" t="s">
        <v>591</v>
      </c>
    </row>
    <row r="150" spans="1:4" x14ac:dyDescent="0.35">
      <c r="A150" s="21" t="s">
        <v>592</v>
      </c>
      <c r="B150" s="21">
        <v>2410</v>
      </c>
      <c r="C150" s="21">
        <v>192</v>
      </c>
      <c r="D150" s="21" t="s">
        <v>592</v>
      </c>
    </row>
    <row r="151" spans="1:4" x14ac:dyDescent="0.35">
      <c r="A151" s="21" t="s">
        <v>593</v>
      </c>
      <c r="B151" s="21">
        <v>2428</v>
      </c>
      <c r="C151" s="21">
        <v>750</v>
      </c>
      <c r="D151" s="21" t="s">
        <v>593</v>
      </c>
    </row>
    <row r="152" spans="1:4" x14ac:dyDescent="0.35">
      <c r="A152" s="21" t="s">
        <v>594</v>
      </c>
      <c r="B152" s="21">
        <v>2429</v>
      </c>
      <c r="C152" s="21">
        <v>739</v>
      </c>
      <c r="D152" s="21" t="s">
        <v>594</v>
      </c>
    </row>
    <row r="153" spans="1:4" x14ac:dyDescent="0.35">
      <c r="A153" s="21" t="s">
        <v>595</v>
      </c>
      <c r="B153" s="21">
        <v>2430</v>
      </c>
      <c r="C153" s="21">
        <v>214</v>
      </c>
      <c r="D153" s="21" t="s">
        <v>595</v>
      </c>
    </row>
    <row r="154" spans="1:4" x14ac:dyDescent="0.35">
      <c r="A154" s="21" t="s">
        <v>596</v>
      </c>
      <c r="B154" s="21">
        <v>2431</v>
      </c>
      <c r="C154" s="21">
        <v>735</v>
      </c>
      <c r="D154" s="21" t="s">
        <v>596</v>
      </c>
    </row>
    <row r="155" spans="1:4" x14ac:dyDescent="0.35">
      <c r="A155" s="21" t="s">
        <v>597</v>
      </c>
      <c r="B155" s="21">
        <v>2432</v>
      </c>
      <c r="C155" s="21">
        <v>736</v>
      </c>
      <c r="D155" s="21" t="s">
        <v>597</v>
      </c>
    </row>
    <row r="156" spans="1:4" x14ac:dyDescent="0.35">
      <c r="A156" s="21" t="s">
        <v>598</v>
      </c>
      <c r="B156" s="21">
        <v>3000</v>
      </c>
      <c r="C156" s="21">
        <v>3</v>
      </c>
      <c r="D156" s="21" t="s">
        <v>598</v>
      </c>
    </row>
    <row r="157" spans="1:4" x14ac:dyDescent="0.35">
      <c r="A157" s="21" t="s">
        <v>599</v>
      </c>
      <c r="B157" s="21">
        <v>3100</v>
      </c>
      <c r="C157" s="21">
        <v>44</v>
      </c>
      <c r="D157" s="21" t="s">
        <v>599</v>
      </c>
    </row>
    <row r="158" spans="1:4" x14ac:dyDescent="0.35">
      <c r="A158" s="21" t="s">
        <v>600</v>
      </c>
      <c r="B158" s="21">
        <v>3110</v>
      </c>
      <c r="C158" s="21">
        <v>249</v>
      </c>
      <c r="D158" s="21" t="s">
        <v>600</v>
      </c>
    </row>
    <row r="159" spans="1:4" x14ac:dyDescent="0.35">
      <c r="A159" s="21" t="s">
        <v>601</v>
      </c>
      <c r="B159" s="21">
        <v>3120</v>
      </c>
      <c r="C159" s="21">
        <v>250</v>
      </c>
      <c r="D159" s="21" t="s">
        <v>601</v>
      </c>
    </row>
    <row r="160" spans="1:4" x14ac:dyDescent="0.35">
      <c r="A160" s="21" t="s">
        <v>602</v>
      </c>
      <c r="B160" s="21">
        <v>3200</v>
      </c>
      <c r="C160" s="21">
        <v>45</v>
      </c>
      <c r="D160" s="21" t="s">
        <v>602</v>
      </c>
    </row>
    <row r="161" spans="1:4" x14ac:dyDescent="0.35">
      <c r="A161" s="21" t="s">
        <v>603</v>
      </c>
      <c r="B161" s="21">
        <v>4000</v>
      </c>
      <c r="C161" s="21">
        <v>9</v>
      </c>
      <c r="D161" s="21" t="s">
        <v>603</v>
      </c>
    </row>
    <row r="162" spans="1:4" x14ac:dyDescent="0.35">
      <c r="A162" s="21" t="s">
        <v>604</v>
      </c>
      <c r="B162" s="21">
        <v>4010</v>
      </c>
      <c r="C162" s="21">
        <v>12</v>
      </c>
      <c r="D162" s="21" t="s">
        <v>604</v>
      </c>
    </row>
    <row r="163" spans="1:4" x14ac:dyDescent="0.35">
      <c r="A163" s="21" t="s">
        <v>605</v>
      </c>
      <c r="B163" s="21">
        <v>4011</v>
      </c>
      <c r="C163" s="21">
        <v>464</v>
      </c>
      <c r="D163" s="21" t="s">
        <v>605</v>
      </c>
    </row>
    <row r="164" spans="1:4" x14ac:dyDescent="0.35">
      <c r="A164" s="21" t="s">
        <v>606</v>
      </c>
      <c r="B164" s="21">
        <v>4012</v>
      </c>
      <c r="C164" s="21">
        <v>601</v>
      </c>
      <c r="D164" s="21" t="s">
        <v>606</v>
      </c>
    </row>
    <row r="165" spans="1:4" x14ac:dyDescent="0.35">
      <c r="A165" s="21" t="s">
        <v>607</v>
      </c>
      <c r="B165" s="21">
        <v>4013</v>
      </c>
      <c r="C165" s="21">
        <v>713</v>
      </c>
      <c r="D165" s="21" t="s">
        <v>607</v>
      </c>
    </row>
    <row r="166" spans="1:4" x14ac:dyDescent="0.35">
      <c r="A166" s="21" t="s">
        <v>580</v>
      </c>
      <c r="B166" s="21">
        <v>4014</v>
      </c>
      <c r="C166" s="21">
        <v>466</v>
      </c>
      <c r="D166" s="21" t="s">
        <v>580</v>
      </c>
    </row>
    <row r="167" spans="1:4" x14ac:dyDescent="0.35">
      <c r="A167" s="21" t="s">
        <v>608</v>
      </c>
      <c r="B167" s="21">
        <v>4015</v>
      </c>
      <c r="C167" s="21">
        <v>251</v>
      </c>
      <c r="D167" s="21" t="s">
        <v>608</v>
      </c>
    </row>
    <row r="168" spans="1:4" x14ac:dyDescent="0.35">
      <c r="A168" s="21" t="s">
        <v>609</v>
      </c>
      <c r="B168" s="21">
        <v>4016</v>
      </c>
      <c r="C168" s="21">
        <v>460</v>
      </c>
      <c r="D168" s="21" t="s">
        <v>609</v>
      </c>
    </row>
    <row r="169" spans="1:4" x14ac:dyDescent="0.35">
      <c r="A169" s="21" t="s">
        <v>610</v>
      </c>
      <c r="B169" s="21">
        <v>4017</v>
      </c>
      <c r="C169" s="21">
        <v>462</v>
      </c>
      <c r="D169" s="21" t="s">
        <v>610</v>
      </c>
    </row>
    <row r="170" spans="1:4" x14ac:dyDescent="0.35">
      <c r="A170" s="21" t="s">
        <v>611</v>
      </c>
      <c r="B170" s="21">
        <v>4018</v>
      </c>
      <c r="C170" s="21">
        <v>461</v>
      </c>
      <c r="D170" s="21" t="s">
        <v>611</v>
      </c>
    </row>
    <row r="171" spans="1:4" x14ac:dyDescent="0.35">
      <c r="A171" s="21" t="s">
        <v>612</v>
      </c>
      <c r="B171" s="21">
        <v>4018.1</v>
      </c>
      <c r="C171" s="21">
        <v>632</v>
      </c>
      <c r="D171" s="21" t="s">
        <v>612</v>
      </c>
    </row>
    <row r="172" spans="1:4" x14ac:dyDescent="0.35">
      <c r="A172" s="21" t="s">
        <v>613</v>
      </c>
      <c r="B172" s="21">
        <v>4018.2</v>
      </c>
      <c r="C172" s="21">
        <v>784</v>
      </c>
      <c r="D172" s="21" t="s">
        <v>613</v>
      </c>
    </row>
    <row r="173" spans="1:4" x14ac:dyDescent="0.35">
      <c r="A173" s="21" t="s">
        <v>614</v>
      </c>
      <c r="B173" s="21">
        <v>4019</v>
      </c>
      <c r="C173" s="21">
        <v>463</v>
      </c>
      <c r="D173" s="21" t="s">
        <v>614</v>
      </c>
    </row>
    <row r="174" spans="1:4" x14ac:dyDescent="0.35">
      <c r="A174" s="21" t="s">
        <v>615</v>
      </c>
      <c r="B174" s="21">
        <v>4020</v>
      </c>
      <c r="C174" s="21">
        <v>10</v>
      </c>
      <c r="D174" s="21" t="s">
        <v>615</v>
      </c>
    </row>
    <row r="175" spans="1:4" x14ac:dyDescent="0.35">
      <c r="A175" s="21" t="s">
        <v>616</v>
      </c>
      <c r="B175" s="21">
        <v>4021</v>
      </c>
      <c r="C175" s="21">
        <v>471</v>
      </c>
      <c r="D175" s="21" t="s">
        <v>616</v>
      </c>
    </row>
    <row r="176" spans="1:4" x14ac:dyDescent="0.35">
      <c r="A176" s="21" t="s">
        <v>617</v>
      </c>
      <c r="B176" s="21">
        <v>4022</v>
      </c>
      <c r="C176" s="21">
        <v>472</v>
      </c>
      <c r="D176" s="21" t="s">
        <v>617</v>
      </c>
    </row>
    <row r="177" spans="1:4" x14ac:dyDescent="0.35">
      <c r="A177" s="21" t="s">
        <v>618</v>
      </c>
      <c r="B177" s="21">
        <v>4023</v>
      </c>
      <c r="C177" s="21">
        <v>477</v>
      </c>
      <c r="D177" s="21" t="s">
        <v>618</v>
      </c>
    </row>
    <row r="178" spans="1:4" x14ac:dyDescent="0.35">
      <c r="A178" s="21" t="s">
        <v>619</v>
      </c>
      <c r="B178" s="21">
        <v>4024</v>
      </c>
      <c r="C178" s="21">
        <v>478</v>
      </c>
      <c r="D178" s="21" t="s">
        <v>619</v>
      </c>
    </row>
    <row r="179" spans="1:4" x14ac:dyDescent="0.35">
      <c r="A179" s="21" t="s">
        <v>620</v>
      </c>
      <c r="B179" s="21">
        <v>4025</v>
      </c>
      <c r="C179" s="21">
        <v>628</v>
      </c>
      <c r="D179" s="21" t="s">
        <v>620</v>
      </c>
    </row>
    <row r="180" spans="1:4" x14ac:dyDescent="0.35">
      <c r="A180" s="21" t="s">
        <v>621</v>
      </c>
      <c r="B180" s="21">
        <v>4026</v>
      </c>
      <c r="C180" s="21">
        <v>761</v>
      </c>
      <c r="D180" s="21" t="s">
        <v>621</v>
      </c>
    </row>
    <row r="181" spans="1:4" x14ac:dyDescent="0.35">
      <c r="A181" s="21" t="s">
        <v>622</v>
      </c>
      <c r="B181" s="21">
        <v>4027</v>
      </c>
      <c r="C181" s="21">
        <v>762</v>
      </c>
      <c r="D181" s="21" t="s">
        <v>622</v>
      </c>
    </row>
    <row r="182" spans="1:4" x14ac:dyDescent="0.35">
      <c r="A182" s="21" t="s">
        <v>623</v>
      </c>
      <c r="B182" s="21">
        <v>4027.1</v>
      </c>
      <c r="C182" s="21">
        <v>780</v>
      </c>
      <c r="D182" s="21" t="s">
        <v>623</v>
      </c>
    </row>
    <row r="183" spans="1:4" x14ac:dyDescent="0.35">
      <c r="A183" s="21" t="s">
        <v>624</v>
      </c>
      <c r="B183" s="21">
        <v>4028</v>
      </c>
      <c r="C183" s="21">
        <v>763</v>
      </c>
      <c r="D183" s="21" t="s">
        <v>624</v>
      </c>
    </row>
    <row r="184" spans="1:4" x14ac:dyDescent="0.35">
      <c r="A184" s="21" t="s">
        <v>625</v>
      </c>
      <c r="B184" s="21">
        <v>4029</v>
      </c>
      <c r="C184" s="21">
        <v>773</v>
      </c>
      <c r="D184" s="21" t="s">
        <v>625</v>
      </c>
    </row>
    <row r="185" spans="1:4" x14ac:dyDescent="0.35">
      <c r="A185" s="21" t="s">
        <v>626</v>
      </c>
      <c r="B185" s="21">
        <v>4070</v>
      </c>
      <c r="C185" s="21">
        <v>252</v>
      </c>
      <c r="D185" s="21" t="s">
        <v>626</v>
      </c>
    </row>
    <row r="186" spans="1:4" x14ac:dyDescent="0.35">
      <c r="A186" s="21" t="s">
        <v>627</v>
      </c>
      <c r="B186" s="21">
        <v>4071</v>
      </c>
      <c r="C186" s="21">
        <v>473</v>
      </c>
      <c r="D186" s="21" t="s">
        <v>627</v>
      </c>
    </row>
    <row r="187" spans="1:4" x14ac:dyDescent="0.35">
      <c r="A187" s="21" t="s">
        <v>628</v>
      </c>
      <c r="B187" s="21">
        <v>4072</v>
      </c>
      <c r="C187" s="21">
        <v>474</v>
      </c>
      <c r="D187" s="21" t="s">
        <v>628</v>
      </c>
    </row>
    <row r="188" spans="1:4" x14ac:dyDescent="0.35">
      <c r="A188" s="21" t="s">
        <v>629</v>
      </c>
      <c r="B188" s="21">
        <v>4073</v>
      </c>
      <c r="C188" s="21">
        <v>764</v>
      </c>
      <c r="D188" s="21" t="s">
        <v>629</v>
      </c>
    </row>
    <row r="189" spans="1:4" x14ac:dyDescent="0.35">
      <c r="A189" s="21" t="s">
        <v>630</v>
      </c>
      <c r="B189" s="21">
        <v>4074</v>
      </c>
      <c r="C189" s="21">
        <v>771</v>
      </c>
      <c r="D189" s="21" t="s">
        <v>630</v>
      </c>
    </row>
    <row r="190" spans="1:4" x14ac:dyDescent="0.35">
      <c r="A190" s="21" t="s">
        <v>631</v>
      </c>
      <c r="B190" s="21">
        <v>4100</v>
      </c>
      <c r="C190" s="21">
        <v>11</v>
      </c>
      <c r="D190" s="21" t="s">
        <v>631</v>
      </c>
    </row>
    <row r="191" spans="1:4" x14ac:dyDescent="0.35">
      <c r="A191" s="21" t="s">
        <v>632</v>
      </c>
      <c r="B191" s="21">
        <v>4110</v>
      </c>
      <c r="C191" s="21">
        <v>253</v>
      </c>
      <c r="D191" s="21" t="s">
        <v>632</v>
      </c>
    </row>
    <row r="192" spans="1:4" x14ac:dyDescent="0.35">
      <c r="A192" s="21" t="s">
        <v>633</v>
      </c>
      <c r="B192" s="21">
        <v>4120</v>
      </c>
      <c r="C192" s="21">
        <v>254</v>
      </c>
      <c r="D192" s="21" t="s">
        <v>633</v>
      </c>
    </row>
    <row r="193" spans="1:4" x14ac:dyDescent="0.35">
      <c r="A193" s="21" t="s">
        <v>634</v>
      </c>
      <c r="B193" s="21">
        <v>4130</v>
      </c>
      <c r="C193" s="21">
        <v>255</v>
      </c>
      <c r="D193" s="21" t="s">
        <v>634</v>
      </c>
    </row>
    <row r="194" spans="1:4" x14ac:dyDescent="0.35">
      <c r="A194" s="21" t="s">
        <v>635</v>
      </c>
      <c r="B194" s="21">
        <v>4140</v>
      </c>
      <c r="C194" s="21">
        <v>256</v>
      </c>
      <c r="D194" s="21" t="s">
        <v>635</v>
      </c>
    </row>
    <row r="195" spans="1:4" x14ac:dyDescent="0.35">
      <c r="A195" s="21" t="s">
        <v>636</v>
      </c>
      <c r="B195" s="21">
        <v>4200</v>
      </c>
      <c r="C195" s="21">
        <v>257</v>
      </c>
      <c r="D195" s="21" t="s">
        <v>636</v>
      </c>
    </row>
    <row r="196" spans="1:4" x14ac:dyDescent="0.35">
      <c r="A196" s="21" t="s">
        <v>637</v>
      </c>
      <c r="B196" s="21">
        <v>4210</v>
      </c>
      <c r="C196" s="21">
        <v>140</v>
      </c>
      <c r="D196" s="21" t="s">
        <v>637</v>
      </c>
    </row>
    <row r="197" spans="1:4" x14ac:dyDescent="0.35">
      <c r="A197" s="21" t="s">
        <v>638</v>
      </c>
      <c r="B197" s="21">
        <v>4230</v>
      </c>
      <c r="C197" s="21">
        <v>258</v>
      </c>
      <c r="D197" s="21" t="s">
        <v>638</v>
      </c>
    </row>
    <row r="198" spans="1:4" x14ac:dyDescent="0.35">
      <c r="A198" s="21" t="s">
        <v>639</v>
      </c>
      <c r="B198" s="21">
        <v>4250</v>
      </c>
      <c r="C198" s="21">
        <v>259</v>
      </c>
      <c r="D198" s="21" t="s">
        <v>639</v>
      </c>
    </row>
    <row r="199" spans="1:4" x14ac:dyDescent="0.35">
      <c r="A199" s="21" t="s">
        <v>640</v>
      </c>
      <c r="B199" s="21">
        <v>4500</v>
      </c>
      <c r="C199" s="21">
        <v>260</v>
      </c>
      <c r="D199" s="21" t="s">
        <v>640</v>
      </c>
    </row>
    <row r="200" spans="1:4" x14ac:dyDescent="0.35">
      <c r="A200" s="21" t="s">
        <v>641</v>
      </c>
      <c r="B200" s="21">
        <v>4520</v>
      </c>
      <c r="C200" s="21">
        <v>261</v>
      </c>
      <c r="D200" s="21" t="s">
        <v>641</v>
      </c>
    </row>
    <row r="201" spans="1:4" x14ac:dyDescent="0.35">
      <c r="A201" s="21" t="s">
        <v>642</v>
      </c>
      <c r="B201" s="21">
        <v>4521</v>
      </c>
      <c r="C201" s="21">
        <v>416</v>
      </c>
      <c r="D201" s="21" t="s">
        <v>642</v>
      </c>
    </row>
    <row r="202" spans="1:4" x14ac:dyDescent="0.35">
      <c r="A202" s="21" t="s">
        <v>643</v>
      </c>
      <c r="B202" s="21">
        <v>4521.1000000000004</v>
      </c>
      <c r="C202" s="21">
        <v>517</v>
      </c>
      <c r="D202" s="21" t="s">
        <v>643</v>
      </c>
    </row>
    <row r="203" spans="1:4" x14ac:dyDescent="0.35">
      <c r="A203" s="21" t="s">
        <v>644</v>
      </c>
      <c r="B203" s="21">
        <v>4521.2</v>
      </c>
      <c r="C203" s="21">
        <v>583</v>
      </c>
      <c r="D203" s="21" t="s">
        <v>644</v>
      </c>
    </row>
    <row r="204" spans="1:4" x14ac:dyDescent="0.35">
      <c r="A204" s="21" t="s">
        <v>645</v>
      </c>
      <c r="B204" s="21">
        <v>4521.3</v>
      </c>
      <c r="C204" s="21">
        <v>775</v>
      </c>
      <c r="D204" s="21" t="s">
        <v>645</v>
      </c>
    </row>
    <row r="205" spans="1:4" x14ac:dyDescent="0.35">
      <c r="A205" s="21" t="s">
        <v>646</v>
      </c>
      <c r="B205" s="21">
        <v>4522</v>
      </c>
      <c r="C205" s="21">
        <v>417</v>
      </c>
      <c r="D205" s="21" t="s">
        <v>646</v>
      </c>
    </row>
    <row r="206" spans="1:4" x14ac:dyDescent="0.35">
      <c r="A206" s="21" t="s">
        <v>647</v>
      </c>
      <c r="B206" s="21">
        <v>4523</v>
      </c>
      <c r="C206" s="21">
        <v>452</v>
      </c>
      <c r="D206" s="21" t="s">
        <v>647</v>
      </c>
    </row>
    <row r="207" spans="1:4" x14ac:dyDescent="0.35">
      <c r="A207" s="21" t="s">
        <v>648</v>
      </c>
      <c r="B207" s="21">
        <v>4523.2</v>
      </c>
      <c r="C207" s="21">
        <v>721</v>
      </c>
      <c r="D207" s="21" t="s">
        <v>648</v>
      </c>
    </row>
    <row r="208" spans="1:4" x14ac:dyDescent="0.35">
      <c r="A208" s="21" t="s">
        <v>649</v>
      </c>
      <c r="B208" s="21">
        <v>4525</v>
      </c>
      <c r="C208" s="21">
        <v>515</v>
      </c>
      <c r="D208" s="21" t="s">
        <v>649</v>
      </c>
    </row>
    <row r="209" spans="1:4" x14ac:dyDescent="0.35">
      <c r="A209" s="21" t="s">
        <v>650</v>
      </c>
      <c r="B209" s="21">
        <v>4526</v>
      </c>
      <c r="C209" s="21">
        <v>516</v>
      </c>
      <c r="D209" s="21" t="s">
        <v>650</v>
      </c>
    </row>
    <row r="210" spans="1:4" x14ac:dyDescent="0.35">
      <c r="A210" s="21" t="s">
        <v>651</v>
      </c>
      <c r="B210" s="21">
        <v>4526.1000000000004</v>
      </c>
      <c r="C210" s="21">
        <v>585</v>
      </c>
      <c r="D210" s="21" t="s">
        <v>651</v>
      </c>
    </row>
    <row r="211" spans="1:4" x14ac:dyDescent="0.35">
      <c r="A211" s="21" t="s">
        <v>652</v>
      </c>
      <c r="B211" s="21">
        <v>4530</v>
      </c>
      <c r="C211" s="21">
        <v>262</v>
      </c>
      <c r="D211" s="21" t="s">
        <v>652</v>
      </c>
    </row>
    <row r="212" spans="1:4" x14ac:dyDescent="0.35">
      <c r="A212" s="21" t="s">
        <v>653</v>
      </c>
      <c r="B212" s="21">
        <v>4531</v>
      </c>
      <c r="C212" s="21">
        <v>418</v>
      </c>
      <c r="D212" s="21" t="s">
        <v>653</v>
      </c>
    </row>
    <row r="213" spans="1:4" x14ac:dyDescent="0.35">
      <c r="A213" s="21" t="s">
        <v>654</v>
      </c>
      <c r="B213" s="21">
        <v>4531.1000000000004</v>
      </c>
      <c r="C213" s="21">
        <v>571</v>
      </c>
      <c r="D213" s="21" t="s">
        <v>654</v>
      </c>
    </row>
    <row r="214" spans="1:4" x14ac:dyDescent="0.35">
      <c r="A214" s="21" t="s">
        <v>513</v>
      </c>
      <c r="B214" s="21">
        <v>4532</v>
      </c>
      <c r="C214" s="21">
        <v>419</v>
      </c>
      <c r="D214" s="21" t="s">
        <v>513</v>
      </c>
    </row>
    <row r="215" spans="1:4" x14ac:dyDescent="0.35">
      <c r="A215" s="21" t="s">
        <v>655</v>
      </c>
      <c r="B215" s="21">
        <v>4532.1000000000004</v>
      </c>
      <c r="C215" s="21">
        <v>575</v>
      </c>
      <c r="D215" s="21" t="s">
        <v>655</v>
      </c>
    </row>
    <row r="216" spans="1:4" x14ac:dyDescent="0.35">
      <c r="A216" s="21" t="s">
        <v>656</v>
      </c>
      <c r="B216" s="21">
        <v>4532.2</v>
      </c>
      <c r="C216" s="21">
        <v>577</v>
      </c>
      <c r="D216" s="21" t="s">
        <v>656</v>
      </c>
    </row>
    <row r="217" spans="1:4" x14ac:dyDescent="0.35">
      <c r="A217" s="21" t="s">
        <v>657</v>
      </c>
      <c r="B217" s="21">
        <v>4532.3</v>
      </c>
      <c r="C217" s="21">
        <v>582</v>
      </c>
      <c r="D217" s="21" t="s">
        <v>657</v>
      </c>
    </row>
    <row r="218" spans="1:4" x14ac:dyDescent="0.35">
      <c r="A218" s="21" t="s">
        <v>658</v>
      </c>
      <c r="B218" s="21">
        <v>4532.3999999999996</v>
      </c>
      <c r="C218" s="21">
        <v>621</v>
      </c>
      <c r="D218" s="21" t="s">
        <v>658</v>
      </c>
    </row>
    <row r="219" spans="1:4" x14ac:dyDescent="0.35">
      <c r="A219" s="21" t="s">
        <v>659</v>
      </c>
      <c r="B219" s="21">
        <v>4533</v>
      </c>
      <c r="C219" s="21">
        <v>420</v>
      </c>
      <c r="D219" s="21" t="s">
        <v>659</v>
      </c>
    </row>
    <row r="220" spans="1:4" x14ac:dyDescent="0.35">
      <c r="A220" s="21" t="s">
        <v>660</v>
      </c>
      <c r="B220" s="21">
        <v>4534</v>
      </c>
      <c r="C220" s="21">
        <v>421</v>
      </c>
      <c r="D220" s="21" t="s">
        <v>660</v>
      </c>
    </row>
    <row r="221" spans="1:4" x14ac:dyDescent="0.35">
      <c r="A221" s="21" t="s">
        <v>661</v>
      </c>
      <c r="B221" s="21">
        <v>4534.1000000000004</v>
      </c>
      <c r="C221" s="21">
        <v>631</v>
      </c>
      <c r="D221" s="21" t="s">
        <v>661</v>
      </c>
    </row>
    <row r="222" spans="1:4" x14ac:dyDescent="0.35">
      <c r="A222" s="21" t="s">
        <v>662</v>
      </c>
      <c r="B222" s="21">
        <v>4534.2</v>
      </c>
      <c r="C222" s="21">
        <v>738</v>
      </c>
      <c r="D222" s="21" t="s">
        <v>662</v>
      </c>
    </row>
    <row r="223" spans="1:4" x14ac:dyDescent="0.35">
      <c r="A223" s="21" t="s">
        <v>663</v>
      </c>
      <c r="B223" s="21">
        <v>4535</v>
      </c>
      <c r="C223" s="21">
        <v>422</v>
      </c>
      <c r="D223" s="21" t="s">
        <v>663</v>
      </c>
    </row>
    <row r="224" spans="1:4" x14ac:dyDescent="0.35">
      <c r="A224" s="21" t="s">
        <v>664</v>
      </c>
      <c r="B224" s="21">
        <v>4535.1000000000004</v>
      </c>
      <c r="C224" s="21">
        <v>578</v>
      </c>
      <c r="D224" s="21" t="s">
        <v>664</v>
      </c>
    </row>
    <row r="225" spans="1:4" x14ac:dyDescent="0.35">
      <c r="A225" s="21" t="s">
        <v>495</v>
      </c>
      <c r="B225" s="21">
        <v>4535.2</v>
      </c>
      <c r="C225" s="21">
        <v>744</v>
      </c>
      <c r="D225" s="21" t="s">
        <v>495</v>
      </c>
    </row>
    <row r="226" spans="1:4" x14ac:dyDescent="0.35">
      <c r="A226" s="21" t="s">
        <v>665</v>
      </c>
      <c r="B226" s="21">
        <v>4536</v>
      </c>
      <c r="C226" s="21">
        <v>518</v>
      </c>
      <c r="D226" s="21" t="s">
        <v>665</v>
      </c>
    </row>
    <row r="227" spans="1:4" x14ac:dyDescent="0.35">
      <c r="A227" s="21" t="s">
        <v>666</v>
      </c>
      <c r="B227" s="21">
        <v>4536.1000000000004</v>
      </c>
      <c r="C227" s="21">
        <v>519</v>
      </c>
      <c r="D227" s="21" t="s">
        <v>666</v>
      </c>
    </row>
    <row r="228" spans="1:4" x14ac:dyDescent="0.35">
      <c r="A228" s="21" t="s">
        <v>667</v>
      </c>
      <c r="B228" s="21">
        <v>4536.2</v>
      </c>
      <c r="C228" s="21">
        <v>527</v>
      </c>
      <c r="D228" s="21" t="s">
        <v>667</v>
      </c>
    </row>
    <row r="229" spans="1:4" x14ac:dyDescent="0.35">
      <c r="A229" s="21" t="s">
        <v>668</v>
      </c>
      <c r="B229" s="21">
        <v>4536.3</v>
      </c>
      <c r="C229" s="21">
        <v>528</v>
      </c>
      <c r="D229" s="21" t="s">
        <v>668</v>
      </c>
    </row>
    <row r="230" spans="1:4" x14ac:dyDescent="0.35">
      <c r="A230" s="21" t="s">
        <v>669</v>
      </c>
      <c r="B230" s="21">
        <v>4536.3999999999996</v>
      </c>
      <c r="C230" s="21">
        <v>532</v>
      </c>
      <c r="D230" s="21" t="s">
        <v>669</v>
      </c>
    </row>
    <row r="231" spans="1:4" x14ac:dyDescent="0.35">
      <c r="A231" s="21" t="s">
        <v>670</v>
      </c>
      <c r="B231" s="21">
        <v>4536.5</v>
      </c>
      <c r="C231" s="21">
        <v>579</v>
      </c>
      <c r="D231" s="21" t="s">
        <v>670</v>
      </c>
    </row>
    <row r="232" spans="1:4" x14ac:dyDescent="0.35">
      <c r="A232" s="21" t="s">
        <v>671</v>
      </c>
      <c r="B232" s="21">
        <v>4537</v>
      </c>
      <c r="C232" s="21">
        <v>520</v>
      </c>
      <c r="D232" s="21" t="s">
        <v>671</v>
      </c>
    </row>
    <row r="233" spans="1:4" x14ac:dyDescent="0.35">
      <c r="A233" s="21" t="s">
        <v>672</v>
      </c>
      <c r="B233" s="21">
        <v>4537.1000000000004</v>
      </c>
      <c r="C233" s="21">
        <v>783</v>
      </c>
      <c r="D233" s="21" t="s">
        <v>672</v>
      </c>
    </row>
    <row r="234" spans="1:4" x14ac:dyDescent="0.35">
      <c r="A234" s="21" t="s">
        <v>673</v>
      </c>
      <c r="B234" s="21">
        <v>4538</v>
      </c>
      <c r="C234" s="21">
        <v>521</v>
      </c>
      <c r="D234" s="21" t="s">
        <v>673</v>
      </c>
    </row>
    <row r="235" spans="1:4" x14ac:dyDescent="0.35">
      <c r="A235" s="21" t="s">
        <v>674</v>
      </c>
      <c r="B235" s="21">
        <v>4539</v>
      </c>
      <c r="C235" s="21">
        <v>522</v>
      </c>
      <c r="D235" s="21" t="s">
        <v>674</v>
      </c>
    </row>
    <row r="236" spans="1:4" x14ac:dyDescent="0.35">
      <c r="A236" s="21" t="s">
        <v>675</v>
      </c>
      <c r="B236" s="21">
        <v>4539.1000000000004</v>
      </c>
      <c r="C236" s="21">
        <v>793</v>
      </c>
      <c r="D236" s="21" t="s">
        <v>675</v>
      </c>
    </row>
    <row r="237" spans="1:4" x14ac:dyDescent="0.35">
      <c r="A237" s="21" t="s">
        <v>676</v>
      </c>
      <c r="B237" s="21">
        <v>4539.2</v>
      </c>
      <c r="C237" s="21">
        <v>794</v>
      </c>
      <c r="D237" s="21" t="s">
        <v>676</v>
      </c>
    </row>
    <row r="238" spans="1:4" x14ac:dyDescent="0.35">
      <c r="A238" s="21" t="s">
        <v>677</v>
      </c>
      <c r="B238" s="21">
        <v>4539.3</v>
      </c>
      <c r="C238" s="21">
        <v>795</v>
      </c>
      <c r="D238" s="21" t="s">
        <v>677</v>
      </c>
    </row>
    <row r="239" spans="1:4" x14ac:dyDescent="0.35">
      <c r="A239" s="21" t="s">
        <v>678</v>
      </c>
      <c r="B239" s="21">
        <v>4540</v>
      </c>
      <c r="C239" s="21">
        <v>263</v>
      </c>
      <c r="D239" s="21" t="s">
        <v>678</v>
      </c>
    </row>
    <row r="240" spans="1:4" x14ac:dyDescent="0.35">
      <c r="A240" s="21" t="s">
        <v>679</v>
      </c>
      <c r="B240" s="21">
        <v>4541</v>
      </c>
      <c r="C240" s="21">
        <v>523</v>
      </c>
      <c r="D240" s="21" t="s">
        <v>679</v>
      </c>
    </row>
    <row r="241" spans="1:4" x14ac:dyDescent="0.35">
      <c r="A241" s="21" t="s">
        <v>674</v>
      </c>
      <c r="B241" s="21">
        <v>4542</v>
      </c>
      <c r="C241" s="21">
        <v>524</v>
      </c>
      <c r="D241" s="21" t="s">
        <v>674</v>
      </c>
    </row>
    <row r="242" spans="1:4" x14ac:dyDescent="0.35">
      <c r="A242" s="21" t="s">
        <v>680</v>
      </c>
      <c r="B242" s="21">
        <v>4543</v>
      </c>
      <c r="C242" s="21">
        <v>525</v>
      </c>
      <c r="D242" s="21" t="s">
        <v>680</v>
      </c>
    </row>
    <row r="243" spans="1:4" x14ac:dyDescent="0.35">
      <c r="A243" s="21" t="s">
        <v>681</v>
      </c>
      <c r="B243" s="21">
        <v>4544</v>
      </c>
      <c r="C243" s="21">
        <v>731</v>
      </c>
      <c r="D243" s="21" t="s">
        <v>681</v>
      </c>
    </row>
    <row r="244" spans="1:4" x14ac:dyDescent="0.35">
      <c r="A244" s="21" t="s">
        <v>682</v>
      </c>
      <c r="B244" s="21">
        <v>4545</v>
      </c>
      <c r="C244" s="21">
        <v>757</v>
      </c>
      <c r="D244" s="21" t="s">
        <v>682</v>
      </c>
    </row>
    <row r="245" spans="1:4" x14ac:dyDescent="0.35">
      <c r="A245" s="21" t="s">
        <v>683</v>
      </c>
      <c r="B245" s="21">
        <v>4546</v>
      </c>
      <c r="C245" s="21">
        <v>799</v>
      </c>
      <c r="D245" s="21" t="s">
        <v>683</v>
      </c>
    </row>
    <row r="246" spans="1:4" x14ac:dyDescent="0.35">
      <c r="A246" s="21" t="s">
        <v>684</v>
      </c>
      <c r="B246" s="21">
        <v>5000</v>
      </c>
      <c r="C246" s="21">
        <v>264</v>
      </c>
      <c r="D246" s="21" t="s">
        <v>684</v>
      </c>
    </row>
    <row r="247" spans="1:4" x14ac:dyDescent="0.35">
      <c r="A247" s="21" t="s">
        <v>685</v>
      </c>
      <c r="B247" s="21">
        <v>5015</v>
      </c>
      <c r="C247" s="21">
        <v>613</v>
      </c>
      <c r="D247" s="21" t="s">
        <v>685</v>
      </c>
    </row>
    <row r="248" spans="1:4" x14ac:dyDescent="0.35">
      <c r="A248" s="21" t="s">
        <v>686</v>
      </c>
      <c r="B248" s="21">
        <v>5020</v>
      </c>
      <c r="C248" s="21">
        <v>265</v>
      </c>
      <c r="D248" s="21" t="s">
        <v>686</v>
      </c>
    </row>
    <row r="249" spans="1:4" x14ac:dyDescent="0.35">
      <c r="A249" s="21" t="s">
        <v>687</v>
      </c>
      <c r="B249" s="21">
        <v>5030</v>
      </c>
      <c r="C249" s="21">
        <v>266</v>
      </c>
      <c r="D249" s="21" t="s">
        <v>687</v>
      </c>
    </row>
    <row r="250" spans="1:4" x14ac:dyDescent="0.35">
      <c r="A250" s="21" t="s">
        <v>688</v>
      </c>
      <c r="B250" s="21">
        <v>5040</v>
      </c>
      <c r="C250" s="21">
        <v>267</v>
      </c>
      <c r="D250" s="21" t="s">
        <v>688</v>
      </c>
    </row>
    <row r="251" spans="1:4" x14ac:dyDescent="0.35">
      <c r="A251" s="21" t="s">
        <v>689</v>
      </c>
      <c r="B251" s="21">
        <v>5050</v>
      </c>
      <c r="C251" s="21">
        <v>399</v>
      </c>
      <c r="D251" s="21" t="s">
        <v>689</v>
      </c>
    </row>
    <row r="252" spans="1:4" x14ac:dyDescent="0.35">
      <c r="A252" s="21" t="s">
        <v>690</v>
      </c>
      <c r="B252" s="21">
        <v>5051</v>
      </c>
      <c r="C252" s="21">
        <v>615</v>
      </c>
      <c r="D252" s="21" t="s">
        <v>690</v>
      </c>
    </row>
    <row r="253" spans="1:4" x14ac:dyDescent="0.35">
      <c r="A253" s="21" t="s">
        <v>691</v>
      </c>
      <c r="B253" s="21">
        <v>5052</v>
      </c>
      <c r="C253" s="21">
        <v>616</v>
      </c>
      <c r="D253" s="21" t="s">
        <v>691</v>
      </c>
    </row>
    <row r="254" spans="1:4" x14ac:dyDescent="0.35">
      <c r="A254" s="21" t="s">
        <v>692</v>
      </c>
      <c r="B254" s="21">
        <v>5053</v>
      </c>
      <c r="C254" s="21">
        <v>711</v>
      </c>
      <c r="D254" s="21" t="s">
        <v>692</v>
      </c>
    </row>
    <row r="255" spans="1:4" x14ac:dyDescent="0.35">
      <c r="A255" s="21" t="s">
        <v>693</v>
      </c>
      <c r="B255" s="21">
        <v>5054</v>
      </c>
      <c r="C255" s="21">
        <v>712</v>
      </c>
      <c r="D255" s="21" t="s">
        <v>693</v>
      </c>
    </row>
    <row r="256" spans="1:4" x14ac:dyDescent="0.35">
      <c r="A256" s="21" t="s">
        <v>694</v>
      </c>
      <c r="B256" s="21">
        <v>5100</v>
      </c>
      <c r="C256" s="21">
        <v>268</v>
      </c>
      <c r="D256" s="21" t="s">
        <v>694</v>
      </c>
    </row>
    <row r="257" spans="1:4" x14ac:dyDescent="0.35">
      <c r="A257" s="21" t="s">
        <v>695</v>
      </c>
      <c r="B257" s="21">
        <v>5110</v>
      </c>
      <c r="C257" s="21">
        <v>18</v>
      </c>
      <c r="D257" s="21" t="s">
        <v>695</v>
      </c>
    </row>
    <row r="258" spans="1:4" x14ac:dyDescent="0.35">
      <c r="A258" s="21" t="s">
        <v>696</v>
      </c>
      <c r="B258" s="21">
        <v>5120</v>
      </c>
      <c r="C258" s="21">
        <v>208</v>
      </c>
      <c r="D258" s="21" t="s">
        <v>696</v>
      </c>
    </row>
    <row r="259" spans="1:4" x14ac:dyDescent="0.35">
      <c r="A259" s="21" t="s">
        <v>697</v>
      </c>
      <c r="B259" s="21">
        <v>5121</v>
      </c>
      <c r="C259" s="21">
        <v>592</v>
      </c>
      <c r="D259" s="21" t="s">
        <v>697</v>
      </c>
    </row>
    <row r="260" spans="1:4" x14ac:dyDescent="0.35">
      <c r="A260" s="21" t="s">
        <v>698</v>
      </c>
      <c r="B260" s="21">
        <v>5122</v>
      </c>
      <c r="C260" s="21">
        <v>560</v>
      </c>
      <c r="D260" s="21" t="s">
        <v>698</v>
      </c>
    </row>
    <row r="261" spans="1:4" x14ac:dyDescent="0.35">
      <c r="A261" s="21" t="s">
        <v>699</v>
      </c>
      <c r="B261" s="21">
        <v>5123</v>
      </c>
      <c r="C261" s="21">
        <v>610</v>
      </c>
      <c r="D261" s="21" t="s">
        <v>699</v>
      </c>
    </row>
    <row r="262" spans="1:4" x14ac:dyDescent="0.35">
      <c r="A262" s="21" t="s">
        <v>700</v>
      </c>
      <c r="B262" s="21">
        <v>5130</v>
      </c>
      <c r="C262" s="21">
        <v>269</v>
      </c>
      <c r="D262" s="21" t="s">
        <v>700</v>
      </c>
    </row>
    <row r="263" spans="1:4" x14ac:dyDescent="0.35">
      <c r="A263" s="21" t="s">
        <v>701</v>
      </c>
      <c r="B263" s="21">
        <v>5131</v>
      </c>
      <c r="C263" s="21">
        <v>488</v>
      </c>
      <c r="D263" s="21" t="s">
        <v>701</v>
      </c>
    </row>
    <row r="264" spans="1:4" x14ac:dyDescent="0.35">
      <c r="A264" s="21" t="s">
        <v>702</v>
      </c>
      <c r="B264" s="21">
        <v>5132</v>
      </c>
      <c r="C264" s="21">
        <v>491</v>
      </c>
      <c r="D264" s="21" t="s">
        <v>702</v>
      </c>
    </row>
    <row r="265" spans="1:4" x14ac:dyDescent="0.35">
      <c r="A265" s="21" t="s">
        <v>703</v>
      </c>
      <c r="B265" s="21">
        <v>5190</v>
      </c>
      <c r="C265" s="21">
        <v>270</v>
      </c>
      <c r="D265" s="21" t="s">
        <v>703</v>
      </c>
    </row>
    <row r="266" spans="1:4" x14ac:dyDescent="0.35">
      <c r="A266" s="21" t="s">
        <v>704</v>
      </c>
      <c r="B266" s="21">
        <v>5191</v>
      </c>
      <c r="C266" s="21">
        <v>490</v>
      </c>
      <c r="D266" s="21" t="s">
        <v>704</v>
      </c>
    </row>
    <row r="267" spans="1:4" x14ac:dyDescent="0.35">
      <c r="A267" s="21" t="s">
        <v>705</v>
      </c>
      <c r="B267" s="21">
        <v>5300</v>
      </c>
      <c r="C267" s="21">
        <v>271</v>
      </c>
      <c r="D267" s="21" t="s">
        <v>705</v>
      </c>
    </row>
    <row r="268" spans="1:4" x14ac:dyDescent="0.35">
      <c r="A268" s="21" t="s">
        <v>706</v>
      </c>
      <c r="B268" s="21">
        <v>5310</v>
      </c>
      <c r="C268" s="21">
        <v>272</v>
      </c>
      <c r="D268" s="21" t="s">
        <v>706</v>
      </c>
    </row>
    <row r="269" spans="1:4" x14ac:dyDescent="0.35">
      <c r="A269" s="21" t="s">
        <v>707</v>
      </c>
      <c r="B269" s="21">
        <v>5400</v>
      </c>
      <c r="C269" s="21">
        <v>273</v>
      </c>
      <c r="D269" s="21" t="s">
        <v>707</v>
      </c>
    </row>
    <row r="270" spans="1:4" x14ac:dyDescent="0.35">
      <c r="A270" s="21" t="s">
        <v>708</v>
      </c>
      <c r="B270" s="21">
        <v>5410</v>
      </c>
      <c r="C270" s="21">
        <v>228</v>
      </c>
      <c r="D270" s="21" t="s">
        <v>708</v>
      </c>
    </row>
    <row r="271" spans="1:4" x14ac:dyDescent="0.35">
      <c r="A271" s="21" t="s">
        <v>709</v>
      </c>
      <c r="B271" s="21">
        <v>5412</v>
      </c>
      <c r="C271" s="21">
        <v>774</v>
      </c>
      <c r="D271" s="21" t="s">
        <v>709</v>
      </c>
    </row>
    <row r="272" spans="1:4" x14ac:dyDescent="0.35">
      <c r="A272" s="21" t="s">
        <v>710</v>
      </c>
      <c r="B272" s="21">
        <v>5490</v>
      </c>
      <c r="C272" s="21">
        <v>99</v>
      </c>
      <c r="D272" s="21" t="s">
        <v>710</v>
      </c>
    </row>
    <row r="273" spans="1:4" x14ac:dyDescent="0.35">
      <c r="A273" s="21" t="s">
        <v>711</v>
      </c>
      <c r="B273" s="21">
        <v>5491</v>
      </c>
      <c r="C273" s="21">
        <v>586</v>
      </c>
      <c r="D273" s="21" t="s">
        <v>711</v>
      </c>
    </row>
    <row r="274" spans="1:4" x14ac:dyDescent="0.35">
      <c r="A274" s="21" t="s">
        <v>712</v>
      </c>
      <c r="B274" s="21">
        <v>5492</v>
      </c>
      <c r="C274" s="21">
        <v>559</v>
      </c>
      <c r="D274" s="21" t="s">
        <v>712</v>
      </c>
    </row>
    <row r="275" spans="1:4" x14ac:dyDescent="0.35">
      <c r="A275" s="21" t="s">
        <v>713</v>
      </c>
      <c r="B275" s="21">
        <v>5493</v>
      </c>
      <c r="C275" s="21">
        <v>730</v>
      </c>
      <c r="D275" s="21" t="s">
        <v>713</v>
      </c>
    </row>
    <row r="276" spans="1:4" x14ac:dyDescent="0.35">
      <c r="A276" s="21" t="s">
        <v>714</v>
      </c>
      <c r="B276" s="21">
        <v>5800</v>
      </c>
      <c r="C276" s="21">
        <v>118</v>
      </c>
      <c r="D276" s="21" t="s">
        <v>714</v>
      </c>
    </row>
    <row r="277" spans="1:4" x14ac:dyDescent="0.35">
      <c r="A277" s="21" t="s">
        <v>715</v>
      </c>
      <c r="B277" s="21">
        <v>5810</v>
      </c>
      <c r="C277" s="21">
        <v>274</v>
      </c>
      <c r="D277" s="21" t="s">
        <v>715</v>
      </c>
    </row>
    <row r="278" spans="1:4" x14ac:dyDescent="0.35">
      <c r="A278" s="21" t="s">
        <v>716</v>
      </c>
      <c r="B278" s="21">
        <v>5811</v>
      </c>
      <c r="C278" s="21">
        <v>505</v>
      </c>
      <c r="D278" s="21" t="s">
        <v>716</v>
      </c>
    </row>
    <row r="279" spans="1:4" x14ac:dyDescent="0.35">
      <c r="A279" s="21" t="s">
        <v>717</v>
      </c>
      <c r="B279" s="21">
        <v>5812</v>
      </c>
      <c r="C279" s="21">
        <v>506</v>
      </c>
      <c r="D279" s="21" t="s">
        <v>717</v>
      </c>
    </row>
    <row r="280" spans="1:4" x14ac:dyDescent="0.35">
      <c r="A280" s="21" t="s">
        <v>718</v>
      </c>
      <c r="B280" s="21">
        <v>5813</v>
      </c>
      <c r="C280" s="21">
        <v>507</v>
      </c>
      <c r="D280" s="21" t="s">
        <v>718</v>
      </c>
    </row>
    <row r="281" spans="1:4" x14ac:dyDescent="0.35">
      <c r="A281" s="21" t="s">
        <v>719</v>
      </c>
      <c r="B281" s="21">
        <v>5820</v>
      </c>
      <c r="C281" s="21">
        <v>275</v>
      </c>
      <c r="D281" s="21" t="s">
        <v>719</v>
      </c>
    </row>
    <row r="282" spans="1:4" x14ac:dyDescent="0.35">
      <c r="A282" s="21" t="s">
        <v>720</v>
      </c>
      <c r="B282" s="21">
        <v>5821</v>
      </c>
      <c r="C282" s="21">
        <v>501</v>
      </c>
      <c r="D282" s="21" t="s">
        <v>720</v>
      </c>
    </row>
    <row r="283" spans="1:4" x14ac:dyDescent="0.35">
      <c r="A283" s="21" t="s">
        <v>721</v>
      </c>
      <c r="B283" s="21">
        <v>5822</v>
      </c>
      <c r="C283" s="21">
        <v>502</v>
      </c>
      <c r="D283" s="21" t="s">
        <v>721</v>
      </c>
    </row>
    <row r="284" spans="1:4" x14ac:dyDescent="0.35">
      <c r="A284" s="21" t="s">
        <v>722</v>
      </c>
      <c r="B284" s="21">
        <v>5823</v>
      </c>
      <c r="C284" s="21">
        <v>503</v>
      </c>
      <c r="D284" s="21" t="s">
        <v>722</v>
      </c>
    </row>
    <row r="285" spans="1:4" x14ac:dyDescent="0.35">
      <c r="A285" s="21" t="s">
        <v>723</v>
      </c>
      <c r="B285" s="21">
        <v>5824</v>
      </c>
      <c r="C285" s="21">
        <v>504</v>
      </c>
      <c r="D285" s="21" t="s">
        <v>723</v>
      </c>
    </row>
    <row r="286" spans="1:4" x14ac:dyDescent="0.35">
      <c r="A286" s="21" t="s">
        <v>724</v>
      </c>
      <c r="B286" s="21">
        <v>5825</v>
      </c>
      <c r="C286" s="21">
        <v>573</v>
      </c>
      <c r="D286" s="21" t="s">
        <v>724</v>
      </c>
    </row>
    <row r="287" spans="1:4" x14ac:dyDescent="0.35">
      <c r="A287" s="21" t="s">
        <v>725</v>
      </c>
      <c r="B287" s="21">
        <v>5830</v>
      </c>
      <c r="C287" s="21">
        <v>276</v>
      </c>
      <c r="D287" s="21" t="s">
        <v>725</v>
      </c>
    </row>
    <row r="288" spans="1:4" x14ac:dyDescent="0.35">
      <c r="A288" s="21" t="s">
        <v>726</v>
      </c>
      <c r="B288" s="21">
        <v>6000</v>
      </c>
      <c r="C288" s="21">
        <v>336</v>
      </c>
      <c r="D288" s="21" t="s">
        <v>726</v>
      </c>
    </row>
    <row r="289" spans="1:4" x14ac:dyDescent="0.35">
      <c r="A289" s="21" t="s">
        <v>727</v>
      </c>
      <c r="B289" s="21">
        <v>7000</v>
      </c>
      <c r="C289" s="21">
        <v>374</v>
      </c>
      <c r="D289" s="21" t="s">
        <v>727</v>
      </c>
    </row>
    <row r="290" spans="1:4" x14ac:dyDescent="0.35">
      <c r="A290" s="21" t="s">
        <v>728</v>
      </c>
      <c r="B290" s="21">
        <v>7010</v>
      </c>
      <c r="C290" s="21">
        <v>375</v>
      </c>
      <c r="D290" s="21" t="s">
        <v>728</v>
      </c>
    </row>
    <row r="291" spans="1:4" x14ac:dyDescent="0.35">
      <c r="A291" s="21" t="s">
        <v>729</v>
      </c>
      <c r="B291" s="21">
        <v>7020</v>
      </c>
      <c r="C291" s="21">
        <v>376</v>
      </c>
      <c r="D291" s="21" t="s">
        <v>729</v>
      </c>
    </row>
    <row r="292" spans="1:4" x14ac:dyDescent="0.35">
      <c r="A292" s="21" t="s">
        <v>730</v>
      </c>
      <c r="B292" s="21">
        <v>7100</v>
      </c>
      <c r="C292" s="21">
        <v>347</v>
      </c>
      <c r="D292" s="21" t="s">
        <v>730</v>
      </c>
    </row>
    <row r="293" spans="1:4" x14ac:dyDescent="0.35">
      <c r="A293" s="21" t="s">
        <v>731</v>
      </c>
      <c r="B293" s="21">
        <v>7110</v>
      </c>
      <c r="C293" s="21">
        <v>348</v>
      </c>
      <c r="D293" s="21" t="s">
        <v>731</v>
      </c>
    </row>
    <row r="294" spans="1:4" x14ac:dyDescent="0.35">
      <c r="A294" s="21" t="s">
        <v>732</v>
      </c>
      <c r="B294" s="21">
        <v>7112</v>
      </c>
      <c r="C294" s="21">
        <v>530</v>
      </c>
      <c r="D294" s="21" t="s">
        <v>732</v>
      </c>
    </row>
    <row r="295" spans="1:4" x14ac:dyDescent="0.35">
      <c r="A295" s="21" t="s">
        <v>733</v>
      </c>
      <c r="B295" s="21">
        <v>7112.1</v>
      </c>
      <c r="C295" s="21">
        <v>614</v>
      </c>
      <c r="D295" s="21" t="s">
        <v>733</v>
      </c>
    </row>
    <row r="296" spans="1:4" x14ac:dyDescent="0.35">
      <c r="A296" s="21" t="s">
        <v>197</v>
      </c>
      <c r="B296" s="21">
        <v>7120</v>
      </c>
      <c r="C296" s="21">
        <v>349</v>
      </c>
      <c r="D296" s="21" t="s">
        <v>197</v>
      </c>
    </row>
    <row r="297" spans="1:4" x14ac:dyDescent="0.35">
      <c r="A297" s="21" t="s">
        <v>734</v>
      </c>
      <c r="B297" s="21">
        <v>7121</v>
      </c>
      <c r="C297" s="21">
        <v>604</v>
      </c>
      <c r="D297" s="21" t="s">
        <v>734</v>
      </c>
    </row>
    <row r="298" spans="1:4" x14ac:dyDescent="0.35">
      <c r="A298" s="21" t="s">
        <v>735</v>
      </c>
      <c r="B298" s="21">
        <v>7125</v>
      </c>
      <c r="C298" s="21">
        <v>431</v>
      </c>
      <c r="D298" s="21" t="s">
        <v>735</v>
      </c>
    </row>
    <row r="299" spans="1:4" x14ac:dyDescent="0.35">
      <c r="A299" s="21" t="s">
        <v>736</v>
      </c>
      <c r="B299" s="21">
        <v>7130</v>
      </c>
      <c r="C299" s="21">
        <v>350</v>
      </c>
      <c r="D299" s="21" t="s">
        <v>736</v>
      </c>
    </row>
    <row r="300" spans="1:4" x14ac:dyDescent="0.35">
      <c r="A300" s="21" t="s">
        <v>737</v>
      </c>
      <c r="B300" s="21">
        <v>7131</v>
      </c>
      <c r="C300" s="21">
        <v>584</v>
      </c>
      <c r="D300" s="21" t="s">
        <v>737</v>
      </c>
    </row>
    <row r="301" spans="1:4" x14ac:dyDescent="0.35">
      <c r="A301" s="21" t="s">
        <v>738</v>
      </c>
      <c r="B301" s="21">
        <v>7132</v>
      </c>
      <c r="C301" s="21">
        <v>489</v>
      </c>
      <c r="D301" s="21" t="s">
        <v>738</v>
      </c>
    </row>
    <row r="302" spans="1:4" x14ac:dyDescent="0.35">
      <c r="A302" s="21" t="s">
        <v>739</v>
      </c>
      <c r="B302" s="21">
        <v>7200</v>
      </c>
      <c r="C302" s="21">
        <v>141</v>
      </c>
      <c r="D302" s="21" t="s">
        <v>739</v>
      </c>
    </row>
    <row r="303" spans="1:4" x14ac:dyDescent="0.35">
      <c r="A303" s="21" t="s">
        <v>294</v>
      </c>
      <c r="B303" s="21">
        <v>7220</v>
      </c>
      <c r="C303" s="21">
        <v>234</v>
      </c>
      <c r="D303" s="21" t="s">
        <v>294</v>
      </c>
    </row>
    <row r="304" spans="1:4" x14ac:dyDescent="0.35">
      <c r="A304" s="21" t="s">
        <v>740</v>
      </c>
      <c r="B304" s="21">
        <v>7221</v>
      </c>
      <c r="C304" s="21">
        <v>277</v>
      </c>
      <c r="D304" s="21" t="s">
        <v>740</v>
      </c>
    </row>
    <row r="305" spans="1:4" x14ac:dyDescent="0.35">
      <c r="A305" s="21" t="s">
        <v>191</v>
      </c>
      <c r="B305" s="21">
        <v>7222</v>
      </c>
      <c r="C305" s="21">
        <v>283</v>
      </c>
      <c r="D305" s="21" t="s">
        <v>191</v>
      </c>
    </row>
    <row r="306" spans="1:4" x14ac:dyDescent="0.35">
      <c r="A306" s="21" t="s">
        <v>741</v>
      </c>
      <c r="B306" s="21">
        <v>7223</v>
      </c>
      <c r="C306" s="21">
        <v>292</v>
      </c>
      <c r="D306" s="21" t="s">
        <v>741</v>
      </c>
    </row>
    <row r="307" spans="1:4" x14ac:dyDescent="0.35">
      <c r="A307" s="21" t="s">
        <v>427</v>
      </c>
      <c r="B307" s="21">
        <v>7225</v>
      </c>
      <c r="C307" s="21">
        <v>765</v>
      </c>
      <c r="D307" s="21" t="s">
        <v>427</v>
      </c>
    </row>
    <row r="308" spans="1:4" x14ac:dyDescent="0.35">
      <c r="A308" s="21" t="s">
        <v>428</v>
      </c>
      <c r="B308" s="21">
        <v>7226</v>
      </c>
      <c r="C308" s="21">
        <v>766</v>
      </c>
      <c r="D308" s="21" t="s">
        <v>428</v>
      </c>
    </row>
    <row r="309" spans="1:4" x14ac:dyDescent="0.35">
      <c r="A309" s="21" t="s">
        <v>429</v>
      </c>
      <c r="B309" s="21">
        <v>7227</v>
      </c>
      <c r="C309" s="21">
        <v>767</v>
      </c>
      <c r="D309" s="21" t="s">
        <v>429</v>
      </c>
    </row>
    <row r="310" spans="1:4" x14ac:dyDescent="0.35">
      <c r="A310" s="21" t="s">
        <v>430</v>
      </c>
      <c r="B310" s="21">
        <v>7228</v>
      </c>
      <c r="C310" s="21">
        <v>768</v>
      </c>
      <c r="D310" s="21" t="s">
        <v>430</v>
      </c>
    </row>
    <row r="311" spans="1:4" x14ac:dyDescent="0.35">
      <c r="A311" s="21" t="s">
        <v>742</v>
      </c>
      <c r="B311" s="21">
        <v>7230</v>
      </c>
      <c r="C311" s="21">
        <v>196</v>
      </c>
      <c r="D311" s="21" t="s">
        <v>742</v>
      </c>
    </row>
    <row r="312" spans="1:4" x14ac:dyDescent="0.35">
      <c r="A312" s="21" t="s">
        <v>743</v>
      </c>
      <c r="B312" s="21">
        <v>7240</v>
      </c>
      <c r="C312" s="21">
        <v>142</v>
      </c>
      <c r="D312" s="21" t="s">
        <v>743</v>
      </c>
    </row>
    <row r="313" spans="1:4" x14ac:dyDescent="0.35">
      <c r="A313" s="21" t="s">
        <v>744</v>
      </c>
      <c r="B313" s="21">
        <v>7241</v>
      </c>
      <c r="C313" s="21">
        <v>413</v>
      </c>
      <c r="D313" s="21" t="s">
        <v>744</v>
      </c>
    </row>
    <row r="314" spans="1:4" x14ac:dyDescent="0.35">
      <c r="A314" s="21" t="s">
        <v>745</v>
      </c>
      <c r="B314" s="21">
        <v>7241.1</v>
      </c>
      <c r="C314" s="21">
        <v>570</v>
      </c>
      <c r="D314" s="21" t="s">
        <v>745</v>
      </c>
    </row>
    <row r="315" spans="1:4" x14ac:dyDescent="0.35">
      <c r="A315" s="21" t="s">
        <v>746</v>
      </c>
      <c r="B315" s="21">
        <v>7241.2</v>
      </c>
      <c r="C315" s="21">
        <v>719</v>
      </c>
      <c r="D315" s="21" t="s">
        <v>746</v>
      </c>
    </row>
    <row r="316" spans="1:4" x14ac:dyDescent="0.35">
      <c r="A316" s="21" t="s">
        <v>747</v>
      </c>
      <c r="B316" s="21">
        <v>7242</v>
      </c>
      <c r="C316" s="21">
        <v>412</v>
      </c>
      <c r="D316" s="21" t="s">
        <v>747</v>
      </c>
    </row>
    <row r="317" spans="1:4" x14ac:dyDescent="0.35">
      <c r="A317" s="21" t="s">
        <v>748</v>
      </c>
      <c r="B317" s="21">
        <v>7243</v>
      </c>
      <c r="C317" s="21">
        <v>414</v>
      </c>
      <c r="D317" s="21" t="s">
        <v>748</v>
      </c>
    </row>
    <row r="318" spans="1:4" x14ac:dyDescent="0.35">
      <c r="A318" s="21" t="s">
        <v>749</v>
      </c>
      <c r="B318" s="21">
        <v>7244</v>
      </c>
      <c r="C318" s="21">
        <v>424</v>
      </c>
      <c r="D318" s="21" t="s">
        <v>749</v>
      </c>
    </row>
    <row r="319" spans="1:4" x14ac:dyDescent="0.35">
      <c r="A319" s="21" t="s">
        <v>750</v>
      </c>
      <c r="B319" s="21">
        <v>7245</v>
      </c>
      <c r="C319" s="21">
        <v>406</v>
      </c>
      <c r="D319" s="21" t="s">
        <v>750</v>
      </c>
    </row>
    <row r="320" spans="1:4" x14ac:dyDescent="0.35">
      <c r="A320" s="21" t="s">
        <v>751</v>
      </c>
      <c r="B320" s="21">
        <v>7246</v>
      </c>
      <c r="C320" s="21">
        <v>425</v>
      </c>
      <c r="D320" s="21" t="s">
        <v>751</v>
      </c>
    </row>
    <row r="321" spans="1:4" x14ac:dyDescent="0.35">
      <c r="A321" s="21" t="s">
        <v>752</v>
      </c>
      <c r="B321" s="21">
        <v>7247</v>
      </c>
      <c r="C321" s="21">
        <v>457</v>
      </c>
      <c r="D321" s="21" t="s">
        <v>752</v>
      </c>
    </row>
    <row r="322" spans="1:4" x14ac:dyDescent="0.35">
      <c r="A322" s="21" t="s">
        <v>753</v>
      </c>
      <c r="B322" s="21">
        <v>7248</v>
      </c>
      <c r="C322" s="21">
        <v>593</v>
      </c>
      <c r="D322" s="21" t="s">
        <v>753</v>
      </c>
    </row>
    <row r="323" spans="1:4" x14ac:dyDescent="0.35">
      <c r="A323" s="21" t="s">
        <v>754</v>
      </c>
      <c r="B323" s="21">
        <v>7250</v>
      </c>
      <c r="C323" s="21">
        <v>230</v>
      </c>
      <c r="D323" s="21" t="s">
        <v>754</v>
      </c>
    </row>
    <row r="324" spans="1:4" x14ac:dyDescent="0.35">
      <c r="A324" s="21" t="s">
        <v>290</v>
      </c>
      <c r="B324" s="21">
        <v>7251</v>
      </c>
      <c r="C324" s="21">
        <v>313</v>
      </c>
      <c r="D324" s="21" t="s">
        <v>290</v>
      </c>
    </row>
    <row r="325" spans="1:4" x14ac:dyDescent="0.35">
      <c r="A325" s="21" t="s">
        <v>755</v>
      </c>
      <c r="B325" s="21">
        <v>7252</v>
      </c>
      <c r="C325" s="21">
        <v>314</v>
      </c>
      <c r="D325" s="21" t="s">
        <v>755</v>
      </c>
    </row>
    <row r="326" spans="1:4" x14ac:dyDescent="0.35">
      <c r="A326" s="21" t="s">
        <v>756</v>
      </c>
      <c r="B326" s="21">
        <v>7253</v>
      </c>
      <c r="C326" s="21">
        <v>315</v>
      </c>
      <c r="D326" s="21" t="s">
        <v>756</v>
      </c>
    </row>
    <row r="327" spans="1:4" x14ac:dyDescent="0.35">
      <c r="A327" s="21" t="s">
        <v>757</v>
      </c>
      <c r="B327" s="21">
        <v>7254</v>
      </c>
      <c r="C327" s="21">
        <v>316</v>
      </c>
      <c r="D327" s="21" t="s">
        <v>757</v>
      </c>
    </row>
    <row r="328" spans="1:4" x14ac:dyDescent="0.35">
      <c r="A328" s="21" t="s">
        <v>758</v>
      </c>
      <c r="B328" s="21">
        <v>7260</v>
      </c>
      <c r="C328" s="21">
        <v>96</v>
      </c>
      <c r="D328" s="21" t="s">
        <v>758</v>
      </c>
    </row>
    <row r="329" spans="1:4" x14ac:dyDescent="0.35">
      <c r="A329" s="21" t="s">
        <v>759</v>
      </c>
      <c r="B329" s="21">
        <v>7260.1</v>
      </c>
      <c r="C329" s="21">
        <v>629</v>
      </c>
      <c r="D329" s="21" t="s">
        <v>759</v>
      </c>
    </row>
    <row r="330" spans="1:4" x14ac:dyDescent="0.35">
      <c r="A330" s="21" t="s">
        <v>760</v>
      </c>
      <c r="B330" s="21">
        <v>7270</v>
      </c>
      <c r="C330" s="21">
        <v>317</v>
      </c>
      <c r="D330" s="21" t="s">
        <v>760</v>
      </c>
    </row>
    <row r="331" spans="1:4" x14ac:dyDescent="0.35">
      <c r="A331" s="21" t="s">
        <v>761</v>
      </c>
      <c r="B331" s="21">
        <v>7500</v>
      </c>
      <c r="C331" s="21">
        <v>21</v>
      </c>
      <c r="D331" s="21" t="s">
        <v>761</v>
      </c>
    </row>
    <row r="332" spans="1:4" x14ac:dyDescent="0.35">
      <c r="A332" s="21" t="s">
        <v>762</v>
      </c>
      <c r="B332" s="21">
        <v>7510</v>
      </c>
      <c r="C332" s="21">
        <v>318</v>
      </c>
      <c r="D332" s="21" t="s">
        <v>762</v>
      </c>
    </row>
    <row r="333" spans="1:4" x14ac:dyDescent="0.35">
      <c r="A333" s="21" t="s">
        <v>763</v>
      </c>
      <c r="B333" s="21">
        <v>7515</v>
      </c>
      <c r="C333" s="21">
        <v>450</v>
      </c>
      <c r="D333" s="21" t="s">
        <v>763</v>
      </c>
    </row>
    <row r="334" spans="1:4" x14ac:dyDescent="0.35">
      <c r="A334" s="21" t="s">
        <v>764</v>
      </c>
      <c r="B334" s="21">
        <v>7515.5</v>
      </c>
      <c r="C334" s="21">
        <v>589</v>
      </c>
      <c r="D334" s="21" t="s">
        <v>764</v>
      </c>
    </row>
    <row r="335" spans="1:4" x14ac:dyDescent="0.35">
      <c r="A335" s="21" t="s">
        <v>765</v>
      </c>
      <c r="B335" s="21">
        <v>7520</v>
      </c>
      <c r="C335" s="21">
        <v>22</v>
      </c>
      <c r="D335" s="21" t="s">
        <v>765</v>
      </c>
    </row>
    <row r="336" spans="1:4" x14ac:dyDescent="0.35">
      <c r="A336" s="21" t="s">
        <v>766</v>
      </c>
      <c r="B336" s="21">
        <v>7521</v>
      </c>
      <c r="C336" s="21">
        <v>510</v>
      </c>
      <c r="D336" s="21" t="s">
        <v>766</v>
      </c>
    </row>
    <row r="337" spans="1:4" x14ac:dyDescent="0.35">
      <c r="A337" s="21" t="s">
        <v>767</v>
      </c>
      <c r="B337" s="21">
        <v>7522</v>
      </c>
      <c r="C337" s="21">
        <v>590</v>
      </c>
      <c r="D337" s="21" t="s">
        <v>767</v>
      </c>
    </row>
    <row r="338" spans="1:4" x14ac:dyDescent="0.35">
      <c r="A338" s="21" t="s">
        <v>768</v>
      </c>
      <c r="B338" s="21">
        <v>7530</v>
      </c>
      <c r="C338" s="21">
        <v>23</v>
      </c>
      <c r="D338" s="21" t="s">
        <v>768</v>
      </c>
    </row>
    <row r="339" spans="1:4" x14ac:dyDescent="0.35">
      <c r="A339" s="21" t="s">
        <v>769</v>
      </c>
      <c r="B339" s="21">
        <v>7540</v>
      </c>
      <c r="C339" s="21">
        <v>121</v>
      </c>
      <c r="D339" s="21" t="s">
        <v>769</v>
      </c>
    </row>
    <row r="340" spans="1:4" x14ac:dyDescent="0.35">
      <c r="A340" s="21" t="s">
        <v>770</v>
      </c>
      <c r="B340" s="21">
        <v>7550</v>
      </c>
      <c r="C340" s="21">
        <v>223</v>
      </c>
      <c r="D340" s="21" t="s">
        <v>770</v>
      </c>
    </row>
    <row r="341" spans="1:4" x14ac:dyDescent="0.35">
      <c r="A341" s="21" t="s">
        <v>771</v>
      </c>
      <c r="B341" s="21">
        <v>7560</v>
      </c>
      <c r="C341" s="21">
        <v>24</v>
      </c>
      <c r="D341" s="21" t="s">
        <v>771</v>
      </c>
    </row>
    <row r="342" spans="1:4" x14ac:dyDescent="0.35">
      <c r="A342" s="21" t="s">
        <v>772</v>
      </c>
      <c r="B342" s="21">
        <v>7570</v>
      </c>
      <c r="C342" s="21">
        <v>319</v>
      </c>
      <c r="D342" s="21" t="s">
        <v>772</v>
      </c>
    </row>
    <row r="343" spans="1:4" x14ac:dyDescent="0.35">
      <c r="A343" s="21" t="s">
        <v>632</v>
      </c>
      <c r="B343" s="21">
        <v>7580</v>
      </c>
      <c r="C343" s="21">
        <v>320</v>
      </c>
      <c r="D343" s="21" t="s">
        <v>632</v>
      </c>
    </row>
    <row r="344" spans="1:4" x14ac:dyDescent="0.35">
      <c r="A344" s="21" t="s">
        <v>773</v>
      </c>
      <c r="B344" s="21">
        <v>7590</v>
      </c>
      <c r="C344" s="21">
        <v>509</v>
      </c>
      <c r="D344" s="21" t="s">
        <v>773</v>
      </c>
    </row>
    <row r="345" spans="1:4" x14ac:dyDescent="0.35">
      <c r="A345" s="21" t="s">
        <v>774</v>
      </c>
      <c r="B345" s="21">
        <v>8000</v>
      </c>
      <c r="C345" s="21">
        <v>358</v>
      </c>
      <c r="D345" s="21" t="s">
        <v>774</v>
      </c>
    </row>
    <row r="346" spans="1:4" x14ac:dyDescent="0.35">
      <c r="A346" s="21" t="s">
        <v>775</v>
      </c>
      <c r="B346" s="21">
        <v>8100</v>
      </c>
      <c r="C346" s="21">
        <v>321</v>
      </c>
      <c r="D346" s="21" t="s">
        <v>775</v>
      </c>
    </row>
    <row r="347" spans="1:4" x14ac:dyDescent="0.35">
      <c r="A347" s="21" t="s">
        <v>776</v>
      </c>
      <c r="B347" s="21">
        <v>8108</v>
      </c>
      <c r="C347" s="21">
        <v>599</v>
      </c>
      <c r="D347" s="21" t="s">
        <v>776</v>
      </c>
    </row>
    <row r="348" spans="1:4" x14ac:dyDescent="0.35">
      <c r="A348" s="21" t="s">
        <v>777</v>
      </c>
      <c r="B348" s="21">
        <v>8110</v>
      </c>
      <c r="C348" s="21">
        <v>35</v>
      </c>
      <c r="D348" s="21" t="s">
        <v>777</v>
      </c>
    </row>
    <row r="349" spans="1:4" x14ac:dyDescent="0.35">
      <c r="A349" s="21" t="s">
        <v>778</v>
      </c>
      <c r="B349" s="21">
        <v>8112</v>
      </c>
      <c r="C349" s="21">
        <v>441</v>
      </c>
      <c r="D349" s="21" t="s">
        <v>778</v>
      </c>
    </row>
    <row r="350" spans="1:4" x14ac:dyDescent="0.35">
      <c r="A350" s="21" t="s">
        <v>779</v>
      </c>
      <c r="B350" s="21">
        <v>8115</v>
      </c>
      <c r="C350" s="21">
        <v>411</v>
      </c>
      <c r="D350" s="21" t="s">
        <v>779</v>
      </c>
    </row>
    <row r="351" spans="1:4" x14ac:dyDescent="0.35">
      <c r="A351" s="21" t="s">
        <v>780</v>
      </c>
      <c r="B351" s="21">
        <v>8120</v>
      </c>
      <c r="C351" s="21">
        <v>154</v>
      </c>
      <c r="D351" s="21" t="s">
        <v>780</v>
      </c>
    </row>
    <row r="352" spans="1:4" x14ac:dyDescent="0.35">
      <c r="A352" s="21" t="s">
        <v>781</v>
      </c>
      <c r="B352" s="21">
        <v>8130</v>
      </c>
      <c r="C352" s="21">
        <v>36</v>
      </c>
      <c r="D352" s="21" t="s">
        <v>781</v>
      </c>
    </row>
    <row r="353" spans="1:4" x14ac:dyDescent="0.35">
      <c r="A353" s="21" t="s">
        <v>782</v>
      </c>
      <c r="B353" s="21">
        <v>8131</v>
      </c>
      <c r="C353" s="21">
        <v>447</v>
      </c>
      <c r="D353" s="21" t="s">
        <v>782</v>
      </c>
    </row>
    <row r="354" spans="1:4" x14ac:dyDescent="0.35">
      <c r="A354" s="21" t="s">
        <v>783</v>
      </c>
      <c r="B354" s="21">
        <v>8132</v>
      </c>
      <c r="C354" s="21">
        <v>432</v>
      </c>
      <c r="D354" s="21" t="s">
        <v>783</v>
      </c>
    </row>
    <row r="355" spans="1:4" x14ac:dyDescent="0.35">
      <c r="A355" s="21" t="s">
        <v>784</v>
      </c>
      <c r="B355" s="21">
        <v>8132.1</v>
      </c>
      <c r="C355" s="21">
        <v>630</v>
      </c>
      <c r="D355" s="21" t="s">
        <v>784</v>
      </c>
    </row>
    <row r="356" spans="1:4" x14ac:dyDescent="0.35">
      <c r="A356" s="21" t="s">
        <v>785</v>
      </c>
      <c r="B356" s="21">
        <v>8133</v>
      </c>
      <c r="C356" s="21">
        <v>448</v>
      </c>
      <c r="D356" s="21" t="s">
        <v>785</v>
      </c>
    </row>
    <row r="357" spans="1:4" x14ac:dyDescent="0.35">
      <c r="A357" s="21" t="s">
        <v>786</v>
      </c>
      <c r="B357" s="21">
        <v>8134</v>
      </c>
      <c r="C357" s="21">
        <v>449</v>
      </c>
      <c r="D357" s="21" t="s">
        <v>786</v>
      </c>
    </row>
    <row r="358" spans="1:4" x14ac:dyDescent="0.35">
      <c r="A358" s="21" t="s">
        <v>787</v>
      </c>
      <c r="B358" s="21">
        <v>8135</v>
      </c>
      <c r="C358" s="21">
        <v>444</v>
      </c>
      <c r="D358" s="21" t="s">
        <v>787</v>
      </c>
    </row>
    <row r="359" spans="1:4" x14ac:dyDescent="0.35">
      <c r="A359" s="21" t="s">
        <v>788</v>
      </c>
      <c r="B359" s="21">
        <v>8135.5</v>
      </c>
      <c r="C359" s="21">
        <v>588</v>
      </c>
      <c r="D359" s="21" t="s">
        <v>788</v>
      </c>
    </row>
    <row r="360" spans="1:4" x14ac:dyDescent="0.35">
      <c r="A360" s="21" t="s">
        <v>789</v>
      </c>
      <c r="B360" s="21">
        <v>8140</v>
      </c>
      <c r="C360" s="21">
        <v>87</v>
      </c>
      <c r="D360" s="21" t="s">
        <v>789</v>
      </c>
    </row>
    <row r="361" spans="1:4" x14ac:dyDescent="0.35">
      <c r="A361" s="21" t="s">
        <v>790</v>
      </c>
      <c r="B361" s="21">
        <v>8141</v>
      </c>
      <c r="C361" s="21">
        <v>513</v>
      </c>
      <c r="D361" s="21" t="s">
        <v>790</v>
      </c>
    </row>
    <row r="362" spans="1:4" x14ac:dyDescent="0.35">
      <c r="A362" s="21" t="s">
        <v>791</v>
      </c>
      <c r="B362" s="21">
        <v>8160</v>
      </c>
      <c r="C362" s="21">
        <v>322</v>
      </c>
      <c r="D362" s="21" t="s">
        <v>791</v>
      </c>
    </row>
    <row r="363" spans="1:4" x14ac:dyDescent="0.35">
      <c r="A363" s="21" t="s">
        <v>792</v>
      </c>
      <c r="B363" s="21">
        <v>8161</v>
      </c>
      <c r="C363" s="21">
        <v>511</v>
      </c>
      <c r="D363" s="21" t="s">
        <v>792</v>
      </c>
    </row>
    <row r="364" spans="1:4" x14ac:dyDescent="0.35">
      <c r="A364" s="21" t="s">
        <v>793</v>
      </c>
      <c r="B364" s="21">
        <v>8170</v>
      </c>
      <c r="C364" s="21">
        <v>34</v>
      </c>
      <c r="D364" s="21" t="s">
        <v>793</v>
      </c>
    </row>
    <row r="365" spans="1:4" x14ac:dyDescent="0.35">
      <c r="A365" s="21" t="s">
        <v>794</v>
      </c>
      <c r="B365" s="21">
        <v>8180</v>
      </c>
      <c r="C365" s="21">
        <v>323</v>
      </c>
      <c r="D365" s="21" t="s">
        <v>794</v>
      </c>
    </row>
    <row r="366" spans="1:4" x14ac:dyDescent="0.35">
      <c r="A366" s="21" t="s">
        <v>795</v>
      </c>
      <c r="B366" s="21">
        <v>8190</v>
      </c>
      <c r="C366" s="21">
        <v>324</v>
      </c>
      <c r="D366" s="21" t="s">
        <v>795</v>
      </c>
    </row>
    <row r="367" spans="1:4" x14ac:dyDescent="0.35">
      <c r="A367" s="21" t="s">
        <v>796</v>
      </c>
      <c r="B367" s="21">
        <v>8191</v>
      </c>
      <c r="C367" s="21">
        <v>747</v>
      </c>
      <c r="D367" s="21" t="s">
        <v>796</v>
      </c>
    </row>
    <row r="368" spans="1:4" x14ac:dyDescent="0.35">
      <c r="A368" s="21" t="s">
        <v>797</v>
      </c>
      <c r="B368" s="21">
        <v>8199</v>
      </c>
      <c r="C368" s="21">
        <v>364</v>
      </c>
      <c r="D368" s="21" t="s">
        <v>797</v>
      </c>
    </row>
    <row r="369" spans="1:4" x14ac:dyDescent="0.35">
      <c r="A369" s="21" t="s">
        <v>798</v>
      </c>
      <c r="B369" s="21">
        <v>8200</v>
      </c>
      <c r="C369" s="21">
        <v>25</v>
      </c>
      <c r="D369" s="21" t="s">
        <v>798</v>
      </c>
    </row>
    <row r="370" spans="1:4" x14ac:dyDescent="0.35">
      <c r="A370" s="21" t="s">
        <v>799</v>
      </c>
      <c r="B370" s="21">
        <v>8205</v>
      </c>
      <c r="C370" s="21">
        <v>30</v>
      </c>
      <c r="D370" s="21" t="s">
        <v>799</v>
      </c>
    </row>
    <row r="371" spans="1:4" x14ac:dyDescent="0.35">
      <c r="A371" s="21" t="s">
        <v>800</v>
      </c>
      <c r="B371" s="21">
        <v>8210</v>
      </c>
      <c r="C371" s="21">
        <v>84</v>
      </c>
      <c r="D371" s="21" t="s">
        <v>800</v>
      </c>
    </row>
    <row r="372" spans="1:4" x14ac:dyDescent="0.35">
      <c r="A372" s="21" t="s">
        <v>801</v>
      </c>
      <c r="B372" s="21">
        <v>8210.1</v>
      </c>
      <c r="C372" s="21">
        <v>556</v>
      </c>
      <c r="D372" s="21" t="s">
        <v>801</v>
      </c>
    </row>
    <row r="373" spans="1:4" x14ac:dyDescent="0.35">
      <c r="A373" s="21" t="s">
        <v>802</v>
      </c>
      <c r="B373" s="21">
        <v>8210.2000000000007</v>
      </c>
      <c r="C373" s="21">
        <v>557</v>
      </c>
      <c r="D373" s="21" t="s">
        <v>802</v>
      </c>
    </row>
    <row r="374" spans="1:4" x14ac:dyDescent="0.35">
      <c r="A374" s="21" t="s">
        <v>803</v>
      </c>
      <c r="B374" s="21">
        <v>8210.2999999999993</v>
      </c>
      <c r="C374" s="21">
        <v>558</v>
      </c>
      <c r="D374" s="21" t="s">
        <v>803</v>
      </c>
    </row>
    <row r="375" spans="1:4" x14ac:dyDescent="0.35">
      <c r="A375" s="21" t="s">
        <v>804</v>
      </c>
      <c r="B375" s="21">
        <v>8210.5</v>
      </c>
      <c r="C375" s="21">
        <v>443</v>
      </c>
      <c r="D375" s="21" t="s">
        <v>804</v>
      </c>
    </row>
    <row r="376" spans="1:4" x14ac:dyDescent="0.35">
      <c r="A376" s="21" t="s">
        <v>805</v>
      </c>
      <c r="B376" s="21">
        <v>8211</v>
      </c>
      <c r="C376" s="21">
        <v>430</v>
      </c>
      <c r="D376" s="21" t="s">
        <v>805</v>
      </c>
    </row>
    <row r="377" spans="1:4" x14ac:dyDescent="0.35">
      <c r="A377" s="21" t="s">
        <v>806</v>
      </c>
      <c r="B377" s="21">
        <v>8211.1</v>
      </c>
      <c r="C377" s="21">
        <v>553</v>
      </c>
      <c r="D377" s="21" t="s">
        <v>806</v>
      </c>
    </row>
    <row r="378" spans="1:4" x14ac:dyDescent="0.35">
      <c r="A378" s="21" t="s">
        <v>807</v>
      </c>
      <c r="B378" s="21">
        <v>8211.2000000000007</v>
      </c>
      <c r="C378" s="21">
        <v>554</v>
      </c>
      <c r="D378" s="21" t="s">
        <v>807</v>
      </c>
    </row>
    <row r="379" spans="1:4" x14ac:dyDescent="0.35">
      <c r="A379" s="21" t="s">
        <v>808</v>
      </c>
      <c r="B379" s="21">
        <v>8211.2999999999993</v>
      </c>
      <c r="C379" s="21">
        <v>555</v>
      </c>
      <c r="D379" s="21" t="s">
        <v>808</v>
      </c>
    </row>
    <row r="380" spans="1:4" x14ac:dyDescent="0.35">
      <c r="A380" s="21" t="s">
        <v>809</v>
      </c>
      <c r="B380" s="21">
        <v>8211.5</v>
      </c>
      <c r="C380" s="21">
        <v>627</v>
      </c>
      <c r="D380" s="21" t="s">
        <v>809</v>
      </c>
    </row>
    <row r="381" spans="1:4" x14ac:dyDescent="0.35">
      <c r="A381" s="21" t="s">
        <v>810</v>
      </c>
      <c r="B381" s="21">
        <v>8220</v>
      </c>
      <c r="C381" s="21">
        <v>86</v>
      </c>
      <c r="D381" s="21" t="s">
        <v>810</v>
      </c>
    </row>
    <row r="382" spans="1:4" x14ac:dyDescent="0.35">
      <c r="A382" s="21" t="s">
        <v>811</v>
      </c>
      <c r="B382" s="21">
        <v>8221</v>
      </c>
      <c r="C382" s="21">
        <v>426</v>
      </c>
      <c r="D382" s="21" t="s">
        <v>811</v>
      </c>
    </row>
    <row r="383" spans="1:4" x14ac:dyDescent="0.35">
      <c r="A383" s="21" t="s">
        <v>812</v>
      </c>
      <c r="B383" s="21">
        <v>8222</v>
      </c>
      <c r="C383" s="21">
        <v>427</v>
      </c>
      <c r="D383" s="21" t="s">
        <v>812</v>
      </c>
    </row>
    <row r="384" spans="1:4" x14ac:dyDescent="0.35">
      <c r="A384" s="21" t="s">
        <v>539</v>
      </c>
      <c r="B384" s="21">
        <v>8223</v>
      </c>
      <c r="C384" s="21">
        <v>531</v>
      </c>
      <c r="D384" s="21" t="s">
        <v>539</v>
      </c>
    </row>
    <row r="385" spans="1:4" x14ac:dyDescent="0.35">
      <c r="A385" s="21" t="s">
        <v>813</v>
      </c>
      <c r="B385" s="21">
        <v>8224</v>
      </c>
      <c r="C385" s="21">
        <v>429</v>
      </c>
      <c r="D385" s="21" t="s">
        <v>813</v>
      </c>
    </row>
    <row r="386" spans="1:4" x14ac:dyDescent="0.35">
      <c r="A386" s="21" t="s">
        <v>814</v>
      </c>
      <c r="B386" s="21">
        <v>8227</v>
      </c>
      <c r="C386" s="21">
        <v>428</v>
      </c>
      <c r="D386" s="21" t="s">
        <v>814</v>
      </c>
    </row>
    <row r="387" spans="1:4" x14ac:dyDescent="0.35">
      <c r="A387" s="21" t="s">
        <v>815</v>
      </c>
      <c r="B387" s="21">
        <v>8228</v>
      </c>
      <c r="C387" s="21">
        <v>438</v>
      </c>
      <c r="D387" s="21" t="s">
        <v>815</v>
      </c>
    </row>
    <row r="388" spans="1:4" x14ac:dyDescent="0.35">
      <c r="A388" s="21" t="s">
        <v>816</v>
      </c>
      <c r="B388" s="21">
        <v>8229</v>
      </c>
      <c r="C388" s="21">
        <v>508</v>
      </c>
      <c r="D388" s="21" t="s">
        <v>816</v>
      </c>
    </row>
    <row r="389" spans="1:4" x14ac:dyDescent="0.35">
      <c r="A389" s="21" t="s">
        <v>817</v>
      </c>
      <c r="B389" s="21">
        <v>8229.1</v>
      </c>
      <c r="C389" s="21">
        <v>440</v>
      </c>
      <c r="D389" s="21" t="s">
        <v>817</v>
      </c>
    </row>
    <row r="390" spans="1:4" x14ac:dyDescent="0.35">
      <c r="A390" s="21" t="s">
        <v>818</v>
      </c>
      <c r="B390" s="21">
        <v>8230</v>
      </c>
      <c r="C390" s="21">
        <v>85</v>
      </c>
      <c r="D390" s="21" t="s">
        <v>818</v>
      </c>
    </row>
    <row r="391" spans="1:4" x14ac:dyDescent="0.35">
      <c r="A391" s="21" t="s">
        <v>819</v>
      </c>
      <c r="B391" s="21">
        <v>8231</v>
      </c>
      <c r="C391" s="21">
        <v>436</v>
      </c>
      <c r="D391" s="21" t="s">
        <v>819</v>
      </c>
    </row>
    <row r="392" spans="1:4" x14ac:dyDescent="0.35">
      <c r="A392" s="21" t="s">
        <v>820</v>
      </c>
      <c r="B392" s="21">
        <v>8233</v>
      </c>
      <c r="C392" s="21">
        <v>437</v>
      </c>
      <c r="D392" s="21" t="s">
        <v>820</v>
      </c>
    </row>
    <row r="393" spans="1:4" x14ac:dyDescent="0.35">
      <c r="A393" s="21" t="s">
        <v>821</v>
      </c>
      <c r="B393" s="21">
        <v>8235</v>
      </c>
      <c r="C393" s="21">
        <v>446</v>
      </c>
      <c r="D393" s="21" t="s">
        <v>821</v>
      </c>
    </row>
    <row r="394" spans="1:4" x14ac:dyDescent="0.35">
      <c r="A394" s="21" t="s">
        <v>822</v>
      </c>
      <c r="B394" s="21">
        <v>8236</v>
      </c>
      <c r="C394" s="21">
        <v>455</v>
      </c>
      <c r="D394" s="21" t="s">
        <v>822</v>
      </c>
    </row>
    <row r="395" spans="1:4" x14ac:dyDescent="0.35">
      <c r="A395" s="21" t="s">
        <v>823</v>
      </c>
      <c r="B395" s="21">
        <v>8239</v>
      </c>
      <c r="C395" s="21">
        <v>512</v>
      </c>
      <c r="D395" s="21" t="s">
        <v>823</v>
      </c>
    </row>
    <row r="396" spans="1:4" x14ac:dyDescent="0.35">
      <c r="A396" s="21" t="s">
        <v>824</v>
      </c>
      <c r="B396" s="21">
        <v>8240</v>
      </c>
      <c r="C396" s="21">
        <v>83</v>
      </c>
      <c r="D396" s="21" t="s">
        <v>824</v>
      </c>
    </row>
    <row r="397" spans="1:4" x14ac:dyDescent="0.35">
      <c r="A397" s="21" t="s">
        <v>825</v>
      </c>
      <c r="B397" s="21">
        <v>8250</v>
      </c>
      <c r="C397" s="21">
        <v>28</v>
      </c>
      <c r="D397" s="21" t="s">
        <v>825</v>
      </c>
    </row>
    <row r="398" spans="1:4" x14ac:dyDescent="0.35">
      <c r="A398" s="21" t="s">
        <v>826</v>
      </c>
      <c r="B398" s="21">
        <v>8250.1</v>
      </c>
      <c r="C398" s="21">
        <v>803</v>
      </c>
      <c r="D398" s="21" t="s">
        <v>826</v>
      </c>
    </row>
    <row r="399" spans="1:4" x14ac:dyDescent="0.35">
      <c r="A399" s="21" t="s">
        <v>827</v>
      </c>
      <c r="B399" s="21">
        <v>8260</v>
      </c>
      <c r="C399" s="21">
        <v>29</v>
      </c>
      <c r="D399" s="21" t="s">
        <v>827</v>
      </c>
    </row>
    <row r="400" spans="1:4" x14ac:dyDescent="0.35">
      <c r="A400" s="21" t="s">
        <v>828</v>
      </c>
      <c r="B400" s="21">
        <v>8261</v>
      </c>
      <c r="C400" s="21">
        <v>398</v>
      </c>
      <c r="D400" s="21" t="s">
        <v>828</v>
      </c>
    </row>
    <row r="401" spans="1:4" x14ac:dyDescent="0.35">
      <c r="A401" s="21" t="s">
        <v>829</v>
      </c>
      <c r="B401" s="21">
        <v>8262</v>
      </c>
      <c r="C401" s="21">
        <v>433</v>
      </c>
      <c r="D401" s="21" t="s">
        <v>829</v>
      </c>
    </row>
    <row r="402" spans="1:4" x14ac:dyDescent="0.35">
      <c r="A402" s="21" t="s">
        <v>830</v>
      </c>
      <c r="B402" s="21">
        <v>8263</v>
      </c>
      <c r="C402" s="21">
        <v>434</v>
      </c>
      <c r="D402" s="21" t="s">
        <v>830</v>
      </c>
    </row>
    <row r="403" spans="1:4" x14ac:dyDescent="0.35">
      <c r="A403" s="21" t="s">
        <v>831</v>
      </c>
      <c r="B403" s="21">
        <v>8264</v>
      </c>
      <c r="C403" s="21">
        <v>435</v>
      </c>
      <c r="D403" s="21" t="s">
        <v>831</v>
      </c>
    </row>
    <row r="404" spans="1:4" x14ac:dyDescent="0.35">
      <c r="A404" s="21" t="s">
        <v>832</v>
      </c>
      <c r="B404" s="21">
        <v>8265</v>
      </c>
      <c r="C404" s="21">
        <v>454</v>
      </c>
      <c r="D404" s="21" t="s">
        <v>832</v>
      </c>
    </row>
    <row r="405" spans="1:4" x14ac:dyDescent="0.35">
      <c r="A405" s="21" t="s">
        <v>833</v>
      </c>
      <c r="B405" s="21">
        <v>8266</v>
      </c>
      <c r="C405" s="21">
        <v>587</v>
      </c>
      <c r="D405" s="21" t="s">
        <v>833</v>
      </c>
    </row>
    <row r="406" spans="1:4" x14ac:dyDescent="0.35">
      <c r="A406" s="21" t="s">
        <v>834</v>
      </c>
      <c r="B406" s="21">
        <v>8270</v>
      </c>
      <c r="C406" s="21">
        <v>161</v>
      </c>
      <c r="D406" s="21" t="s">
        <v>834</v>
      </c>
    </row>
    <row r="407" spans="1:4" x14ac:dyDescent="0.35">
      <c r="A407" s="21" t="s">
        <v>835</v>
      </c>
      <c r="B407" s="21">
        <v>8271</v>
      </c>
      <c r="C407" s="21">
        <v>394</v>
      </c>
      <c r="D407" s="21" t="s">
        <v>835</v>
      </c>
    </row>
    <row r="408" spans="1:4" x14ac:dyDescent="0.35">
      <c r="A408" s="21" t="s">
        <v>836</v>
      </c>
      <c r="B408" s="21">
        <v>8280</v>
      </c>
      <c r="C408" s="21">
        <v>26</v>
      </c>
      <c r="D408" s="21" t="s">
        <v>836</v>
      </c>
    </row>
    <row r="409" spans="1:4" x14ac:dyDescent="0.35">
      <c r="A409" s="21" t="s">
        <v>837</v>
      </c>
      <c r="B409" s="21">
        <v>8290</v>
      </c>
      <c r="C409" s="21">
        <v>27</v>
      </c>
      <c r="D409" s="21" t="s">
        <v>837</v>
      </c>
    </row>
    <row r="410" spans="1:4" x14ac:dyDescent="0.35">
      <c r="A410" s="21" t="s">
        <v>838</v>
      </c>
      <c r="B410" s="21">
        <v>8295</v>
      </c>
      <c r="C410" s="21">
        <v>379</v>
      </c>
      <c r="D410" s="21" t="s">
        <v>838</v>
      </c>
    </row>
    <row r="411" spans="1:4" x14ac:dyDescent="0.35">
      <c r="A411" s="21" t="s">
        <v>839</v>
      </c>
      <c r="B411" s="21">
        <v>8299</v>
      </c>
      <c r="C411" s="21">
        <v>365</v>
      </c>
      <c r="D411" s="21" t="s">
        <v>839</v>
      </c>
    </row>
    <row r="412" spans="1:4" x14ac:dyDescent="0.35">
      <c r="A412" s="21" t="s">
        <v>840</v>
      </c>
      <c r="B412" s="21">
        <v>8300</v>
      </c>
      <c r="C412" s="21">
        <v>39</v>
      </c>
      <c r="D412" s="21" t="s">
        <v>840</v>
      </c>
    </row>
    <row r="413" spans="1:4" x14ac:dyDescent="0.35">
      <c r="A413" s="21" t="s">
        <v>841</v>
      </c>
      <c r="B413" s="21">
        <v>8310</v>
      </c>
      <c r="C413" s="21">
        <v>41</v>
      </c>
      <c r="D413" s="21" t="s">
        <v>841</v>
      </c>
    </row>
    <row r="414" spans="1:4" x14ac:dyDescent="0.35">
      <c r="A414" s="21" t="s">
        <v>842</v>
      </c>
      <c r="B414" s="21">
        <v>8311</v>
      </c>
      <c r="C414" s="21">
        <v>366</v>
      </c>
      <c r="D414" s="21" t="s">
        <v>842</v>
      </c>
    </row>
    <row r="415" spans="1:4" x14ac:dyDescent="0.35">
      <c r="A415" s="21" t="s">
        <v>843</v>
      </c>
      <c r="B415" s="21">
        <v>8312</v>
      </c>
      <c r="C415" s="21">
        <v>384</v>
      </c>
      <c r="D415" s="21" t="s">
        <v>843</v>
      </c>
    </row>
    <row r="416" spans="1:4" x14ac:dyDescent="0.35">
      <c r="A416" s="21" t="s">
        <v>844</v>
      </c>
      <c r="B416" s="21">
        <v>8320</v>
      </c>
      <c r="C416" s="21">
        <v>108</v>
      </c>
      <c r="D416" s="21" t="s">
        <v>844</v>
      </c>
    </row>
    <row r="417" spans="1:4" x14ac:dyDescent="0.35">
      <c r="A417" s="21" t="s">
        <v>845</v>
      </c>
      <c r="B417" s="21">
        <v>8330</v>
      </c>
      <c r="C417" s="21">
        <v>325</v>
      </c>
      <c r="D417" s="21" t="s">
        <v>845</v>
      </c>
    </row>
    <row r="418" spans="1:4" x14ac:dyDescent="0.35">
      <c r="A418" s="21" t="s">
        <v>846</v>
      </c>
      <c r="B418" s="21">
        <v>8340</v>
      </c>
      <c r="C418" s="21">
        <v>326</v>
      </c>
      <c r="D418" s="21" t="s">
        <v>846</v>
      </c>
    </row>
    <row r="419" spans="1:4" x14ac:dyDescent="0.35">
      <c r="A419" s="21" t="s">
        <v>847</v>
      </c>
      <c r="B419" s="21">
        <v>8350</v>
      </c>
      <c r="C419" s="21">
        <v>40</v>
      </c>
      <c r="D419" s="21" t="s">
        <v>847</v>
      </c>
    </row>
    <row r="420" spans="1:4" x14ac:dyDescent="0.35">
      <c r="A420" s="21" t="s">
        <v>848</v>
      </c>
      <c r="B420" s="21">
        <v>8360</v>
      </c>
      <c r="C420" s="21">
        <v>362</v>
      </c>
      <c r="D420" s="21" t="s">
        <v>848</v>
      </c>
    </row>
    <row r="421" spans="1:4" x14ac:dyDescent="0.35">
      <c r="A421" s="21" t="s">
        <v>849</v>
      </c>
      <c r="B421" s="21">
        <v>8370</v>
      </c>
      <c r="C421" s="21">
        <v>363</v>
      </c>
      <c r="D421" s="21" t="s">
        <v>849</v>
      </c>
    </row>
    <row r="422" spans="1:4" x14ac:dyDescent="0.35">
      <c r="A422" s="21" t="s">
        <v>850</v>
      </c>
      <c r="B422" s="21">
        <v>8400</v>
      </c>
      <c r="C422" s="21">
        <v>327</v>
      </c>
      <c r="D422" s="21" t="s">
        <v>850</v>
      </c>
    </row>
    <row r="423" spans="1:4" x14ac:dyDescent="0.35">
      <c r="A423" s="21" t="s">
        <v>851</v>
      </c>
      <c r="B423" s="21">
        <v>8405</v>
      </c>
      <c r="C423" s="21">
        <v>32</v>
      </c>
      <c r="D423" s="21" t="s">
        <v>851</v>
      </c>
    </row>
    <row r="424" spans="1:4" x14ac:dyDescent="0.35">
      <c r="A424" s="21" t="s">
        <v>852</v>
      </c>
      <c r="B424" s="21">
        <v>8406</v>
      </c>
      <c r="C424" s="21">
        <v>600</v>
      </c>
      <c r="D424" s="21" t="s">
        <v>852</v>
      </c>
    </row>
    <row r="425" spans="1:4" x14ac:dyDescent="0.35">
      <c r="A425" s="21" t="s">
        <v>853</v>
      </c>
      <c r="B425" s="21">
        <v>8410</v>
      </c>
      <c r="C425" s="21">
        <v>80</v>
      </c>
      <c r="D425" s="21" t="s">
        <v>853</v>
      </c>
    </row>
    <row r="426" spans="1:4" x14ac:dyDescent="0.35">
      <c r="A426" s="21" t="s">
        <v>854</v>
      </c>
      <c r="B426" s="21">
        <v>8415</v>
      </c>
      <c r="C426" s="21">
        <v>217</v>
      </c>
      <c r="D426" s="21" t="s">
        <v>854</v>
      </c>
    </row>
    <row r="427" spans="1:4" x14ac:dyDescent="0.35">
      <c r="A427" s="21" t="s">
        <v>855</v>
      </c>
      <c r="B427" s="21">
        <v>8420</v>
      </c>
      <c r="C427" s="21">
        <v>218</v>
      </c>
      <c r="D427" s="21" t="s">
        <v>855</v>
      </c>
    </row>
    <row r="428" spans="1:4" x14ac:dyDescent="0.35">
      <c r="A428" s="21" t="s">
        <v>856</v>
      </c>
      <c r="B428" s="21">
        <v>8425</v>
      </c>
      <c r="C428" s="21">
        <v>219</v>
      </c>
      <c r="D428" s="21" t="s">
        <v>856</v>
      </c>
    </row>
    <row r="429" spans="1:4" x14ac:dyDescent="0.35">
      <c r="A429" s="21" t="s">
        <v>857</v>
      </c>
      <c r="B429" s="21">
        <v>8430</v>
      </c>
      <c r="C429" s="21">
        <v>220</v>
      </c>
      <c r="D429" s="21" t="s">
        <v>857</v>
      </c>
    </row>
    <row r="430" spans="1:4" x14ac:dyDescent="0.35">
      <c r="A430" s="21" t="s">
        <v>858</v>
      </c>
      <c r="B430" s="21">
        <v>8435</v>
      </c>
      <c r="C430" s="21">
        <v>221</v>
      </c>
      <c r="D430" s="21" t="s">
        <v>858</v>
      </c>
    </row>
    <row r="431" spans="1:4" x14ac:dyDescent="0.35">
      <c r="A431" s="21" t="s">
        <v>859</v>
      </c>
      <c r="B431" s="21">
        <v>8440</v>
      </c>
      <c r="C431" s="21">
        <v>222</v>
      </c>
      <c r="D431" s="21" t="s">
        <v>859</v>
      </c>
    </row>
    <row r="432" spans="1:4" x14ac:dyDescent="0.35">
      <c r="A432" s="21" t="s">
        <v>860</v>
      </c>
      <c r="B432" s="21">
        <v>8445</v>
      </c>
      <c r="C432" s="21">
        <v>163</v>
      </c>
      <c r="D432" s="21" t="s">
        <v>860</v>
      </c>
    </row>
    <row r="433" spans="1:4" x14ac:dyDescent="0.35">
      <c r="A433" s="21" t="s">
        <v>861</v>
      </c>
      <c r="B433" s="21">
        <v>8450</v>
      </c>
      <c r="C433" s="21">
        <v>226</v>
      </c>
      <c r="D433" s="21" t="s">
        <v>861</v>
      </c>
    </row>
    <row r="434" spans="1:4" x14ac:dyDescent="0.35">
      <c r="A434" s="21" t="s">
        <v>862</v>
      </c>
      <c r="B434" s="21">
        <v>8451</v>
      </c>
      <c r="C434" s="21">
        <v>395</v>
      </c>
      <c r="D434" s="21" t="s">
        <v>862</v>
      </c>
    </row>
    <row r="435" spans="1:4" x14ac:dyDescent="0.35">
      <c r="A435" s="21" t="s">
        <v>863</v>
      </c>
      <c r="B435" s="21">
        <v>8452</v>
      </c>
      <c r="C435" s="21">
        <v>396</v>
      </c>
      <c r="D435" s="21" t="s">
        <v>863</v>
      </c>
    </row>
    <row r="436" spans="1:4" x14ac:dyDescent="0.35">
      <c r="A436" s="21" t="s">
        <v>864</v>
      </c>
      <c r="B436" s="21">
        <v>8453</v>
      </c>
      <c r="C436" s="21">
        <v>397</v>
      </c>
      <c r="D436" s="21" t="s">
        <v>864</v>
      </c>
    </row>
    <row r="437" spans="1:4" x14ac:dyDescent="0.35">
      <c r="A437" s="21" t="s">
        <v>865</v>
      </c>
      <c r="B437" s="21">
        <v>8455</v>
      </c>
      <c r="C437" s="21">
        <v>215</v>
      </c>
      <c r="D437" s="21" t="s">
        <v>865</v>
      </c>
    </row>
    <row r="438" spans="1:4" x14ac:dyDescent="0.35">
      <c r="A438" s="21" t="s">
        <v>866</v>
      </c>
      <c r="B438" s="21">
        <v>8460</v>
      </c>
      <c r="C438" s="21">
        <v>147</v>
      </c>
      <c r="D438" s="21" t="s">
        <v>866</v>
      </c>
    </row>
    <row r="439" spans="1:4" x14ac:dyDescent="0.35">
      <c r="A439" s="21" t="s">
        <v>867</v>
      </c>
      <c r="B439" s="21">
        <v>8462</v>
      </c>
      <c r="C439" s="21">
        <v>748</v>
      </c>
      <c r="D439" s="21" t="s">
        <v>867</v>
      </c>
    </row>
    <row r="440" spans="1:4" x14ac:dyDescent="0.35">
      <c r="A440" s="21" t="s">
        <v>868</v>
      </c>
      <c r="B440" s="21">
        <v>8470</v>
      </c>
      <c r="C440" s="21">
        <v>328</v>
      </c>
      <c r="D440" s="21" t="s">
        <v>868</v>
      </c>
    </row>
    <row r="441" spans="1:4" x14ac:dyDescent="0.35">
      <c r="A441" s="21" t="s">
        <v>869</v>
      </c>
      <c r="B441" s="21">
        <v>8480</v>
      </c>
      <c r="C441" s="21">
        <v>368</v>
      </c>
      <c r="D441" s="21" t="s">
        <v>869</v>
      </c>
    </row>
    <row r="442" spans="1:4" x14ac:dyDescent="0.35">
      <c r="A442" s="21" t="s">
        <v>870</v>
      </c>
      <c r="B442" s="21">
        <v>8490</v>
      </c>
      <c r="C442" s="21">
        <v>372</v>
      </c>
      <c r="D442" s="21" t="s">
        <v>870</v>
      </c>
    </row>
    <row r="443" spans="1:4" x14ac:dyDescent="0.35">
      <c r="A443" s="21" t="s">
        <v>871</v>
      </c>
      <c r="B443" s="21">
        <v>8495</v>
      </c>
      <c r="C443" s="21">
        <v>378</v>
      </c>
      <c r="D443" s="21" t="s">
        <v>871</v>
      </c>
    </row>
    <row r="444" spans="1:4" x14ac:dyDescent="0.35">
      <c r="A444" s="21" t="s">
        <v>872</v>
      </c>
      <c r="B444" s="21">
        <v>8500</v>
      </c>
      <c r="C444" s="21">
        <v>329</v>
      </c>
      <c r="D444" s="21" t="s">
        <v>872</v>
      </c>
    </row>
    <row r="445" spans="1:4" x14ac:dyDescent="0.35">
      <c r="A445" s="21" t="s">
        <v>873</v>
      </c>
      <c r="B445" s="21">
        <v>8510</v>
      </c>
      <c r="C445" s="21">
        <v>330</v>
      </c>
      <c r="D445" s="21" t="s">
        <v>873</v>
      </c>
    </row>
    <row r="446" spans="1:4" x14ac:dyDescent="0.35">
      <c r="A446" s="21" t="s">
        <v>874</v>
      </c>
      <c r="B446" s="21">
        <v>8520</v>
      </c>
      <c r="C446" s="21">
        <v>37</v>
      </c>
      <c r="D446" s="21" t="s">
        <v>874</v>
      </c>
    </row>
    <row r="447" spans="1:4" x14ac:dyDescent="0.35">
      <c r="A447" s="21" t="s">
        <v>714</v>
      </c>
      <c r="B447" s="21">
        <v>8525</v>
      </c>
      <c r="C447" s="21">
        <v>423</v>
      </c>
      <c r="D447" s="21" t="s">
        <v>714</v>
      </c>
    </row>
    <row r="448" spans="1:4" x14ac:dyDescent="0.35">
      <c r="A448" s="21" t="s">
        <v>875</v>
      </c>
      <c r="B448" s="21">
        <v>8530</v>
      </c>
      <c r="C448" s="21">
        <v>89</v>
      </c>
      <c r="D448" s="21" t="s">
        <v>875</v>
      </c>
    </row>
    <row r="449" spans="1:4" x14ac:dyDescent="0.35">
      <c r="A449" s="21" t="s">
        <v>876</v>
      </c>
      <c r="B449" s="21">
        <v>8540</v>
      </c>
      <c r="C449" s="21">
        <v>103</v>
      </c>
      <c r="D449" s="21" t="s">
        <v>876</v>
      </c>
    </row>
    <row r="450" spans="1:4" x14ac:dyDescent="0.35">
      <c r="A450" s="21" t="s">
        <v>877</v>
      </c>
      <c r="B450" s="21">
        <v>8550</v>
      </c>
      <c r="C450" s="21">
        <v>88</v>
      </c>
      <c r="D450" s="21" t="s">
        <v>877</v>
      </c>
    </row>
    <row r="451" spans="1:4" x14ac:dyDescent="0.35">
      <c r="A451" s="21" t="s">
        <v>878</v>
      </c>
      <c r="B451" s="21">
        <v>8560</v>
      </c>
      <c r="C451" s="21">
        <v>331</v>
      </c>
      <c r="D451" s="21" t="s">
        <v>878</v>
      </c>
    </row>
    <row r="452" spans="1:4" x14ac:dyDescent="0.35">
      <c r="A452" s="21" t="s">
        <v>879</v>
      </c>
      <c r="B452" s="21">
        <v>8565</v>
      </c>
      <c r="C452" s="21">
        <v>722</v>
      </c>
      <c r="D452" s="21" t="s">
        <v>879</v>
      </c>
    </row>
    <row r="453" spans="1:4" x14ac:dyDescent="0.35">
      <c r="A453" s="21" t="s">
        <v>880</v>
      </c>
      <c r="B453" s="21">
        <v>8570</v>
      </c>
      <c r="C453" s="21">
        <v>90</v>
      </c>
      <c r="D453" s="21" t="s">
        <v>880</v>
      </c>
    </row>
    <row r="454" spans="1:4" x14ac:dyDescent="0.35">
      <c r="A454" s="21" t="s">
        <v>881</v>
      </c>
      <c r="B454" s="21">
        <v>8575</v>
      </c>
      <c r="C454" s="21">
        <v>402</v>
      </c>
      <c r="D454" s="21" t="s">
        <v>881</v>
      </c>
    </row>
    <row r="455" spans="1:4" x14ac:dyDescent="0.35">
      <c r="A455" s="21" t="s">
        <v>882</v>
      </c>
      <c r="B455" s="21">
        <v>8580</v>
      </c>
      <c r="C455" s="21">
        <v>91</v>
      </c>
      <c r="D455" s="21" t="s">
        <v>882</v>
      </c>
    </row>
    <row r="456" spans="1:4" x14ac:dyDescent="0.35">
      <c r="A456" s="21" t="s">
        <v>883</v>
      </c>
      <c r="B456" s="21">
        <v>8585</v>
      </c>
      <c r="C456" s="21">
        <v>184</v>
      </c>
      <c r="D456" s="21" t="s">
        <v>883</v>
      </c>
    </row>
    <row r="457" spans="1:4" x14ac:dyDescent="0.35">
      <c r="A457" s="21" t="s">
        <v>872</v>
      </c>
      <c r="B457" s="21">
        <v>8590</v>
      </c>
      <c r="C457" s="21">
        <v>92</v>
      </c>
      <c r="D457" s="21" t="s">
        <v>872</v>
      </c>
    </row>
    <row r="458" spans="1:4" x14ac:dyDescent="0.35">
      <c r="A458" s="21" t="s">
        <v>884</v>
      </c>
      <c r="B458" s="21">
        <v>8595</v>
      </c>
      <c r="C458" s="21">
        <v>400</v>
      </c>
      <c r="D458" s="21" t="s">
        <v>884</v>
      </c>
    </row>
    <row r="459" spans="1:4" x14ac:dyDescent="0.35">
      <c r="A459" s="21" t="s">
        <v>885</v>
      </c>
      <c r="B459" s="21">
        <v>8599</v>
      </c>
      <c r="C459" s="21">
        <v>568</v>
      </c>
      <c r="D459" s="21" t="s">
        <v>885</v>
      </c>
    </row>
    <row r="460" spans="1:4" x14ac:dyDescent="0.35">
      <c r="A460" s="21" t="s">
        <v>886</v>
      </c>
      <c r="B460" s="21">
        <v>8600</v>
      </c>
      <c r="C460" s="21">
        <v>385</v>
      </c>
      <c r="D460" s="21" t="s">
        <v>886</v>
      </c>
    </row>
    <row r="461" spans="1:4" x14ac:dyDescent="0.35">
      <c r="A461" s="21" t="s">
        <v>887</v>
      </c>
      <c r="B461" s="21">
        <v>8601</v>
      </c>
      <c r="C461" s="21">
        <v>387</v>
      </c>
      <c r="D461" s="21" t="s">
        <v>887</v>
      </c>
    </row>
    <row r="462" spans="1:4" x14ac:dyDescent="0.35">
      <c r="A462" s="21" t="s">
        <v>888</v>
      </c>
      <c r="B462" s="21">
        <v>8602</v>
      </c>
      <c r="C462" s="21">
        <v>386</v>
      </c>
      <c r="D462" s="21" t="s">
        <v>888</v>
      </c>
    </row>
    <row r="463" spans="1:4" x14ac:dyDescent="0.35">
      <c r="A463" s="21" t="s">
        <v>889</v>
      </c>
      <c r="B463" s="21">
        <v>8603</v>
      </c>
      <c r="C463" s="21">
        <v>388</v>
      </c>
      <c r="D463" s="21" t="s">
        <v>889</v>
      </c>
    </row>
    <row r="464" spans="1:4" x14ac:dyDescent="0.35">
      <c r="A464" s="21" t="s">
        <v>890</v>
      </c>
      <c r="B464" s="21">
        <v>8604</v>
      </c>
      <c r="C464" s="21">
        <v>389</v>
      </c>
      <c r="D464" s="21" t="s">
        <v>890</v>
      </c>
    </row>
    <row r="465" spans="1:4" x14ac:dyDescent="0.35">
      <c r="A465" s="21" t="s">
        <v>891</v>
      </c>
      <c r="B465" s="21">
        <v>8605</v>
      </c>
      <c r="C465" s="21">
        <v>390</v>
      </c>
      <c r="D465" s="21" t="s">
        <v>891</v>
      </c>
    </row>
    <row r="466" spans="1:4" x14ac:dyDescent="0.35">
      <c r="A466" s="21" t="s">
        <v>832</v>
      </c>
      <c r="B466" s="21">
        <v>8606</v>
      </c>
      <c r="C466" s="21">
        <v>391</v>
      </c>
      <c r="D466" s="21" t="s">
        <v>832</v>
      </c>
    </row>
    <row r="467" spans="1:4" x14ac:dyDescent="0.35">
      <c r="A467" s="21" t="s">
        <v>827</v>
      </c>
      <c r="B467" s="21">
        <v>8606.1</v>
      </c>
      <c r="C467" s="21">
        <v>633</v>
      </c>
      <c r="D467" s="21" t="s">
        <v>827</v>
      </c>
    </row>
    <row r="468" spans="1:4" x14ac:dyDescent="0.35">
      <c r="A468" s="21" t="s">
        <v>892</v>
      </c>
      <c r="B468" s="21">
        <v>8606.2000000000007</v>
      </c>
      <c r="C468" s="21">
        <v>634</v>
      </c>
      <c r="D468" s="21" t="s">
        <v>892</v>
      </c>
    </row>
    <row r="469" spans="1:4" x14ac:dyDescent="0.35">
      <c r="A469" s="21" t="s">
        <v>800</v>
      </c>
      <c r="B469" s="21">
        <v>8606.2999999999993</v>
      </c>
      <c r="C469" s="21">
        <v>635</v>
      </c>
      <c r="D469" s="21" t="s">
        <v>800</v>
      </c>
    </row>
    <row r="470" spans="1:4" x14ac:dyDescent="0.35">
      <c r="A470" s="21" t="s">
        <v>893</v>
      </c>
      <c r="B470" s="21">
        <v>8606.4</v>
      </c>
      <c r="C470" s="21">
        <v>636</v>
      </c>
      <c r="D470" s="21" t="s">
        <v>893</v>
      </c>
    </row>
    <row r="471" spans="1:4" x14ac:dyDescent="0.35">
      <c r="A471" s="21" t="s">
        <v>894</v>
      </c>
      <c r="B471" s="21">
        <v>8606.5</v>
      </c>
      <c r="C471" s="21">
        <v>718</v>
      </c>
      <c r="D471" s="21" t="s">
        <v>894</v>
      </c>
    </row>
    <row r="472" spans="1:4" x14ac:dyDescent="0.35">
      <c r="A472" s="21" t="s">
        <v>805</v>
      </c>
      <c r="B472" s="21">
        <v>8606.6</v>
      </c>
      <c r="C472" s="21">
        <v>717</v>
      </c>
      <c r="D472" s="21" t="s">
        <v>805</v>
      </c>
    </row>
    <row r="473" spans="1:4" x14ac:dyDescent="0.35">
      <c r="A473" s="21" t="s">
        <v>895</v>
      </c>
      <c r="B473" s="21">
        <v>8606.9</v>
      </c>
      <c r="C473" s="21">
        <v>729</v>
      </c>
      <c r="D473" s="21" t="s">
        <v>895</v>
      </c>
    </row>
    <row r="474" spans="1:4" x14ac:dyDescent="0.35">
      <c r="A474" s="21" t="s">
        <v>896</v>
      </c>
      <c r="B474" s="21">
        <v>8607</v>
      </c>
      <c r="C474" s="21">
        <v>392</v>
      </c>
      <c r="D474" s="21" t="s">
        <v>896</v>
      </c>
    </row>
    <row r="475" spans="1:4" x14ac:dyDescent="0.35">
      <c r="A475" s="21" t="s">
        <v>897</v>
      </c>
      <c r="B475" s="21">
        <v>8608</v>
      </c>
      <c r="C475" s="21">
        <v>393</v>
      </c>
      <c r="D475" s="21" t="s">
        <v>897</v>
      </c>
    </row>
    <row r="476" spans="1:4" x14ac:dyDescent="0.35">
      <c r="A476" s="21" t="s">
        <v>857</v>
      </c>
      <c r="B476" s="21">
        <v>8609</v>
      </c>
      <c r="C476" s="21">
        <v>637</v>
      </c>
      <c r="D476" s="21" t="s">
        <v>857</v>
      </c>
    </row>
    <row r="477" spans="1:4" x14ac:dyDescent="0.35">
      <c r="A477" s="21" t="s">
        <v>898</v>
      </c>
      <c r="B477" s="21">
        <v>8610</v>
      </c>
      <c r="C477" s="21">
        <v>756</v>
      </c>
      <c r="D477" s="21" t="s">
        <v>898</v>
      </c>
    </row>
    <row r="478" spans="1:4" x14ac:dyDescent="0.35">
      <c r="A478" s="21" t="s">
        <v>899</v>
      </c>
      <c r="B478" s="21">
        <v>8611</v>
      </c>
      <c r="C478" s="21">
        <v>409</v>
      </c>
      <c r="D478" s="21" t="s">
        <v>899</v>
      </c>
    </row>
    <row r="479" spans="1:4" x14ac:dyDescent="0.35">
      <c r="A479" s="21" t="s">
        <v>900</v>
      </c>
      <c r="B479" s="21">
        <v>8612</v>
      </c>
      <c r="C479" s="21">
        <v>410</v>
      </c>
      <c r="D479" s="21" t="s">
        <v>900</v>
      </c>
    </row>
    <row r="480" spans="1:4" x14ac:dyDescent="0.35">
      <c r="A480" s="21" t="s">
        <v>901</v>
      </c>
      <c r="B480" s="21">
        <v>8612.1</v>
      </c>
      <c r="C480" s="21">
        <v>806</v>
      </c>
      <c r="D480" s="21" t="s">
        <v>901</v>
      </c>
    </row>
    <row r="481" spans="1:4" x14ac:dyDescent="0.35">
      <c r="A481" s="21" t="s">
        <v>902</v>
      </c>
      <c r="B481" s="21">
        <v>8700</v>
      </c>
      <c r="C481" s="21">
        <v>487</v>
      </c>
      <c r="D481" s="21" t="s">
        <v>902</v>
      </c>
    </row>
    <row r="482" spans="1:4" x14ac:dyDescent="0.35">
      <c r="A482" s="21" t="s">
        <v>903</v>
      </c>
      <c r="B482" s="21">
        <v>8800</v>
      </c>
      <c r="C482" s="21">
        <v>495</v>
      </c>
      <c r="D482" s="21" t="s">
        <v>903</v>
      </c>
    </row>
    <row r="483" spans="1:4" x14ac:dyDescent="0.35">
      <c r="A483" s="21" t="s">
        <v>904</v>
      </c>
      <c r="B483" s="21">
        <v>8850</v>
      </c>
      <c r="C483" s="21">
        <v>496</v>
      </c>
      <c r="D483" s="21" t="s">
        <v>904</v>
      </c>
    </row>
    <row r="484" spans="1:4" x14ac:dyDescent="0.35">
      <c r="A484" s="21" t="s">
        <v>905</v>
      </c>
      <c r="B484" s="21">
        <v>8900</v>
      </c>
      <c r="C484" s="21">
        <v>351</v>
      </c>
      <c r="D484" s="21" t="s">
        <v>905</v>
      </c>
    </row>
    <row r="485" spans="1:4" x14ac:dyDescent="0.35">
      <c r="A485" s="21" t="s">
        <v>906</v>
      </c>
      <c r="B485" s="21">
        <v>24000</v>
      </c>
      <c r="C485" s="21">
        <v>46</v>
      </c>
      <c r="D485" s="21" t="s">
        <v>906</v>
      </c>
    </row>
    <row r="486" spans="1:4" x14ac:dyDescent="0.35">
      <c r="A486" s="21" t="s">
        <v>907</v>
      </c>
      <c r="B486" s="21">
        <v>32000</v>
      </c>
      <c r="C486" s="21">
        <v>43</v>
      </c>
      <c r="D486" s="21" t="s">
        <v>907</v>
      </c>
    </row>
    <row r="487" spans="1:4" x14ac:dyDescent="0.35">
      <c r="A487" s="21" t="s">
        <v>908</v>
      </c>
      <c r="B487" s="21">
        <v>66900</v>
      </c>
      <c r="C487" s="21">
        <v>117</v>
      </c>
      <c r="D487" s="21" t="s">
        <v>908</v>
      </c>
    </row>
    <row r="488" spans="1:4" x14ac:dyDescent="0.35">
      <c r="A488" s="21" t="s">
        <v>909</v>
      </c>
      <c r="B488" s="21" t="s">
        <v>910</v>
      </c>
      <c r="C488" s="21">
        <v>469</v>
      </c>
      <c r="D488" s="21" t="s">
        <v>909</v>
      </c>
    </row>
    <row r="489" spans="1:4" x14ac:dyDescent="0.35">
      <c r="A489" s="21" t="s">
        <v>911</v>
      </c>
      <c r="B489" s="21" t="s">
        <v>912</v>
      </c>
      <c r="C489" s="21">
        <v>526</v>
      </c>
      <c r="D489" s="21" t="s">
        <v>911</v>
      </c>
    </row>
    <row r="490" spans="1:4" x14ac:dyDescent="0.35">
      <c r="A490" s="21" t="s">
        <v>582</v>
      </c>
      <c r="B490" s="21" t="s">
        <v>913</v>
      </c>
      <c r="C490" s="21">
        <v>802</v>
      </c>
      <c r="D490" s="21" t="s">
        <v>582</v>
      </c>
    </row>
    <row r="491" spans="1:4" x14ac:dyDescent="0.35">
      <c r="A491" s="21" t="s">
        <v>914</v>
      </c>
      <c r="B491" s="21" t="s">
        <v>915</v>
      </c>
      <c r="C491" s="21">
        <v>801</v>
      </c>
      <c r="D491" s="21" t="s">
        <v>914</v>
      </c>
    </row>
    <row r="492" spans="1:4" x14ac:dyDescent="0.35">
      <c r="A492" s="21" t="s">
        <v>916</v>
      </c>
      <c r="B492" s="21" t="s">
        <v>917</v>
      </c>
      <c r="C492" s="21">
        <v>468</v>
      </c>
      <c r="D492" s="21" t="s">
        <v>916</v>
      </c>
    </row>
    <row r="493" spans="1:4" x14ac:dyDescent="0.35">
      <c r="A493" s="21" t="s">
        <v>918</v>
      </c>
      <c r="B493" s="21" t="s">
        <v>919</v>
      </c>
      <c r="C493" s="21">
        <v>602</v>
      </c>
      <c r="D493" s="21" t="s">
        <v>918</v>
      </c>
    </row>
    <row r="494" spans="1:4" x14ac:dyDescent="0.35">
      <c r="A494" s="21" t="s">
        <v>920</v>
      </c>
      <c r="B494" s="21" t="s">
        <v>921</v>
      </c>
      <c r="C494" s="21">
        <v>603</v>
      </c>
      <c r="D494" s="21" t="s">
        <v>920</v>
      </c>
    </row>
    <row r="495" spans="1:4" x14ac:dyDescent="0.35">
      <c r="A495" s="21" t="s">
        <v>922</v>
      </c>
      <c r="B495" s="21" t="s">
        <v>923</v>
      </c>
      <c r="C495" s="21">
        <v>620</v>
      </c>
      <c r="D495" s="21" t="s">
        <v>922</v>
      </c>
    </row>
    <row r="496" spans="1:4" x14ac:dyDescent="0.35">
      <c r="A496" s="21" t="s">
        <v>431</v>
      </c>
      <c r="B496" s="21" t="s">
        <v>156</v>
      </c>
      <c r="C496" s="21">
        <v>278</v>
      </c>
      <c r="D496" s="21" t="s">
        <v>431</v>
      </c>
    </row>
    <row r="497" spans="1:4" x14ac:dyDescent="0.35">
      <c r="A497" s="21" t="s">
        <v>432</v>
      </c>
      <c r="B497" s="21" t="s">
        <v>61</v>
      </c>
      <c r="C497" s="21">
        <v>279</v>
      </c>
      <c r="D497" s="21" t="s">
        <v>432</v>
      </c>
    </row>
    <row r="498" spans="1:4" x14ac:dyDescent="0.35">
      <c r="A498" s="21" t="s">
        <v>433</v>
      </c>
      <c r="B498" s="21" t="s">
        <v>131</v>
      </c>
      <c r="C498" s="21">
        <v>280</v>
      </c>
      <c r="D498" s="21" t="s">
        <v>433</v>
      </c>
    </row>
    <row r="499" spans="1:4" x14ac:dyDescent="0.35">
      <c r="A499" s="21" t="s">
        <v>924</v>
      </c>
      <c r="B499" s="21" t="s">
        <v>925</v>
      </c>
      <c r="C499" s="21">
        <v>281</v>
      </c>
      <c r="D499" s="21" t="s">
        <v>924</v>
      </c>
    </row>
    <row r="500" spans="1:4" x14ac:dyDescent="0.35">
      <c r="A500" s="21" t="s">
        <v>94</v>
      </c>
      <c r="B500" s="21" t="s">
        <v>93</v>
      </c>
      <c r="C500" s="21">
        <v>342</v>
      </c>
      <c r="D500" s="21" t="s">
        <v>94</v>
      </c>
    </row>
    <row r="501" spans="1:4" x14ac:dyDescent="0.35">
      <c r="A501" s="21" t="s">
        <v>434</v>
      </c>
      <c r="B501" s="21" t="s">
        <v>417</v>
      </c>
      <c r="C501" s="21">
        <v>343</v>
      </c>
      <c r="D501" s="21" t="s">
        <v>434</v>
      </c>
    </row>
    <row r="502" spans="1:4" x14ac:dyDescent="0.35">
      <c r="A502" s="21" t="s">
        <v>435</v>
      </c>
      <c r="B502" s="21" t="s">
        <v>418</v>
      </c>
      <c r="C502" s="21">
        <v>800</v>
      </c>
      <c r="D502" s="21" t="s">
        <v>435</v>
      </c>
    </row>
    <row r="503" spans="1:4" x14ac:dyDescent="0.35">
      <c r="A503" s="21" t="s">
        <v>116</v>
      </c>
      <c r="B503" s="21" t="s">
        <v>115</v>
      </c>
      <c r="C503" s="21">
        <v>285</v>
      </c>
      <c r="D503" s="21" t="s">
        <v>116</v>
      </c>
    </row>
    <row r="504" spans="1:4" x14ac:dyDescent="0.35">
      <c r="A504" s="21" t="s">
        <v>166</v>
      </c>
      <c r="B504" s="21" t="s">
        <v>165</v>
      </c>
      <c r="C504" s="21">
        <v>286</v>
      </c>
      <c r="D504" s="21" t="s">
        <v>166</v>
      </c>
    </row>
    <row r="505" spans="1:4" x14ac:dyDescent="0.35">
      <c r="A505" s="21" t="s">
        <v>436</v>
      </c>
      <c r="B505" s="21" t="s">
        <v>419</v>
      </c>
      <c r="C505" s="21">
        <v>345</v>
      </c>
      <c r="D505" s="21" t="s">
        <v>436</v>
      </c>
    </row>
    <row r="506" spans="1:4" x14ac:dyDescent="0.35">
      <c r="A506" s="21" t="s">
        <v>437</v>
      </c>
      <c r="B506" s="21" t="s">
        <v>420</v>
      </c>
      <c r="C506" s="21">
        <v>288</v>
      </c>
      <c r="D506" s="21" t="s">
        <v>437</v>
      </c>
    </row>
    <row r="507" spans="1:4" x14ac:dyDescent="0.35">
      <c r="A507" s="21" t="s">
        <v>438</v>
      </c>
      <c r="B507" s="21" t="s">
        <v>421</v>
      </c>
      <c r="C507" s="21">
        <v>289</v>
      </c>
      <c r="D507" s="21" t="s">
        <v>438</v>
      </c>
    </row>
    <row r="508" spans="1:4" x14ac:dyDescent="0.35">
      <c r="A508" s="21" t="s">
        <v>439</v>
      </c>
      <c r="B508" s="21" t="s">
        <v>422</v>
      </c>
      <c r="C508" s="21">
        <v>290</v>
      </c>
      <c r="D508" s="21" t="s">
        <v>439</v>
      </c>
    </row>
    <row r="509" spans="1:4" x14ac:dyDescent="0.35">
      <c r="A509" s="21" t="s">
        <v>67</v>
      </c>
      <c r="B509" s="21" t="s">
        <v>66</v>
      </c>
      <c r="C509" s="21">
        <v>291</v>
      </c>
      <c r="D509" s="21" t="s">
        <v>67</v>
      </c>
    </row>
    <row r="510" spans="1:4" x14ac:dyDescent="0.35">
      <c r="A510" s="21" t="s">
        <v>926</v>
      </c>
      <c r="B510" s="21" t="s">
        <v>927</v>
      </c>
      <c r="C510" s="21">
        <v>339</v>
      </c>
      <c r="D510" s="21" t="s">
        <v>926</v>
      </c>
    </row>
    <row r="511" spans="1:4" x14ac:dyDescent="0.35">
      <c r="A511" s="21" t="s">
        <v>440</v>
      </c>
      <c r="B511" s="21" t="s">
        <v>107</v>
      </c>
      <c r="C511" s="21">
        <v>282</v>
      </c>
      <c r="D511" s="21" t="s">
        <v>440</v>
      </c>
    </row>
    <row r="512" spans="1:4" x14ac:dyDescent="0.35">
      <c r="A512" s="21" t="s">
        <v>928</v>
      </c>
      <c r="B512" s="21" t="s">
        <v>929</v>
      </c>
      <c r="C512" s="21">
        <v>608</v>
      </c>
      <c r="D512" s="21" t="s">
        <v>928</v>
      </c>
    </row>
    <row r="513" spans="1:4" x14ac:dyDescent="0.35">
      <c r="A513" s="21" t="s">
        <v>441</v>
      </c>
      <c r="B513" s="21" t="s">
        <v>324</v>
      </c>
      <c r="C513" s="21">
        <v>340</v>
      </c>
      <c r="D513" s="21" t="s">
        <v>441</v>
      </c>
    </row>
    <row r="514" spans="1:4" x14ac:dyDescent="0.35">
      <c r="A514" s="21" t="s">
        <v>930</v>
      </c>
      <c r="B514" s="21" t="s">
        <v>931</v>
      </c>
      <c r="C514" s="21">
        <v>341</v>
      </c>
      <c r="D514" s="21" t="s">
        <v>930</v>
      </c>
    </row>
    <row r="515" spans="1:4" x14ac:dyDescent="0.35">
      <c r="A515" s="21" t="s">
        <v>932</v>
      </c>
      <c r="B515" s="21" t="s">
        <v>933</v>
      </c>
      <c r="C515" s="21">
        <v>346</v>
      </c>
      <c r="D515" s="21" t="s">
        <v>932</v>
      </c>
    </row>
    <row r="516" spans="1:4" x14ac:dyDescent="0.35">
      <c r="A516" s="21" t="s">
        <v>442</v>
      </c>
      <c r="B516" s="21" t="s">
        <v>423</v>
      </c>
      <c r="C516" s="21">
        <v>287</v>
      </c>
      <c r="D516" s="21" t="s">
        <v>442</v>
      </c>
    </row>
    <row r="517" spans="1:4" x14ac:dyDescent="0.35">
      <c r="A517" s="21" t="s">
        <v>934</v>
      </c>
      <c r="B517" s="21" t="s">
        <v>139</v>
      </c>
      <c r="C517" s="21">
        <v>360</v>
      </c>
      <c r="D517" s="21" t="s">
        <v>934</v>
      </c>
    </row>
    <row r="518" spans="1:4" x14ac:dyDescent="0.35">
      <c r="A518" s="21" t="s">
        <v>935</v>
      </c>
      <c r="B518" s="21" t="s">
        <v>936</v>
      </c>
      <c r="C518" s="21">
        <v>361</v>
      </c>
      <c r="D518" s="21" t="s">
        <v>935</v>
      </c>
    </row>
    <row r="519" spans="1:4" x14ac:dyDescent="0.35">
      <c r="A519" s="21" t="s">
        <v>937</v>
      </c>
      <c r="B519" s="21" t="s">
        <v>938</v>
      </c>
      <c r="C519" s="21">
        <v>367</v>
      </c>
      <c r="D519" s="21" t="s">
        <v>937</v>
      </c>
    </row>
    <row r="520" spans="1:4" x14ac:dyDescent="0.35">
      <c r="A520" s="21" t="s">
        <v>939</v>
      </c>
      <c r="B520" s="21" t="s">
        <v>940</v>
      </c>
      <c r="C520" s="21">
        <v>370</v>
      </c>
      <c r="D520" s="21" t="s">
        <v>939</v>
      </c>
    </row>
    <row r="521" spans="1:4" x14ac:dyDescent="0.35">
      <c r="A521" s="21" t="s">
        <v>941</v>
      </c>
      <c r="B521" s="21" t="s">
        <v>942</v>
      </c>
      <c r="C521" s="21">
        <v>371</v>
      </c>
      <c r="D521" s="21" t="s">
        <v>941</v>
      </c>
    </row>
    <row r="522" spans="1:4" x14ac:dyDescent="0.35">
      <c r="A522" s="21" t="s">
        <v>443</v>
      </c>
      <c r="B522" s="21" t="s">
        <v>424</v>
      </c>
      <c r="C522" s="21">
        <v>707</v>
      </c>
      <c r="D522" s="21" t="s">
        <v>443</v>
      </c>
    </row>
    <row r="523" spans="1:4" x14ac:dyDescent="0.35">
      <c r="A523" s="21" t="s">
        <v>943</v>
      </c>
      <c r="B523" s="21" t="s">
        <v>944</v>
      </c>
      <c r="C523" s="21">
        <v>380</v>
      </c>
      <c r="D523" s="21" t="s">
        <v>943</v>
      </c>
    </row>
    <row r="524" spans="1:4" x14ac:dyDescent="0.35">
      <c r="A524" s="21" t="s">
        <v>945</v>
      </c>
      <c r="B524" s="21" t="s">
        <v>946</v>
      </c>
      <c r="C524" s="21">
        <v>381</v>
      </c>
      <c r="D524" s="21" t="s">
        <v>945</v>
      </c>
    </row>
    <row r="525" spans="1:4" x14ac:dyDescent="0.35">
      <c r="A525" s="21" t="s">
        <v>947</v>
      </c>
      <c r="B525" s="21" t="s">
        <v>948</v>
      </c>
      <c r="C525" s="21">
        <v>382</v>
      </c>
      <c r="D525" s="21" t="s">
        <v>947</v>
      </c>
    </row>
    <row r="526" spans="1:4" x14ac:dyDescent="0.35">
      <c r="A526" s="21" t="s">
        <v>949</v>
      </c>
      <c r="B526" s="21" t="s">
        <v>56</v>
      </c>
      <c r="C526" s="21">
        <v>293</v>
      </c>
      <c r="D526" s="21" t="s">
        <v>949</v>
      </c>
    </row>
    <row r="527" spans="1:4" x14ac:dyDescent="0.35">
      <c r="A527" s="21" t="s">
        <v>950</v>
      </c>
      <c r="B527" s="21" t="s">
        <v>46</v>
      </c>
      <c r="C527" s="21">
        <v>294</v>
      </c>
      <c r="D527" s="21" t="s">
        <v>950</v>
      </c>
    </row>
    <row r="528" spans="1:4" x14ac:dyDescent="0.35">
      <c r="A528" s="21" t="s">
        <v>444</v>
      </c>
      <c r="B528" s="21" t="s">
        <v>51</v>
      </c>
      <c r="C528" s="21">
        <v>338</v>
      </c>
      <c r="D528" s="21" t="s">
        <v>444</v>
      </c>
    </row>
    <row r="529" spans="1:4" x14ac:dyDescent="0.35">
      <c r="A529" s="21" t="s">
        <v>951</v>
      </c>
      <c r="B529" s="21" t="s">
        <v>952</v>
      </c>
      <c r="C529" s="21">
        <v>344</v>
      </c>
      <c r="D529" s="21" t="s">
        <v>951</v>
      </c>
    </row>
    <row r="530" spans="1:4" x14ac:dyDescent="0.35">
      <c r="A530" s="21" t="s">
        <v>953</v>
      </c>
      <c r="B530" s="21" t="s">
        <v>954</v>
      </c>
      <c r="C530" s="21">
        <v>609</v>
      </c>
      <c r="D530" s="21" t="s">
        <v>953</v>
      </c>
    </row>
    <row r="531" spans="1:4" x14ac:dyDescent="0.35">
      <c r="A531" s="21" t="s">
        <v>445</v>
      </c>
      <c r="B531" s="21" t="s">
        <v>425</v>
      </c>
      <c r="C531" s="21">
        <v>595</v>
      </c>
      <c r="D531" s="21" t="s">
        <v>445</v>
      </c>
    </row>
    <row r="532" spans="1:4" x14ac:dyDescent="0.35">
      <c r="A532" s="21" t="s">
        <v>955</v>
      </c>
      <c r="B532" s="21" t="s">
        <v>956</v>
      </c>
      <c r="C532" s="21">
        <v>596</v>
      </c>
      <c r="D532" s="21" t="s">
        <v>955</v>
      </c>
    </row>
    <row r="533" spans="1:4" x14ac:dyDescent="0.35">
      <c r="A533" s="21" t="s">
        <v>446</v>
      </c>
      <c r="B533" s="21" t="s">
        <v>426</v>
      </c>
      <c r="C533" s="21">
        <v>597</v>
      </c>
      <c r="D533" s="21" t="s">
        <v>446</v>
      </c>
    </row>
    <row r="534" spans="1:4" x14ac:dyDescent="0.35">
      <c r="A534" s="21" t="s">
        <v>957</v>
      </c>
      <c r="B534" s="21" t="s">
        <v>958</v>
      </c>
      <c r="C534" s="21">
        <v>598</v>
      </c>
      <c r="D534" s="21" t="s">
        <v>957</v>
      </c>
    </row>
    <row r="535" spans="1:4" x14ac:dyDescent="0.35">
      <c r="A535" s="21" t="s">
        <v>959</v>
      </c>
      <c r="B535" s="21" t="s">
        <v>960</v>
      </c>
      <c r="C535" s="21">
        <v>809</v>
      </c>
      <c r="D535" s="21" t="s">
        <v>959</v>
      </c>
    </row>
    <row r="536" spans="1:4" x14ac:dyDescent="0.35">
      <c r="A536" s="21" t="s">
        <v>961</v>
      </c>
      <c r="B536" s="21" t="s">
        <v>962</v>
      </c>
      <c r="C536" s="21">
        <v>482</v>
      </c>
      <c r="D536" s="21" t="s">
        <v>961</v>
      </c>
    </row>
    <row r="537" spans="1:4" x14ac:dyDescent="0.35">
      <c r="A537" s="21" t="s">
        <v>963</v>
      </c>
      <c r="B537" s="21" t="s">
        <v>964</v>
      </c>
      <c r="C537" s="21">
        <v>619</v>
      </c>
      <c r="D537" s="21" t="s">
        <v>963</v>
      </c>
    </row>
    <row r="538" spans="1:4" x14ac:dyDescent="0.35">
      <c r="A538" s="21">
        <v>1463.4</v>
      </c>
      <c r="C538" s="21">
        <v>724</v>
      </c>
      <c r="D538" s="21">
        <v>1463.4</v>
      </c>
    </row>
    <row r="539" spans="1:4" x14ac:dyDescent="0.35">
      <c r="A539" s="21">
        <v>7510</v>
      </c>
      <c r="C539" s="21">
        <v>694</v>
      </c>
      <c r="D539" s="21">
        <v>7510</v>
      </c>
    </row>
    <row r="540" spans="1:4" x14ac:dyDescent="0.35">
      <c r="A540" s="21">
        <v>7515</v>
      </c>
      <c r="C540" s="21">
        <v>692</v>
      </c>
      <c r="D540" s="21">
        <v>7515</v>
      </c>
    </row>
    <row r="541" spans="1:4" x14ac:dyDescent="0.35">
      <c r="A541" s="21">
        <v>8108</v>
      </c>
      <c r="C541" s="21">
        <v>688</v>
      </c>
      <c r="D541" s="21">
        <v>8108</v>
      </c>
    </row>
    <row r="542" spans="1:4" x14ac:dyDescent="0.35">
      <c r="A542" s="21">
        <v>8110</v>
      </c>
      <c r="C542" s="21">
        <v>689</v>
      </c>
      <c r="D542" s="21">
        <v>8110</v>
      </c>
    </row>
    <row r="543" spans="1:4" x14ac:dyDescent="0.35">
      <c r="A543" s="21">
        <v>8115</v>
      </c>
      <c r="C543" s="21">
        <v>698</v>
      </c>
      <c r="D543" s="21">
        <v>8115</v>
      </c>
    </row>
    <row r="544" spans="1:4" x14ac:dyDescent="0.35">
      <c r="A544" s="21">
        <v>8133</v>
      </c>
      <c r="C544" s="21">
        <v>687</v>
      </c>
      <c r="D544" s="21">
        <v>8133</v>
      </c>
    </row>
    <row r="545" spans="1:4" x14ac:dyDescent="0.35">
      <c r="A545" s="21">
        <v>8160</v>
      </c>
      <c r="C545" s="21">
        <v>690</v>
      </c>
      <c r="D545" s="21">
        <v>8160</v>
      </c>
    </row>
    <row r="546" spans="1:4" x14ac:dyDescent="0.35">
      <c r="A546" s="21">
        <v>8170</v>
      </c>
      <c r="C546" s="21">
        <v>691</v>
      </c>
      <c r="D546" s="21">
        <v>8170</v>
      </c>
    </row>
    <row r="547" spans="1:4" x14ac:dyDescent="0.35">
      <c r="A547" s="21">
        <v>8180</v>
      </c>
      <c r="C547" s="21">
        <v>686</v>
      </c>
      <c r="D547" s="21">
        <v>8180</v>
      </c>
    </row>
    <row r="548" spans="1:4" x14ac:dyDescent="0.35">
      <c r="A548" s="21">
        <v>8190</v>
      </c>
      <c r="C548" s="21">
        <v>683</v>
      </c>
      <c r="D548" s="21">
        <v>8190</v>
      </c>
    </row>
    <row r="549" spans="1:4" x14ac:dyDescent="0.35">
      <c r="A549" s="21">
        <v>8231</v>
      </c>
      <c r="C549" s="21">
        <v>701</v>
      </c>
      <c r="D549" s="21">
        <v>8231</v>
      </c>
    </row>
    <row r="550" spans="1:4" x14ac:dyDescent="0.35">
      <c r="A550" s="21">
        <v>8240</v>
      </c>
      <c r="C550" s="21">
        <v>705</v>
      </c>
      <c r="D550" s="21">
        <v>8240</v>
      </c>
    </row>
    <row r="551" spans="1:4" x14ac:dyDescent="0.35">
      <c r="A551" s="21">
        <v>8312</v>
      </c>
      <c r="C551" s="21">
        <v>695</v>
      </c>
      <c r="D551" s="21">
        <v>8312</v>
      </c>
    </row>
    <row r="552" spans="1:4" x14ac:dyDescent="0.35">
      <c r="A552" s="21">
        <v>8320</v>
      </c>
      <c r="C552" s="21">
        <v>697</v>
      </c>
      <c r="D552" s="21">
        <v>8320</v>
      </c>
    </row>
    <row r="553" spans="1:4" x14ac:dyDescent="0.35">
      <c r="A553" s="21">
        <v>8350</v>
      </c>
      <c r="C553" s="21">
        <v>696</v>
      </c>
      <c r="D553" s="21">
        <v>8350</v>
      </c>
    </row>
    <row r="554" spans="1:4" x14ac:dyDescent="0.35">
      <c r="A554" s="21">
        <v>8405</v>
      </c>
      <c r="C554" s="21">
        <v>700</v>
      </c>
      <c r="D554" s="21">
        <v>8405</v>
      </c>
    </row>
    <row r="555" spans="1:4" x14ac:dyDescent="0.35">
      <c r="A555" s="21">
        <v>8430</v>
      </c>
      <c r="C555" s="21">
        <v>760</v>
      </c>
      <c r="D555" s="21">
        <v>8430</v>
      </c>
    </row>
    <row r="556" spans="1:4" x14ac:dyDescent="0.35">
      <c r="A556" s="21">
        <v>8445</v>
      </c>
      <c r="C556" s="21">
        <v>699</v>
      </c>
      <c r="D556" s="21">
        <v>8445</v>
      </c>
    </row>
    <row r="557" spans="1:4" x14ac:dyDescent="0.35">
      <c r="A557" s="21">
        <v>8470</v>
      </c>
      <c r="C557" s="21">
        <v>704</v>
      </c>
      <c r="D557" s="21">
        <v>8470</v>
      </c>
    </row>
    <row r="558" spans="1:4" x14ac:dyDescent="0.35">
      <c r="A558" s="21">
        <v>8480</v>
      </c>
      <c r="C558" s="21">
        <v>703</v>
      </c>
      <c r="D558" s="21">
        <v>8480</v>
      </c>
    </row>
    <row r="559" spans="1:4" x14ac:dyDescent="0.35">
      <c r="A559" s="21">
        <v>8525</v>
      </c>
      <c r="C559" s="21">
        <v>693</v>
      </c>
      <c r="D559" s="21">
        <v>8525</v>
      </c>
    </row>
    <row r="560" spans="1:4" x14ac:dyDescent="0.35">
      <c r="A560" s="21">
        <v>8570</v>
      </c>
      <c r="C560" s="21">
        <v>684</v>
      </c>
      <c r="D560" s="21">
        <v>8570</v>
      </c>
    </row>
    <row r="561" spans="1:4" x14ac:dyDescent="0.35">
      <c r="A561" s="21">
        <v>8580</v>
      </c>
      <c r="C561" s="21">
        <v>685</v>
      </c>
      <c r="D561" s="21">
        <v>8580</v>
      </c>
    </row>
    <row r="562" spans="1:4" x14ac:dyDescent="0.35">
      <c r="A562" s="21">
        <v>8590</v>
      </c>
      <c r="C562" s="21">
        <v>706</v>
      </c>
      <c r="D562" s="21">
        <v>8590</v>
      </c>
    </row>
    <row r="563" spans="1:4" x14ac:dyDescent="0.35">
      <c r="A563" s="21">
        <v>8599</v>
      </c>
      <c r="C563" s="21">
        <v>702</v>
      </c>
      <c r="D563" s="21">
        <v>8599</v>
      </c>
    </row>
    <row r="564" spans="1:4" x14ac:dyDescent="0.35">
      <c r="A564" s="21" t="s">
        <v>965</v>
      </c>
      <c r="C564" s="21">
        <v>403</v>
      </c>
      <c r="D564" s="21" t="s">
        <v>965</v>
      </c>
    </row>
    <row r="565" spans="1:4" x14ac:dyDescent="0.35">
      <c r="A565" s="21" t="s">
        <v>966</v>
      </c>
      <c r="C565" s="21">
        <v>759</v>
      </c>
      <c r="D565" s="21" t="s">
        <v>966</v>
      </c>
    </row>
    <row r="566" spans="1:4" x14ac:dyDescent="0.35">
      <c r="A566" s="21" t="s">
        <v>967</v>
      </c>
      <c r="C566" s="21">
        <v>677</v>
      </c>
      <c r="D566" s="21" t="s">
        <v>967</v>
      </c>
    </row>
    <row r="567" spans="1:4" x14ac:dyDescent="0.35">
      <c r="A567" s="21" t="s">
        <v>968</v>
      </c>
      <c r="C567" s="21">
        <v>675</v>
      </c>
      <c r="D567" s="21" t="s">
        <v>968</v>
      </c>
    </row>
    <row r="568" spans="1:4" x14ac:dyDescent="0.35">
      <c r="A568" s="21" t="s">
        <v>969</v>
      </c>
      <c r="C568" s="21">
        <v>653</v>
      </c>
      <c r="D568" s="21" t="s">
        <v>969</v>
      </c>
    </row>
    <row r="569" spans="1:4" x14ac:dyDescent="0.35">
      <c r="A569" s="21" t="s">
        <v>970</v>
      </c>
      <c r="C569" s="21">
        <v>657</v>
      </c>
      <c r="D569" s="21" t="s">
        <v>970</v>
      </c>
    </row>
    <row r="570" spans="1:4" x14ac:dyDescent="0.35">
      <c r="A570" s="21" t="s">
        <v>971</v>
      </c>
      <c r="C570" s="21">
        <v>666</v>
      </c>
      <c r="D570" s="21" t="s">
        <v>971</v>
      </c>
    </row>
    <row r="571" spans="1:4" x14ac:dyDescent="0.35">
      <c r="A571" s="21" t="s">
        <v>972</v>
      </c>
      <c r="C571" s="21">
        <v>668</v>
      </c>
      <c r="D571" s="21" t="s">
        <v>972</v>
      </c>
    </row>
    <row r="572" spans="1:4" x14ac:dyDescent="0.35">
      <c r="A572" s="21" t="s">
        <v>973</v>
      </c>
      <c r="C572" s="21">
        <v>643</v>
      </c>
      <c r="D572" s="21" t="s">
        <v>973</v>
      </c>
    </row>
    <row r="573" spans="1:4" x14ac:dyDescent="0.35">
      <c r="A573" s="21" t="s">
        <v>974</v>
      </c>
      <c r="C573" s="21">
        <v>645</v>
      </c>
      <c r="D573" s="21" t="s">
        <v>974</v>
      </c>
    </row>
    <row r="574" spans="1:4" x14ac:dyDescent="0.35">
      <c r="A574" s="21" t="s">
        <v>975</v>
      </c>
      <c r="C574" s="21">
        <v>641</v>
      </c>
      <c r="D574" s="21" t="s">
        <v>975</v>
      </c>
    </row>
    <row r="575" spans="1:4" x14ac:dyDescent="0.35">
      <c r="A575" s="21" t="s">
        <v>976</v>
      </c>
      <c r="C575" s="21">
        <v>663</v>
      </c>
      <c r="D575" s="21" t="s">
        <v>976</v>
      </c>
    </row>
    <row r="576" spans="1:4" x14ac:dyDescent="0.35">
      <c r="A576" s="21" t="s">
        <v>977</v>
      </c>
      <c r="C576" s="21">
        <v>661</v>
      </c>
      <c r="D576" s="21" t="s">
        <v>977</v>
      </c>
    </row>
    <row r="577" spans="1:4" x14ac:dyDescent="0.35">
      <c r="A577" s="21" t="s">
        <v>978</v>
      </c>
      <c r="C577" s="21">
        <v>639</v>
      </c>
      <c r="D577" s="21" t="s">
        <v>978</v>
      </c>
    </row>
    <row r="578" spans="1:4" x14ac:dyDescent="0.35">
      <c r="A578" s="21" t="s">
        <v>979</v>
      </c>
      <c r="C578" s="21">
        <v>655</v>
      </c>
      <c r="D578" s="21" t="s">
        <v>979</v>
      </c>
    </row>
    <row r="579" spans="1:4" x14ac:dyDescent="0.35">
      <c r="A579" s="21" t="s">
        <v>980</v>
      </c>
      <c r="C579" s="21">
        <v>651</v>
      </c>
      <c r="D579" s="21" t="s">
        <v>980</v>
      </c>
    </row>
    <row r="580" spans="1:4" x14ac:dyDescent="0.35">
      <c r="A580" s="21" t="s">
        <v>981</v>
      </c>
      <c r="C580" s="21">
        <v>649</v>
      </c>
      <c r="D580" s="21" t="s">
        <v>981</v>
      </c>
    </row>
    <row r="581" spans="1:4" x14ac:dyDescent="0.35">
      <c r="A581" s="21" t="s">
        <v>982</v>
      </c>
      <c r="C581" s="21">
        <v>679</v>
      </c>
      <c r="D581" s="21" t="s">
        <v>982</v>
      </c>
    </row>
    <row r="582" spans="1:4" x14ac:dyDescent="0.35">
      <c r="A582" s="21" t="s">
        <v>983</v>
      </c>
      <c r="C582" s="21">
        <v>673</v>
      </c>
      <c r="D582" s="21" t="s">
        <v>983</v>
      </c>
    </row>
    <row r="583" spans="1:4" x14ac:dyDescent="0.35">
      <c r="A583" s="21" t="s">
        <v>984</v>
      </c>
      <c r="C583" s="21">
        <v>647</v>
      </c>
      <c r="D583" s="21" t="s">
        <v>984</v>
      </c>
    </row>
    <row r="584" spans="1:4" x14ac:dyDescent="0.35">
      <c r="A584" s="21" t="s">
        <v>985</v>
      </c>
      <c r="C584" s="21">
        <v>659</v>
      </c>
      <c r="D584" s="21" t="s">
        <v>985</v>
      </c>
    </row>
    <row r="585" spans="1:4" x14ac:dyDescent="0.35">
      <c r="A585" s="21" t="s">
        <v>986</v>
      </c>
      <c r="C585" s="21">
        <v>671</v>
      </c>
      <c r="D585" s="21" t="s">
        <v>986</v>
      </c>
    </row>
    <row r="586" spans="1:4" x14ac:dyDescent="0.35">
      <c r="A586" s="21" t="s">
        <v>987</v>
      </c>
      <c r="C586" s="21">
        <v>665</v>
      </c>
      <c r="D586" s="21" t="s">
        <v>987</v>
      </c>
    </row>
    <row r="587" spans="1:4" x14ac:dyDescent="0.35">
      <c r="A587" s="21" t="s">
        <v>880</v>
      </c>
      <c r="C587" s="21">
        <v>660</v>
      </c>
      <c r="D587" s="21" t="s">
        <v>880</v>
      </c>
    </row>
    <row r="588" spans="1:4" x14ac:dyDescent="0.35">
      <c r="A588" s="21" t="s">
        <v>869</v>
      </c>
      <c r="C588" s="21">
        <v>674</v>
      </c>
      <c r="D588" s="21" t="s">
        <v>869</v>
      </c>
    </row>
    <row r="589" spans="1:4" x14ac:dyDescent="0.35">
      <c r="A589" s="21" t="s">
        <v>988</v>
      </c>
      <c r="C589" s="21">
        <v>798</v>
      </c>
      <c r="D589" s="21" t="s">
        <v>988</v>
      </c>
    </row>
    <row r="590" spans="1:4" x14ac:dyDescent="0.35">
      <c r="A590" s="21" t="s">
        <v>989</v>
      </c>
      <c r="C590" s="21">
        <v>470</v>
      </c>
      <c r="D590" s="21" t="s">
        <v>989</v>
      </c>
    </row>
    <row r="591" spans="1:4" x14ac:dyDescent="0.35">
      <c r="A591" s="21" t="s">
        <v>794</v>
      </c>
      <c r="C591" s="21">
        <v>642</v>
      </c>
      <c r="D591" s="21" t="s">
        <v>794</v>
      </c>
    </row>
    <row r="592" spans="1:4" x14ac:dyDescent="0.35">
      <c r="A592" s="21" t="s">
        <v>851</v>
      </c>
      <c r="C592" s="21">
        <v>650</v>
      </c>
      <c r="D592" s="21" t="s">
        <v>851</v>
      </c>
    </row>
    <row r="593" spans="1:4" x14ac:dyDescent="0.35">
      <c r="A593" s="21" t="s">
        <v>791</v>
      </c>
      <c r="C593" s="21">
        <v>644</v>
      </c>
      <c r="D593" s="21" t="s">
        <v>791</v>
      </c>
    </row>
    <row r="594" spans="1:4" x14ac:dyDescent="0.35">
      <c r="A594" s="21" t="s">
        <v>847</v>
      </c>
      <c r="C594" s="21">
        <v>652</v>
      </c>
      <c r="D594" s="21" t="s">
        <v>847</v>
      </c>
    </row>
    <row r="595" spans="1:4" x14ac:dyDescent="0.35">
      <c r="A595" s="21" t="s">
        <v>990</v>
      </c>
      <c r="D595" s="21" t="s">
        <v>990</v>
      </c>
    </row>
    <row r="596" spans="1:4" x14ac:dyDescent="0.35">
      <c r="A596" s="21" t="s">
        <v>868</v>
      </c>
      <c r="C596" s="21">
        <v>680</v>
      </c>
      <c r="D596" s="21" t="s">
        <v>868</v>
      </c>
    </row>
    <row r="597" spans="1:4" x14ac:dyDescent="0.35">
      <c r="A597" s="21" t="s">
        <v>762</v>
      </c>
      <c r="C597" s="21">
        <v>678</v>
      </c>
      <c r="D597" s="21" t="s">
        <v>762</v>
      </c>
    </row>
    <row r="598" spans="1:4" x14ac:dyDescent="0.35">
      <c r="A598" s="21" t="s">
        <v>779</v>
      </c>
      <c r="C598" s="21">
        <v>667</v>
      </c>
      <c r="D598" s="21" t="s">
        <v>779</v>
      </c>
    </row>
    <row r="599" spans="1:4" x14ac:dyDescent="0.35">
      <c r="A599" s="21" t="s">
        <v>795</v>
      </c>
      <c r="C599" s="21">
        <v>664</v>
      </c>
      <c r="D599" s="21" t="s">
        <v>795</v>
      </c>
    </row>
    <row r="600" spans="1:4" x14ac:dyDescent="0.35">
      <c r="A600" s="21" t="s">
        <v>991</v>
      </c>
      <c r="C600" s="21">
        <v>354</v>
      </c>
      <c r="D600" s="21" t="s">
        <v>991</v>
      </c>
    </row>
    <row r="601" spans="1:4" x14ac:dyDescent="0.35">
      <c r="A601" s="21" t="s">
        <v>763</v>
      </c>
      <c r="C601" s="21">
        <v>676</v>
      </c>
      <c r="D601" s="21" t="s">
        <v>763</v>
      </c>
    </row>
    <row r="602" spans="1:4" x14ac:dyDescent="0.35">
      <c r="A602" s="21" t="s">
        <v>882</v>
      </c>
      <c r="C602" s="21">
        <v>672</v>
      </c>
      <c r="D602" s="21" t="s">
        <v>882</v>
      </c>
    </row>
    <row r="603" spans="1:4" x14ac:dyDescent="0.35">
      <c r="A603" s="21" t="s">
        <v>824</v>
      </c>
      <c r="C603" s="21">
        <v>662</v>
      </c>
      <c r="D603" s="21" t="s">
        <v>824</v>
      </c>
    </row>
    <row r="604" spans="1:4" x14ac:dyDescent="0.35">
      <c r="A604" s="21" t="s">
        <v>992</v>
      </c>
      <c r="C604" s="21">
        <v>240</v>
      </c>
      <c r="D604" s="21" t="s">
        <v>992</v>
      </c>
    </row>
    <row r="605" spans="1:4" x14ac:dyDescent="0.35">
      <c r="A605" s="21" t="s">
        <v>844</v>
      </c>
      <c r="C605" s="21">
        <v>656</v>
      </c>
      <c r="D605" s="21" t="s">
        <v>844</v>
      </c>
    </row>
    <row r="606" spans="1:4" x14ac:dyDescent="0.35">
      <c r="A606" s="21" t="s">
        <v>993</v>
      </c>
      <c r="C606" s="21">
        <v>337</v>
      </c>
      <c r="D606" s="21" t="s">
        <v>993</v>
      </c>
    </row>
    <row r="607" spans="1:4" x14ac:dyDescent="0.35">
      <c r="A607" s="21" t="s">
        <v>793</v>
      </c>
      <c r="C607" s="21">
        <v>646</v>
      </c>
      <c r="D607" s="21" t="s">
        <v>793</v>
      </c>
    </row>
    <row r="608" spans="1:4" x14ac:dyDescent="0.35">
      <c r="A608" s="21" t="s">
        <v>776</v>
      </c>
      <c r="C608" s="21">
        <v>654</v>
      </c>
      <c r="D608" s="21" t="s">
        <v>776</v>
      </c>
    </row>
    <row r="609" spans="1:4" x14ac:dyDescent="0.35">
      <c r="A609" s="21" t="s">
        <v>994</v>
      </c>
      <c r="C609" s="21">
        <v>352</v>
      </c>
      <c r="D609" s="21" t="s">
        <v>994</v>
      </c>
    </row>
    <row r="610" spans="1:4" x14ac:dyDescent="0.35">
      <c r="A610" s="21" t="s">
        <v>995</v>
      </c>
      <c r="C610" s="21">
        <v>383</v>
      </c>
      <c r="D610" s="21" t="s">
        <v>995</v>
      </c>
    </row>
    <row r="611" spans="1:4" x14ac:dyDescent="0.35">
      <c r="A611" s="21" t="s">
        <v>996</v>
      </c>
      <c r="C611" s="21">
        <v>353</v>
      </c>
      <c r="D611" s="21" t="s">
        <v>996</v>
      </c>
    </row>
    <row r="612" spans="1:4" x14ac:dyDescent="0.35">
      <c r="A612" s="21" t="s">
        <v>997</v>
      </c>
      <c r="C612" s="21">
        <v>237</v>
      </c>
      <c r="D612" s="21" t="s">
        <v>997</v>
      </c>
    </row>
    <row r="613" spans="1:4" x14ac:dyDescent="0.35">
      <c r="A613" s="21" t="s">
        <v>714</v>
      </c>
      <c r="C613" s="21">
        <v>648</v>
      </c>
      <c r="D613" s="21" t="s">
        <v>714</v>
      </c>
    </row>
    <row r="614" spans="1:4" x14ac:dyDescent="0.35">
      <c r="A614" s="21" t="s">
        <v>777</v>
      </c>
      <c r="C614" s="21">
        <v>658</v>
      </c>
      <c r="D614" s="21" t="s">
        <v>777</v>
      </c>
    </row>
    <row r="615" spans="1:4" x14ac:dyDescent="0.35">
      <c r="A615" s="21" t="s">
        <v>781</v>
      </c>
      <c r="C615" s="21">
        <v>669</v>
      </c>
      <c r="D615" s="21" t="s">
        <v>781</v>
      </c>
    </row>
    <row r="616" spans="1:4" x14ac:dyDescent="0.35">
      <c r="A616" s="21" t="s">
        <v>843</v>
      </c>
      <c r="C616" s="21">
        <v>640</v>
      </c>
      <c r="D616" s="21" t="s">
        <v>843</v>
      </c>
    </row>
    <row r="617" spans="1:4" x14ac:dyDescent="0.35">
      <c r="A617" s="21" t="s">
        <v>998</v>
      </c>
      <c r="C617" s="21">
        <v>238</v>
      </c>
      <c r="D617" s="21" t="s">
        <v>998</v>
      </c>
    </row>
    <row r="618" spans="1:4" x14ac:dyDescent="0.35">
      <c r="A618" s="21" t="s">
        <v>999</v>
      </c>
      <c r="C618" s="21">
        <v>239</v>
      </c>
      <c r="D618" s="21" t="s">
        <v>999</v>
      </c>
    </row>
    <row r="619" spans="1:4" x14ac:dyDescent="0.35">
      <c r="A619" s="21" t="s">
        <v>1000</v>
      </c>
      <c r="C619" s="21">
        <v>332</v>
      </c>
      <c r="D619" s="21" t="s">
        <v>1000</v>
      </c>
    </row>
    <row r="620" spans="1:4" x14ac:dyDescent="0.35">
      <c r="A620" s="21" t="s">
        <v>1001</v>
      </c>
      <c r="C620" s="21">
        <v>334</v>
      </c>
      <c r="D620" s="21" t="s">
        <v>1001</v>
      </c>
    </row>
    <row r="621" spans="1:4" x14ac:dyDescent="0.35">
      <c r="A621" s="21" t="s">
        <v>1002</v>
      </c>
      <c r="C621" s="21">
        <v>333</v>
      </c>
      <c r="D621" s="21" t="s">
        <v>1002</v>
      </c>
    </row>
    <row r="622" spans="1:4" x14ac:dyDescent="0.35">
      <c r="A622" s="21" t="s">
        <v>785</v>
      </c>
      <c r="C622" s="21">
        <v>670</v>
      </c>
      <c r="D622" s="21" t="s">
        <v>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Payroll</vt:lpstr>
      <vt:lpstr>PR by Empl</vt:lpstr>
      <vt:lpstr>Allocation</vt:lpstr>
      <vt:lpstr>Allocated Payroll</vt:lpstr>
      <vt:lpstr>Upload Data</vt:lpstr>
      <vt:lpstr>UploadGuru</vt:lpstr>
      <vt:lpstr>Test</vt:lpstr>
      <vt:lpstr>Config</vt:lpstr>
      <vt:lpstr>Account Groups</vt:lpstr>
      <vt:lpstr>QB Accounts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2020-03-29T00:30:43Z</dcterms:modified>
</cp:coreProperties>
</file>