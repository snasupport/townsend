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Cost Allocation\"/>
    </mc:Choice>
  </mc:AlternateContent>
  <bookViews>
    <workbookView xWindow="-28920" yWindow="-120" windowWidth="29040" windowHeight="15840" activeTab="2"/>
  </bookViews>
  <sheets>
    <sheet name="Jan" sheetId="1" r:id="rId1"/>
    <sheet name="Test" sheetId="2" r:id="rId2"/>
    <sheet name="March" sheetId="6" r:id="rId3"/>
    <sheet name="Accounts" sheetId="7" r:id="rId4"/>
    <sheet name="PL" sheetId="4" r:id="rId5"/>
  </sheets>
  <externalReferences>
    <externalReference r:id="rId6"/>
  </externalReferenc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37" i="6" l="1"/>
  <c r="AJ36" i="6"/>
  <c r="AJ35" i="6"/>
  <c r="AJ32" i="6"/>
  <c r="AJ30" i="6"/>
  <c r="AJ29" i="6"/>
  <c r="AJ28" i="6"/>
  <c r="AJ27" i="6"/>
  <c r="AJ25" i="6"/>
  <c r="AJ24" i="6"/>
  <c r="AJ23" i="6"/>
  <c r="AJ21" i="6"/>
  <c r="AJ20" i="6"/>
  <c r="AJ16" i="6"/>
  <c r="AJ15" i="6"/>
  <c r="AI37" i="6"/>
  <c r="AI36" i="6"/>
  <c r="AI35" i="6"/>
  <c r="AI32" i="6"/>
  <c r="AI30" i="6"/>
  <c r="AI29" i="6"/>
  <c r="AI28" i="6"/>
  <c r="AI27" i="6"/>
  <c r="AI25" i="6"/>
  <c r="AI24" i="6"/>
  <c r="AI23" i="6"/>
  <c r="AI21" i="6"/>
  <c r="AI20" i="6"/>
  <c r="AI16" i="6"/>
  <c r="AI15" i="6"/>
  <c r="AH37" i="6"/>
  <c r="AH36" i="6"/>
  <c r="AH35" i="6"/>
  <c r="AH32" i="6"/>
  <c r="AH30" i="6"/>
  <c r="AH29" i="6"/>
  <c r="AH28" i="6"/>
  <c r="AH27" i="6"/>
  <c r="AH25" i="6"/>
  <c r="AH24" i="6"/>
  <c r="AH23" i="6"/>
  <c r="AH21" i="6"/>
  <c r="AH20" i="6"/>
  <c r="AH16" i="6"/>
  <c r="AH15" i="6"/>
  <c r="AF37" i="6"/>
  <c r="AF36" i="6"/>
  <c r="AF35" i="6"/>
  <c r="AF32" i="6"/>
  <c r="AF30" i="6"/>
  <c r="AF29" i="6"/>
  <c r="AF28" i="6"/>
  <c r="AF27" i="6"/>
  <c r="AF25" i="6"/>
  <c r="AF24" i="6"/>
  <c r="AF23" i="6"/>
  <c r="AF21" i="6"/>
  <c r="AF20" i="6"/>
  <c r="AF16" i="6"/>
  <c r="AF15" i="6"/>
  <c r="AD37" i="6"/>
  <c r="AD36" i="6"/>
  <c r="AD35" i="6"/>
  <c r="AD32" i="6"/>
  <c r="AD30" i="6"/>
  <c r="AD29" i="6"/>
  <c r="AD28" i="6"/>
  <c r="AD27" i="6"/>
  <c r="AD25" i="6"/>
  <c r="AD24" i="6"/>
  <c r="AD23" i="6"/>
  <c r="AD21" i="6"/>
  <c r="AD20" i="6"/>
  <c r="AD16" i="6"/>
  <c r="AD15" i="6"/>
  <c r="H83" i="6"/>
  <c r="G83" i="6"/>
  <c r="G47" i="6"/>
  <c r="F47" i="6"/>
  <c r="E47" i="6"/>
  <c r="J37" i="6" s="1"/>
  <c r="R37" i="6" s="1"/>
  <c r="L44" i="6"/>
  <c r="J44" i="6"/>
  <c r="F44" i="6"/>
  <c r="E44" i="6"/>
  <c r="K41" i="6" s="1"/>
  <c r="AM41" i="6" s="1"/>
  <c r="AN43" i="6"/>
  <c r="AN42" i="6"/>
  <c r="M42" i="6"/>
  <c r="AJ42" i="6" s="1"/>
  <c r="AN41" i="6"/>
  <c r="AN40" i="6"/>
  <c r="AN39" i="6"/>
  <c r="AN38" i="6"/>
  <c r="AK38" i="6"/>
  <c r="AG38" i="6"/>
  <c r="N38" i="6"/>
  <c r="M38" i="6"/>
  <c r="AJ38" i="6" s="1"/>
  <c r="I38" i="6"/>
  <c r="AN37" i="6"/>
  <c r="AL37" i="6"/>
  <c r="AK37" i="6"/>
  <c r="AG37" i="6"/>
  <c r="AE37" i="6"/>
  <c r="AC37" i="6"/>
  <c r="AN36" i="6"/>
  <c r="AL36" i="6"/>
  <c r="AK36" i="6"/>
  <c r="AG36" i="6"/>
  <c r="AE36" i="6"/>
  <c r="AC36" i="6"/>
  <c r="AN35" i="6"/>
  <c r="AL35" i="6"/>
  <c r="AK35" i="6"/>
  <c r="AG35" i="6"/>
  <c r="AE35" i="6"/>
  <c r="AC35" i="6"/>
  <c r="AN34" i="6"/>
  <c r="M34" i="6"/>
  <c r="AJ34" i="6" s="1"/>
  <c r="I34" i="6"/>
  <c r="AN33" i="6"/>
  <c r="M33" i="6"/>
  <c r="AI33" i="6" s="1"/>
  <c r="I33" i="6"/>
  <c r="AN32" i="6"/>
  <c r="AL32" i="6"/>
  <c r="AK32" i="6"/>
  <c r="AG32" i="6"/>
  <c r="AE32" i="6"/>
  <c r="AC32" i="6"/>
  <c r="AN31" i="6"/>
  <c r="M31" i="6"/>
  <c r="AJ31" i="6" s="1"/>
  <c r="I31" i="6"/>
  <c r="AN30" i="6"/>
  <c r="AL30" i="6"/>
  <c r="AK30" i="6"/>
  <c r="AG30" i="6"/>
  <c r="AE30" i="6"/>
  <c r="AC30" i="6"/>
  <c r="AN29" i="6"/>
  <c r="AL29" i="6"/>
  <c r="AK29" i="6"/>
  <c r="AG29" i="6"/>
  <c r="AE29" i="6"/>
  <c r="AC29" i="6"/>
  <c r="AN28" i="6"/>
  <c r="AL28" i="6"/>
  <c r="AK28" i="6"/>
  <c r="AG28" i="6"/>
  <c r="AE28" i="6"/>
  <c r="AC28" i="6"/>
  <c r="AN27" i="6"/>
  <c r="AL27" i="6"/>
  <c r="AK27" i="6"/>
  <c r="AG27" i="6"/>
  <c r="AE27" i="6"/>
  <c r="AC27" i="6"/>
  <c r="AN26" i="6"/>
  <c r="I26" i="6"/>
  <c r="AN25" i="6"/>
  <c r="AL25" i="6"/>
  <c r="AK25" i="6"/>
  <c r="AG25" i="6"/>
  <c r="AE25" i="6"/>
  <c r="AC25" i="6"/>
  <c r="AN24" i="6"/>
  <c r="AL24" i="6"/>
  <c r="AK24" i="6"/>
  <c r="AG24" i="6"/>
  <c r="AE24" i="6"/>
  <c r="AC24" i="6"/>
  <c r="AN23" i="6"/>
  <c r="AL23" i="6"/>
  <c r="AK23" i="6"/>
  <c r="AG23" i="6"/>
  <c r="AE23" i="6"/>
  <c r="AC23" i="6"/>
  <c r="AN22" i="6"/>
  <c r="AC22" i="6"/>
  <c r="M22" i="6"/>
  <c r="AK22" i="6" s="1"/>
  <c r="I22" i="6"/>
  <c r="AN21" i="6"/>
  <c r="AL21" i="6"/>
  <c r="AK21" i="6"/>
  <c r="AG21" i="6"/>
  <c r="AE21" i="6"/>
  <c r="AC21" i="6"/>
  <c r="AN20" i="6"/>
  <c r="AL20" i="6"/>
  <c r="AK20" i="6"/>
  <c r="AG20" i="6"/>
  <c r="AE20" i="6"/>
  <c r="AC20" i="6"/>
  <c r="AN19" i="6"/>
  <c r="AG19" i="6"/>
  <c r="AE19" i="6"/>
  <c r="M19" i="6"/>
  <c r="AL19" i="6" s="1"/>
  <c r="I19" i="6"/>
  <c r="AN18" i="6"/>
  <c r="AC18" i="6"/>
  <c r="N18" i="6"/>
  <c r="M18" i="6"/>
  <c r="AK18" i="6" s="1"/>
  <c r="I18" i="6"/>
  <c r="AN17" i="6"/>
  <c r="N17" i="6"/>
  <c r="M17" i="6"/>
  <c r="AK17" i="6" s="1"/>
  <c r="I17" i="6"/>
  <c r="AN16" i="6"/>
  <c r="AL16" i="6"/>
  <c r="AK16" i="6"/>
  <c r="AG16" i="6"/>
  <c r="AE16" i="6"/>
  <c r="AC16" i="6"/>
  <c r="AN15" i="6"/>
  <c r="AL15" i="6"/>
  <c r="AK15" i="6"/>
  <c r="AG15" i="6"/>
  <c r="AE15" i="6"/>
  <c r="AC15" i="6"/>
  <c r="AN14" i="6"/>
  <c r="M14" i="6"/>
  <c r="AJ14" i="6" s="1"/>
  <c r="I14" i="6"/>
  <c r="M13" i="6"/>
  <c r="AN9" i="6"/>
  <c r="J21" i="6" l="1"/>
  <c r="Q21" i="6" s="1"/>
  <c r="AC17" i="6"/>
  <c r="AE18" i="6"/>
  <c r="AE22" i="6"/>
  <c r="AF14" i="6"/>
  <c r="AF18" i="6"/>
  <c r="AF22" i="6"/>
  <c r="AF34" i="6"/>
  <c r="AF38" i="6"/>
  <c r="AF42" i="6"/>
  <c r="AI14" i="6"/>
  <c r="AI18" i="6"/>
  <c r="AI22" i="6"/>
  <c r="AI34" i="6"/>
  <c r="AI38" i="6"/>
  <c r="AI42" i="6"/>
  <c r="AE17" i="6"/>
  <c r="AL18" i="6"/>
  <c r="AG22" i="6"/>
  <c r="AD17" i="6"/>
  <c r="AD33" i="6"/>
  <c r="AF19" i="6"/>
  <c r="AF31" i="6"/>
  <c r="AH17" i="6"/>
  <c r="AH33" i="6"/>
  <c r="AI19" i="6"/>
  <c r="AI31" i="6"/>
  <c r="AJ17" i="6"/>
  <c r="AJ33" i="6"/>
  <c r="AL17" i="6"/>
  <c r="AL22" i="6"/>
  <c r="AD14" i="6"/>
  <c r="AD18" i="6"/>
  <c r="AD22" i="6"/>
  <c r="AD34" i="6"/>
  <c r="AD38" i="6"/>
  <c r="AD42" i="6"/>
  <c r="AH14" i="6"/>
  <c r="AH18" i="6"/>
  <c r="AH22" i="6"/>
  <c r="AH34" i="6"/>
  <c r="AH38" i="6"/>
  <c r="AH42" i="6"/>
  <c r="AJ18" i="6"/>
  <c r="AJ22" i="6"/>
  <c r="AD19" i="6"/>
  <c r="AD31" i="6"/>
  <c r="AF17" i="6"/>
  <c r="AF33" i="6"/>
  <c r="AH19" i="6"/>
  <c r="AH31" i="6"/>
  <c r="AI17" i="6"/>
  <c r="AJ19" i="6"/>
  <c r="N44" i="6"/>
  <c r="O14" i="6" s="1"/>
  <c r="W14" i="6" s="1"/>
  <c r="J20" i="6"/>
  <c r="R20" i="6" s="1"/>
  <c r="K16" i="6"/>
  <c r="AM16" i="6" s="1"/>
  <c r="J17" i="6"/>
  <c r="T17" i="6" s="1"/>
  <c r="J18" i="6"/>
  <c r="T18" i="6" s="1"/>
  <c r="K20" i="6"/>
  <c r="AM20" i="6" s="1"/>
  <c r="K21" i="6"/>
  <c r="AM21" i="6" s="1"/>
  <c r="J22" i="6"/>
  <c r="T22" i="6" s="1"/>
  <c r="J23" i="6"/>
  <c r="R23" i="6" s="1"/>
  <c r="J24" i="6"/>
  <c r="S24" i="6" s="1"/>
  <c r="J25" i="6"/>
  <c r="R25" i="6" s="1"/>
  <c r="J30" i="6"/>
  <c r="Q30" i="6" s="1"/>
  <c r="K34" i="6"/>
  <c r="AM34" i="6" s="1"/>
  <c r="J27" i="6"/>
  <c r="R27" i="6" s="1"/>
  <c r="K35" i="6"/>
  <c r="AM35" i="6" s="1"/>
  <c r="K13" i="6"/>
  <c r="J15" i="6"/>
  <c r="S15" i="6" s="1"/>
  <c r="K18" i="6"/>
  <c r="AM18" i="6" s="1"/>
  <c r="J19" i="6"/>
  <c r="P19" i="6" s="1"/>
  <c r="K22" i="6"/>
  <c r="AM22" i="6" s="1"/>
  <c r="K23" i="6"/>
  <c r="AM23" i="6" s="1"/>
  <c r="K24" i="6"/>
  <c r="AM24" i="6" s="1"/>
  <c r="K25" i="6"/>
  <c r="AM25" i="6" s="1"/>
  <c r="J26" i="6"/>
  <c r="Q26" i="6" s="1"/>
  <c r="J29" i="6"/>
  <c r="S29" i="6" s="1"/>
  <c r="J13" i="6"/>
  <c r="K17" i="6"/>
  <c r="AM17" i="6" s="1"/>
  <c r="J14" i="6"/>
  <c r="Q14" i="6" s="1"/>
  <c r="K14" i="6"/>
  <c r="AM14" i="6" s="1"/>
  <c r="K15" i="6"/>
  <c r="AM15" i="6" s="1"/>
  <c r="J16" i="6"/>
  <c r="R16" i="6" s="1"/>
  <c r="K19" i="6"/>
  <c r="AM19" i="6" s="1"/>
  <c r="J28" i="6"/>
  <c r="Q28" i="6" s="1"/>
  <c r="K27" i="6"/>
  <c r="AM27" i="6" s="1"/>
  <c r="K28" i="6"/>
  <c r="AM28" i="6" s="1"/>
  <c r="K29" i="6"/>
  <c r="AM29" i="6" s="1"/>
  <c r="K30" i="6"/>
  <c r="AM30" i="6" s="1"/>
  <c r="J31" i="6"/>
  <c r="T31" i="6" s="1"/>
  <c r="J32" i="6"/>
  <c r="Q32" i="6" s="1"/>
  <c r="K26" i="6"/>
  <c r="AM26" i="6" s="1"/>
  <c r="K31" i="6"/>
  <c r="AM31" i="6" s="1"/>
  <c r="K32" i="6"/>
  <c r="AM32" i="6" s="1"/>
  <c r="J33" i="6"/>
  <c r="T33" i="6" s="1"/>
  <c r="J34" i="6"/>
  <c r="T34" i="6" s="1"/>
  <c r="J35" i="6"/>
  <c r="Q35" i="6" s="1"/>
  <c r="K33" i="6"/>
  <c r="AM33" i="6" s="1"/>
  <c r="K36" i="6"/>
  <c r="AM36" i="6" s="1"/>
  <c r="K40" i="6"/>
  <c r="AM40" i="6" s="1"/>
  <c r="J36" i="6"/>
  <c r="Q36" i="6" s="1"/>
  <c r="K37" i="6"/>
  <c r="AM37" i="6" s="1"/>
  <c r="P37" i="6"/>
  <c r="T37" i="6"/>
  <c r="K38" i="6"/>
  <c r="AM38" i="6" s="1"/>
  <c r="S37" i="6"/>
  <c r="K39" i="6"/>
  <c r="AM39" i="6" s="1"/>
  <c r="I45" i="6"/>
  <c r="I44" i="6"/>
  <c r="O22" i="6"/>
  <c r="U22" i="6" s="1"/>
  <c r="O25" i="6"/>
  <c r="O28" i="6"/>
  <c r="AA28" i="6" s="1"/>
  <c r="O38" i="6"/>
  <c r="V38" i="6" s="1"/>
  <c r="AE14" i="6"/>
  <c r="AL14" i="6"/>
  <c r="AC14" i="6"/>
  <c r="AE33" i="6"/>
  <c r="AL33" i="6"/>
  <c r="AC33" i="6"/>
  <c r="AG33" i="6"/>
  <c r="AG14" i="6"/>
  <c r="AE31" i="6"/>
  <c r="AL31" i="6"/>
  <c r="AC31" i="6"/>
  <c r="AG31" i="6"/>
  <c r="AK33" i="6"/>
  <c r="AL42" i="6"/>
  <c r="AC42" i="6"/>
  <c r="AK42" i="6"/>
  <c r="AG42" i="6"/>
  <c r="AE42" i="6"/>
  <c r="AK14" i="6"/>
  <c r="AK31" i="6"/>
  <c r="AG34" i="6"/>
  <c r="AE34" i="6"/>
  <c r="AL34" i="6"/>
  <c r="AK34" i="6"/>
  <c r="AC34" i="6"/>
  <c r="AG17" i="6"/>
  <c r="AG18" i="6"/>
  <c r="AK19" i="6"/>
  <c r="O41" i="6"/>
  <c r="O40" i="6"/>
  <c r="O32" i="6"/>
  <c r="O30" i="6"/>
  <c r="O42" i="6"/>
  <c r="O35" i="6"/>
  <c r="O29" i="6"/>
  <c r="O23" i="6"/>
  <c r="AC19" i="6"/>
  <c r="AE38" i="6"/>
  <c r="AL38" i="6"/>
  <c r="AC38" i="6"/>
  <c r="M43" i="6"/>
  <c r="M41" i="6"/>
  <c r="M40" i="6"/>
  <c r="M39" i="6"/>
  <c r="M26" i="6"/>
  <c r="Q37" i="6"/>
  <c r="R21" i="6" l="1"/>
  <c r="T21" i="6"/>
  <c r="P24" i="6"/>
  <c r="P21" i="6"/>
  <c r="S21" i="6"/>
  <c r="P31" i="6"/>
  <c r="S17" i="6"/>
  <c r="AJ39" i="6"/>
  <c r="AH39" i="6"/>
  <c r="AD39" i="6"/>
  <c r="AI39" i="6"/>
  <c r="AF39" i="6"/>
  <c r="AI40" i="6"/>
  <c r="AF40" i="6"/>
  <c r="AJ40" i="6"/>
  <c r="AH40" i="6"/>
  <c r="AD40" i="6"/>
  <c r="AI41" i="6"/>
  <c r="AF41" i="6"/>
  <c r="AJ41" i="6"/>
  <c r="AH41" i="6"/>
  <c r="AD41" i="6"/>
  <c r="AJ26" i="6"/>
  <c r="AH26" i="6"/>
  <c r="AD26" i="6"/>
  <c r="AI26" i="6"/>
  <c r="AF26" i="6"/>
  <c r="AJ43" i="6"/>
  <c r="AH43" i="6"/>
  <c r="AD43" i="6"/>
  <c r="AI43" i="6"/>
  <c r="AF43" i="6"/>
  <c r="O37" i="6"/>
  <c r="AB28" i="6"/>
  <c r="O31" i="6"/>
  <c r="Z31" i="6" s="1"/>
  <c r="O24" i="6"/>
  <c r="Y24" i="6" s="1"/>
  <c r="O36" i="6"/>
  <c r="Y36" i="6" s="1"/>
  <c r="O47" i="6"/>
  <c r="X38" i="6"/>
  <c r="O17" i="6"/>
  <c r="O21" i="6"/>
  <c r="V21" i="6" s="1"/>
  <c r="O20" i="6"/>
  <c r="Z20" i="6" s="1"/>
  <c r="AB37" i="6"/>
  <c r="O19" i="6"/>
  <c r="AB19" i="6" s="1"/>
  <c r="O33" i="6"/>
  <c r="AB33" i="6" s="1"/>
  <c r="O26" i="6"/>
  <c r="O39" i="6"/>
  <c r="Z39" i="6" s="1"/>
  <c r="W37" i="6"/>
  <c r="O16" i="6"/>
  <c r="V16" i="6" s="1"/>
  <c r="O27" i="6"/>
  <c r="O18" i="6"/>
  <c r="W18" i="6" s="1"/>
  <c r="U37" i="6"/>
  <c r="Y31" i="6"/>
  <c r="Z36" i="6"/>
  <c r="Y21" i="6"/>
  <c r="Z14" i="6"/>
  <c r="Y14" i="6"/>
  <c r="Z19" i="6"/>
  <c r="Y38" i="6"/>
  <c r="Z38" i="6"/>
  <c r="Y20" i="6"/>
  <c r="Z18" i="6"/>
  <c r="Y18" i="6"/>
  <c r="Z23" i="6"/>
  <c r="Y23" i="6"/>
  <c r="Z35" i="6"/>
  <c r="Y35" i="6"/>
  <c r="Y30" i="6"/>
  <c r="Z30" i="6"/>
  <c r="Z40" i="6"/>
  <c r="Y40" i="6"/>
  <c r="AA38" i="6"/>
  <c r="U18" i="6"/>
  <c r="U20" i="6"/>
  <c r="V17" i="6"/>
  <c r="U28" i="6"/>
  <c r="Z28" i="6"/>
  <c r="Y28" i="6"/>
  <c r="V27" i="6"/>
  <c r="Z27" i="6"/>
  <c r="Y27" i="6"/>
  <c r="X37" i="6"/>
  <c r="Z37" i="6"/>
  <c r="Y37" i="6"/>
  <c r="Z24" i="6"/>
  <c r="Z26" i="6"/>
  <c r="Y26" i="6"/>
  <c r="Z29" i="6"/>
  <c r="Y29" i="6"/>
  <c r="Z32" i="6"/>
  <c r="Y32" i="6"/>
  <c r="Z41" i="6"/>
  <c r="Y41" i="6"/>
  <c r="W38" i="6"/>
  <c r="AA18" i="6"/>
  <c r="AA20" i="6"/>
  <c r="U25" i="6"/>
  <c r="Z25" i="6"/>
  <c r="Y25" i="6"/>
  <c r="AB22" i="6"/>
  <c r="Z22" i="6"/>
  <c r="Y22" i="6"/>
  <c r="O34" i="6"/>
  <c r="O15" i="6"/>
  <c r="O13" i="6"/>
  <c r="X22" i="6"/>
  <c r="W25" i="6"/>
  <c r="AA22" i="6"/>
  <c r="AA25" i="6"/>
  <c r="X21" i="6"/>
  <c r="V25" i="6"/>
  <c r="R32" i="6"/>
  <c r="S31" i="6"/>
  <c r="Q25" i="6"/>
  <c r="P20" i="6"/>
  <c r="S19" i="6"/>
  <c r="P25" i="6"/>
  <c r="T20" i="6"/>
  <c r="Q24" i="6"/>
  <c r="S20" i="6"/>
  <c r="P17" i="6"/>
  <c r="Q17" i="6"/>
  <c r="R17" i="6"/>
  <c r="T28" i="6"/>
  <c r="S32" i="6"/>
  <c r="S16" i="6"/>
  <c r="T23" i="6"/>
  <c r="T29" i="6"/>
  <c r="S33" i="6"/>
  <c r="Q16" i="6"/>
  <c r="Q19" i="6"/>
  <c r="T15" i="6"/>
  <c r="Q15" i="6"/>
  <c r="Q29" i="6"/>
  <c r="S28" i="6"/>
  <c r="R18" i="6"/>
  <c r="P33" i="6"/>
  <c r="T32" i="6"/>
  <c r="P29" i="6"/>
  <c r="T19" i="6"/>
  <c r="R19" i="6"/>
  <c r="T25" i="6"/>
  <c r="P28" i="6"/>
  <c r="Q20" i="6"/>
  <c r="S23" i="6"/>
  <c r="R29" i="6"/>
  <c r="T24" i="6"/>
  <c r="P15" i="6"/>
  <c r="R24" i="6"/>
  <c r="R15" i="6"/>
  <c r="R28" i="6"/>
  <c r="T27" i="6"/>
  <c r="Q31" i="6"/>
  <c r="S27" i="6"/>
  <c r="Q27" i="6"/>
  <c r="P23" i="6"/>
  <c r="R35" i="6"/>
  <c r="P18" i="6"/>
  <c r="Q18" i="6"/>
  <c r="Q23" i="6"/>
  <c r="S18" i="6"/>
  <c r="P27" i="6"/>
  <c r="R33" i="6"/>
  <c r="S25" i="6"/>
  <c r="R31" i="6"/>
  <c r="T14" i="6"/>
  <c r="Q22" i="6"/>
  <c r="S30" i="6"/>
  <c r="P16" i="6"/>
  <c r="T26" i="6"/>
  <c r="R14" i="6"/>
  <c r="S22" i="6"/>
  <c r="S14" i="6"/>
  <c r="Q33" i="6"/>
  <c r="P32" i="6"/>
  <c r="R26" i="6"/>
  <c r="P14" i="6"/>
  <c r="R22" i="6"/>
  <c r="S26" i="6"/>
  <c r="T30" i="6"/>
  <c r="P26" i="6"/>
  <c r="T16" i="6"/>
  <c r="R30" i="6"/>
  <c r="P22" i="6"/>
  <c r="P30" i="6"/>
  <c r="R34" i="6"/>
  <c r="P34" i="6"/>
  <c r="S34" i="6"/>
  <c r="S36" i="6"/>
  <c r="S35" i="6"/>
  <c r="P35" i="6"/>
  <c r="T36" i="6"/>
  <c r="T35" i="6"/>
  <c r="Q34" i="6"/>
  <c r="R36" i="6"/>
  <c r="J47" i="6"/>
  <c r="P36" i="6"/>
  <c r="V28" i="6"/>
  <c r="W28" i="6"/>
  <c r="AA27" i="6"/>
  <c r="X25" i="6"/>
  <c r="AB25" i="6"/>
  <c r="V22" i="6"/>
  <c r="AA17" i="6"/>
  <c r="X28" i="6"/>
  <c r="K43" i="6"/>
  <c r="AM43" i="6" s="1"/>
  <c r="K42" i="6"/>
  <c r="X14" i="6"/>
  <c r="AA14" i="6"/>
  <c r="V14" i="6"/>
  <c r="U14" i="6"/>
  <c r="AB14" i="6"/>
  <c r="U27" i="6"/>
  <c r="U17" i="6"/>
  <c r="W27" i="6"/>
  <c r="W22" i="6"/>
  <c r="U38" i="6"/>
  <c r="AB38" i="6"/>
  <c r="AK43" i="6"/>
  <c r="AG43" i="6"/>
  <c r="AE43" i="6"/>
  <c r="AC43" i="6"/>
  <c r="AL43" i="6"/>
  <c r="AA41" i="6"/>
  <c r="X41" i="6"/>
  <c r="AB41" i="6"/>
  <c r="W41" i="6"/>
  <c r="V41" i="6"/>
  <c r="V36" i="6"/>
  <c r="AL26" i="6"/>
  <c r="AC26" i="6"/>
  <c r="AK26" i="6"/>
  <c r="AE26" i="6"/>
  <c r="AG26" i="6"/>
  <c r="X23" i="6"/>
  <c r="W23" i="6"/>
  <c r="V23" i="6"/>
  <c r="U23" i="6"/>
  <c r="AB23" i="6"/>
  <c r="AA23" i="6"/>
  <c r="X35" i="6"/>
  <c r="W35" i="6"/>
  <c r="AA35" i="6"/>
  <c r="V35" i="6"/>
  <c r="AB35" i="6"/>
  <c r="U35" i="6"/>
  <c r="W30" i="6"/>
  <c r="AB30" i="6"/>
  <c r="V30" i="6"/>
  <c r="U30" i="6"/>
  <c r="AA30" i="6"/>
  <c r="X30" i="6"/>
  <c r="X40" i="6"/>
  <c r="W40" i="6"/>
  <c r="AA40" i="6"/>
  <c r="V40" i="6"/>
  <c r="U40" i="6"/>
  <c r="AB40" i="6"/>
  <c r="AE39" i="6"/>
  <c r="AL39" i="6"/>
  <c r="AC39" i="6"/>
  <c r="AK39" i="6"/>
  <c r="AG39" i="6"/>
  <c r="X29" i="6"/>
  <c r="W29" i="6"/>
  <c r="AB29" i="6"/>
  <c r="AA29" i="6"/>
  <c r="V29" i="6"/>
  <c r="U29" i="6"/>
  <c r="W32" i="6"/>
  <c r="AB32" i="6"/>
  <c r="V32" i="6"/>
  <c r="U32" i="6"/>
  <c r="AA32" i="6"/>
  <c r="X32" i="6"/>
  <c r="AE40" i="6"/>
  <c r="AL40" i="6"/>
  <c r="AC40" i="6"/>
  <c r="AK40" i="6"/>
  <c r="AG40" i="6"/>
  <c r="X31" i="6"/>
  <c r="W31" i="6"/>
  <c r="U31" i="6"/>
  <c r="AB31" i="6"/>
  <c r="AA31" i="6"/>
  <c r="V31" i="6"/>
  <c r="V24" i="6"/>
  <c r="AA24" i="6"/>
  <c r="AG41" i="6"/>
  <c r="AE41" i="6"/>
  <c r="AL41" i="6"/>
  <c r="AK41" i="6"/>
  <c r="AC41" i="6"/>
  <c r="W19" i="6"/>
  <c r="AA19" i="6"/>
  <c r="X19" i="6"/>
  <c r="U33" i="6"/>
  <c r="W26" i="6"/>
  <c r="AB26" i="6"/>
  <c r="V26" i="6"/>
  <c r="AA26" i="6"/>
  <c r="U26" i="6"/>
  <c r="X26" i="6"/>
  <c r="X39" i="6"/>
  <c r="W39" i="6"/>
  <c r="AA39" i="6"/>
  <c r="V39" i="6"/>
  <c r="AB39" i="6"/>
  <c r="U39" i="6"/>
  <c r="M44" i="6"/>
  <c r="F41" i="1"/>
  <c r="AI44" i="6" l="1"/>
  <c r="AI45" i="6" s="1"/>
  <c r="AJ44" i="6"/>
  <c r="AJ45" i="6" s="1"/>
  <c r="AH44" i="6"/>
  <c r="AH45" i="6" s="1"/>
  <c r="AF44" i="6"/>
  <c r="AF45" i="6" s="1"/>
  <c r="Y39" i="6"/>
  <c r="Y19" i="6"/>
  <c r="AA37" i="6"/>
  <c r="V37" i="6"/>
  <c r="AD44" i="6"/>
  <c r="AD45" i="6" s="1"/>
  <c r="AA33" i="6"/>
  <c r="U21" i="6"/>
  <c r="Z21" i="6"/>
  <c r="AB17" i="6"/>
  <c r="X17" i="6"/>
  <c r="W17" i="6"/>
  <c r="V33" i="6"/>
  <c r="X33" i="6"/>
  <c r="V19" i="6"/>
  <c r="U24" i="6"/>
  <c r="AB24" i="6"/>
  <c r="X36" i="6"/>
  <c r="W36" i="6"/>
  <c r="AA16" i="6"/>
  <c r="Z16" i="6"/>
  <c r="W21" i="6"/>
  <c r="Z33" i="6"/>
  <c r="Y17" i="6"/>
  <c r="AA21" i="6"/>
  <c r="V18" i="6"/>
  <c r="AB18" i="6"/>
  <c r="W33" i="6"/>
  <c r="U36" i="6"/>
  <c r="AB36" i="6"/>
  <c r="X16" i="6"/>
  <c r="Y16" i="6"/>
  <c r="Y33" i="6"/>
  <c r="U19" i="6"/>
  <c r="X24" i="6"/>
  <c r="W24" i="6"/>
  <c r="AA36" i="6"/>
  <c r="AB16" i="6"/>
  <c r="U16" i="6"/>
  <c r="W16" i="6"/>
  <c r="AB21" i="6"/>
  <c r="Z17" i="6"/>
  <c r="X18" i="6"/>
  <c r="X27" i="6"/>
  <c r="AB27" i="6"/>
  <c r="AB20" i="6"/>
  <c r="X20" i="6"/>
  <c r="V20" i="6"/>
  <c r="W20" i="6"/>
  <c r="O44" i="6"/>
  <c r="W15" i="6"/>
  <c r="Z15" i="6"/>
  <c r="Y15" i="6"/>
  <c r="U15" i="6"/>
  <c r="AB15" i="6"/>
  <c r="AA15" i="6"/>
  <c r="V15" i="6"/>
  <c r="X15" i="6"/>
  <c r="Z34" i="6"/>
  <c r="Y34" i="6"/>
  <c r="W34" i="6"/>
  <c r="X34" i="6"/>
  <c r="AA34" i="6"/>
  <c r="V34" i="6"/>
  <c r="AB34" i="6"/>
  <c r="U34" i="6"/>
  <c r="Q44" i="6"/>
  <c r="Q45" i="6" s="1"/>
  <c r="R44" i="6"/>
  <c r="R45" i="6" s="1"/>
  <c r="S44" i="6"/>
  <c r="S45" i="6" s="1"/>
  <c r="T44" i="6"/>
  <c r="T45" i="6" s="1"/>
  <c r="P44" i="6"/>
  <c r="P45" i="6" s="1"/>
  <c r="AE44" i="6"/>
  <c r="AE45" i="6" s="1"/>
  <c r="AG44" i="6"/>
  <c r="AG45" i="6" s="1"/>
  <c r="AK44" i="6"/>
  <c r="AK45" i="6" s="1"/>
  <c r="AL44" i="6"/>
  <c r="AL45" i="6" s="1"/>
  <c r="AC44" i="6"/>
  <c r="AC45" i="6" s="1"/>
  <c r="AM42" i="6"/>
  <c r="AM44" i="6" s="1"/>
  <c r="AM45" i="6" s="1"/>
  <c r="K44" i="6"/>
  <c r="AB13" i="1"/>
  <c r="AC13" i="1"/>
  <c r="AD13" i="1"/>
  <c r="AE13" i="1"/>
  <c r="AF13" i="1"/>
  <c r="AH13" i="1"/>
  <c r="AA44" i="6" l="1"/>
  <c r="AA45" i="6" s="1"/>
  <c r="X44" i="6"/>
  <c r="X45" i="6" s="1"/>
  <c r="U44" i="6"/>
  <c r="U45" i="6" s="1"/>
  <c r="Y44" i="6"/>
  <c r="Y45" i="6" s="1"/>
  <c r="AB44" i="6"/>
  <c r="AB45" i="6" s="1"/>
  <c r="Z44" i="6"/>
  <c r="Z45" i="6" s="1"/>
  <c r="W44" i="6"/>
  <c r="W45" i="6" s="1"/>
  <c r="V44" i="6"/>
  <c r="V45" i="6" s="1"/>
  <c r="AB17" i="1"/>
  <c r="AC17" i="1"/>
  <c r="AD17" i="1"/>
  <c r="AE17" i="1"/>
  <c r="AF17" i="1"/>
  <c r="AB18" i="1"/>
  <c r="AC18" i="1"/>
  <c r="AD18" i="1"/>
  <c r="AE18" i="1"/>
  <c r="AF18" i="1"/>
  <c r="AB20" i="1"/>
  <c r="AC20" i="1"/>
  <c r="AD20" i="1"/>
  <c r="AE20" i="1"/>
  <c r="AF20" i="1"/>
  <c r="AB21" i="1"/>
  <c r="AC21" i="1"/>
  <c r="AD21" i="1"/>
  <c r="AE21" i="1"/>
  <c r="AF21" i="1"/>
  <c r="AB22" i="1"/>
  <c r="AC22" i="1"/>
  <c r="AD22" i="1"/>
  <c r="AE22" i="1"/>
  <c r="AF22" i="1"/>
  <c r="AB24" i="1"/>
  <c r="AC24" i="1"/>
  <c r="AD24" i="1"/>
  <c r="AE24" i="1"/>
  <c r="AF24" i="1"/>
  <c r="AB25" i="1"/>
  <c r="AC25" i="1"/>
  <c r="AD25" i="1"/>
  <c r="AE25" i="1"/>
  <c r="AF25" i="1"/>
  <c r="AB26" i="1"/>
  <c r="AC26" i="1"/>
  <c r="AD26" i="1"/>
  <c r="AE26" i="1"/>
  <c r="AF26" i="1"/>
  <c r="AB27" i="1"/>
  <c r="AC27" i="1"/>
  <c r="AD27" i="1"/>
  <c r="AE27" i="1"/>
  <c r="AF27" i="1"/>
  <c r="AB29" i="1"/>
  <c r="AC29" i="1"/>
  <c r="AD29" i="1"/>
  <c r="AE29" i="1"/>
  <c r="AF29" i="1"/>
  <c r="AB32" i="1"/>
  <c r="AC32" i="1"/>
  <c r="AD32" i="1"/>
  <c r="AE32" i="1"/>
  <c r="AF32" i="1"/>
  <c r="AB33" i="1"/>
  <c r="AC33" i="1"/>
  <c r="AD33" i="1"/>
  <c r="AE33" i="1"/>
  <c r="AF33" i="1"/>
  <c r="AB34" i="1"/>
  <c r="AC34" i="1"/>
  <c r="AD34" i="1"/>
  <c r="AE34" i="1"/>
  <c r="AF34" i="1"/>
  <c r="AH20" i="1" l="1"/>
  <c r="AH27" i="1"/>
  <c r="AH26" i="1"/>
  <c r="AH25" i="1"/>
  <c r="AH24" i="1"/>
  <c r="AH22" i="1"/>
  <c r="AH21" i="1"/>
  <c r="AH17" i="1"/>
  <c r="AH12" i="1" l="1"/>
  <c r="AH14" i="1"/>
  <c r="AH15" i="1"/>
  <c r="AH16" i="1"/>
  <c r="AH18" i="1"/>
  <c r="AH19" i="1"/>
  <c r="AH23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11" i="1"/>
  <c r="AC12" i="1"/>
  <c r="AD12" i="1"/>
  <c r="AE12" i="1"/>
  <c r="AF12" i="1"/>
  <c r="AB12" i="1"/>
  <c r="G44" i="1" l="1"/>
  <c r="H44" i="1"/>
  <c r="F44" i="1"/>
  <c r="K13" i="1" s="1"/>
  <c r="S13" i="1" l="1"/>
  <c r="Q13" i="1"/>
  <c r="U13" i="1"/>
  <c r="R13" i="1"/>
  <c r="T13" i="1"/>
  <c r="K12" i="1"/>
  <c r="K21" i="1"/>
  <c r="K29" i="1"/>
  <c r="K14" i="1"/>
  <c r="K22" i="1"/>
  <c r="K30" i="1"/>
  <c r="K15" i="1"/>
  <c r="S15" i="1" s="1"/>
  <c r="K23" i="1"/>
  <c r="K31" i="1"/>
  <c r="K16" i="1"/>
  <c r="K24" i="1"/>
  <c r="K32" i="1"/>
  <c r="K17" i="1"/>
  <c r="R17" i="1" s="1"/>
  <c r="K25" i="1"/>
  <c r="K33" i="1"/>
  <c r="K18" i="1"/>
  <c r="K26" i="1"/>
  <c r="K34" i="1"/>
  <c r="K19" i="1"/>
  <c r="K27" i="1"/>
  <c r="K20" i="1"/>
  <c r="K28" i="1"/>
  <c r="Q17" i="1"/>
  <c r="U17" i="1"/>
  <c r="K10" i="1"/>
  <c r="K11" i="1"/>
  <c r="I80" i="1"/>
  <c r="H80" i="1"/>
  <c r="M41" i="1"/>
  <c r="O36" i="1"/>
  <c r="O35" i="1"/>
  <c r="J35" i="1"/>
  <c r="J31" i="1"/>
  <c r="J30" i="1"/>
  <c r="J28" i="1"/>
  <c r="J23" i="1"/>
  <c r="J19" i="1"/>
  <c r="J16" i="1"/>
  <c r="O15" i="1"/>
  <c r="J15" i="1"/>
  <c r="O14" i="1"/>
  <c r="J14" i="1"/>
  <c r="J11" i="1"/>
  <c r="AH6" i="1"/>
  <c r="T23" i="1" l="1"/>
  <c r="U23" i="1"/>
  <c r="Q23" i="1"/>
  <c r="R23" i="1"/>
  <c r="S23" i="1"/>
  <c r="S22" i="1"/>
  <c r="Q22" i="1"/>
  <c r="T22" i="1"/>
  <c r="U22" i="1"/>
  <c r="R22" i="1"/>
  <c r="R25" i="1"/>
  <c r="S25" i="1"/>
  <c r="T25" i="1"/>
  <c r="U25" i="1"/>
  <c r="Q25" i="1"/>
  <c r="Q27" i="1"/>
  <c r="R27" i="1"/>
  <c r="S27" i="1"/>
  <c r="T27" i="1"/>
  <c r="U27" i="1"/>
  <c r="Q21" i="1"/>
  <c r="R21" i="1"/>
  <c r="S21" i="1"/>
  <c r="T21" i="1"/>
  <c r="U21" i="1"/>
  <c r="S28" i="1"/>
  <c r="T28" i="1"/>
  <c r="U28" i="1"/>
  <c r="Q28" i="1"/>
  <c r="R28" i="1"/>
  <c r="Q24" i="1"/>
  <c r="R24" i="1"/>
  <c r="S24" i="1"/>
  <c r="T24" i="1"/>
  <c r="U24" i="1"/>
  <c r="U26" i="1"/>
  <c r="Q26" i="1"/>
  <c r="R26" i="1"/>
  <c r="S26" i="1"/>
  <c r="T26" i="1"/>
  <c r="T17" i="1"/>
  <c r="S17" i="1"/>
  <c r="Q20" i="1"/>
  <c r="R20" i="1"/>
  <c r="S20" i="1"/>
  <c r="T20" i="1"/>
  <c r="U20" i="1"/>
  <c r="T15" i="1"/>
  <c r="Q15" i="1"/>
  <c r="R15" i="1"/>
  <c r="U15" i="1"/>
  <c r="N38" i="1"/>
  <c r="N10" i="1"/>
  <c r="N28" i="1"/>
  <c r="N14" i="1"/>
  <c r="AD14" i="1" s="1"/>
  <c r="N15" i="1"/>
  <c r="AF15" i="1" s="1"/>
  <c r="N35" i="1"/>
  <c r="N39" i="1"/>
  <c r="N19" i="1"/>
  <c r="N40" i="1"/>
  <c r="N36" i="1"/>
  <c r="N30" i="1"/>
  <c r="U34" i="1"/>
  <c r="T34" i="1"/>
  <c r="S34" i="1"/>
  <c r="Q34" i="1"/>
  <c r="R34" i="1"/>
  <c r="U16" i="1"/>
  <c r="T16" i="1"/>
  <c r="S16" i="1"/>
  <c r="Q16" i="1"/>
  <c r="R16" i="1"/>
  <c r="T12" i="1"/>
  <c r="S12" i="1"/>
  <c r="U12" i="1"/>
  <c r="Q12" i="1"/>
  <c r="R12" i="1"/>
  <c r="S32" i="1"/>
  <c r="U32" i="1"/>
  <c r="T32" i="1"/>
  <c r="Q32" i="1"/>
  <c r="R32" i="1"/>
  <c r="S29" i="1"/>
  <c r="T29" i="1"/>
  <c r="U29" i="1"/>
  <c r="Q29" i="1"/>
  <c r="R29" i="1"/>
  <c r="U11" i="1"/>
  <c r="R11" i="1"/>
  <c r="S11" i="1"/>
  <c r="T11" i="1"/>
  <c r="Q11" i="1"/>
  <c r="K44" i="1"/>
  <c r="K41" i="1" s="1"/>
  <c r="T30" i="1"/>
  <c r="S30" i="1"/>
  <c r="U30" i="1"/>
  <c r="R30" i="1"/>
  <c r="Q30" i="1"/>
  <c r="U19" i="1"/>
  <c r="T19" i="1"/>
  <c r="S19" i="1"/>
  <c r="R19" i="1"/>
  <c r="Q19" i="1"/>
  <c r="S33" i="1"/>
  <c r="T33" i="1"/>
  <c r="U33" i="1"/>
  <c r="Q33" i="1"/>
  <c r="R33" i="1"/>
  <c r="N11" i="1"/>
  <c r="N31" i="1"/>
  <c r="N37" i="1"/>
  <c r="T31" i="1"/>
  <c r="S31" i="1"/>
  <c r="U31" i="1"/>
  <c r="R31" i="1"/>
  <c r="Q31" i="1"/>
  <c r="N23" i="1"/>
  <c r="N16" i="1"/>
  <c r="T18" i="1"/>
  <c r="S18" i="1"/>
  <c r="U18" i="1"/>
  <c r="R18" i="1"/>
  <c r="Q18" i="1"/>
  <c r="T14" i="1"/>
  <c r="S14" i="1"/>
  <c r="U14" i="1"/>
  <c r="R14" i="1"/>
  <c r="Q14" i="1"/>
  <c r="O41" i="1"/>
  <c r="J42" i="1"/>
  <c r="J41" i="1"/>
  <c r="AC15" i="1" l="1"/>
  <c r="AC14" i="1"/>
  <c r="AE30" i="1"/>
  <c r="AB30" i="1"/>
  <c r="AC30" i="1"/>
  <c r="AD30" i="1"/>
  <c r="AF30" i="1"/>
  <c r="AC28" i="1"/>
  <c r="AD28" i="1"/>
  <c r="AE28" i="1"/>
  <c r="AF28" i="1"/>
  <c r="AB28" i="1"/>
  <c r="AF37" i="1"/>
  <c r="AB37" i="1"/>
  <c r="AC37" i="1"/>
  <c r="AD37" i="1"/>
  <c r="AE37" i="1"/>
  <c r="AB14" i="1"/>
  <c r="AC36" i="1"/>
  <c r="AD36" i="1"/>
  <c r="AE36" i="1"/>
  <c r="AB36" i="1"/>
  <c r="AF36" i="1"/>
  <c r="AD31" i="1"/>
  <c r="AE31" i="1"/>
  <c r="AF31" i="1"/>
  <c r="AC31" i="1"/>
  <c r="AB31" i="1"/>
  <c r="AD23" i="1"/>
  <c r="AE23" i="1"/>
  <c r="AF23" i="1"/>
  <c r="AC23" i="1"/>
  <c r="AB23" i="1"/>
  <c r="AF14" i="1"/>
  <c r="AF40" i="1"/>
  <c r="AB40" i="1"/>
  <c r="AC40" i="1"/>
  <c r="AE40" i="1"/>
  <c r="AD40" i="1"/>
  <c r="AB38" i="1"/>
  <c r="AC38" i="1"/>
  <c r="AE38" i="1"/>
  <c r="AD38" i="1"/>
  <c r="AF38" i="1"/>
  <c r="AE15" i="1"/>
  <c r="AB19" i="1"/>
  <c r="AD19" i="1"/>
  <c r="AF19" i="1"/>
  <c r="AC19" i="1"/>
  <c r="AE19" i="1"/>
  <c r="AB15" i="1"/>
  <c r="AD39" i="1"/>
  <c r="AB39" i="1"/>
  <c r="AE39" i="1"/>
  <c r="AF39" i="1"/>
  <c r="AC39" i="1"/>
  <c r="AD35" i="1"/>
  <c r="AB35" i="1"/>
  <c r="AF35" i="1"/>
  <c r="AC35" i="1"/>
  <c r="AE35" i="1"/>
  <c r="P36" i="1"/>
  <c r="P13" i="1"/>
  <c r="P14" i="1"/>
  <c r="P35" i="1"/>
  <c r="P34" i="1"/>
  <c r="P12" i="1"/>
  <c r="P21" i="1"/>
  <c r="P25" i="1"/>
  <c r="V25" i="1" s="1"/>
  <c r="P37" i="1"/>
  <c r="P32" i="1"/>
  <c r="P27" i="1"/>
  <c r="P44" i="1"/>
  <c r="P22" i="1"/>
  <c r="W22" i="1" s="1"/>
  <c r="P26" i="1"/>
  <c r="P33" i="1"/>
  <c r="P28" i="1"/>
  <c r="P23" i="1"/>
  <c r="P30" i="1"/>
  <c r="P31" i="1"/>
  <c r="P19" i="1"/>
  <c r="P20" i="1"/>
  <c r="W20" i="1" s="1"/>
  <c r="P29" i="1"/>
  <c r="P16" i="1"/>
  <c r="P24" i="1"/>
  <c r="P17" i="1"/>
  <c r="X17" i="1" s="1"/>
  <c r="P18" i="1"/>
  <c r="P38" i="1"/>
  <c r="P39" i="1"/>
  <c r="P15" i="1"/>
  <c r="P11" i="1"/>
  <c r="W11" i="1" s="1"/>
  <c r="P10" i="1"/>
  <c r="AD15" i="1"/>
  <c r="AE14" i="1"/>
  <c r="N41" i="1"/>
  <c r="R41" i="1"/>
  <c r="T41" i="1"/>
  <c r="T42" i="1" s="1"/>
  <c r="AF16" i="1"/>
  <c r="AC16" i="1"/>
  <c r="AB16" i="1"/>
  <c r="AD16" i="1"/>
  <c r="AE16" i="1"/>
  <c r="S41" i="1"/>
  <c r="S42" i="1" s="1"/>
  <c r="U41" i="1"/>
  <c r="U42" i="1" s="1"/>
  <c r="AB11" i="1"/>
  <c r="AC11" i="1"/>
  <c r="AD11" i="1"/>
  <c r="AE11" i="1"/>
  <c r="AF11" i="1"/>
  <c r="Q41" i="1"/>
  <c r="Q42" i="1" s="1"/>
  <c r="W13" i="1" l="1"/>
  <c r="X13" i="1"/>
  <c r="Z13" i="1"/>
  <c r="Y13" i="1"/>
  <c r="AA13" i="1"/>
  <c r="V13" i="1"/>
  <c r="X34" i="1"/>
  <c r="Y34" i="1"/>
  <c r="AA34" i="1"/>
  <c r="Z34" i="1"/>
  <c r="V34" i="1"/>
  <c r="W34" i="1"/>
  <c r="X32" i="1"/>
  <c r="V32" i="1"/>
  <c r="Y32" i="1"/>
  <c r="Z32" i="1"/>
  <c r="W32" i="1"/>
  <c r="AA32" i="1"/>
  <c r="Z33" i="1"/>
  <c r="V33" i="1"/>
  <c r="W33" i="1"/>
  <c r="X33" i="1"/>
  <c r="AA33" i="1"/>
  <c r="Y33" i="1"/>
  <c r="AA28" i="1"/>
  <c r="Z28" i="1"/>
  <c r="X28" i="1"/>
  <c r="Y28" i="1"/>
  <c r="V28" i="1"/>
  <c r="W28" i="1"/>
  <c r="Z29" i="1"/>
  <c r="Y29" i="1"/>
  <c r="AA29" i="1"/>
  <c r="V29" i="1"/>
  <c r="W29" i="1"/>
  <c r="X29" i="1"/>
  <c r="V12" i="1"/>
  <c r="W12" i="1"/>
  <c r="Y12" i="1"/>
  <c r="X12" i="1"/>
  <c r="Z12" i="1"/>
  <c r="AA12" i="1"/>
  <c r="Y27" i="1"/>
  <c r="Z27" i="1"/>
  <c r="AA27" i="1"/>
  <c r="X27" i="1"/>
  <c r="V27" i="1"/>
  <c r="W27" i="1"/>
  <c r="Y25" i="1"/>
  <c r="AA25" i="1"/>
  <c r="Z25" i="1"/>
  <c r="X25" i="1"/>
  <c r="W25" i="1"/>
  <c r="V26" i="1"/>
  <c r="W26" i="1"/>
  <c r="X26" i="1"/>
  <c r="Y26" i="1"/>
  <c r="Z26" i="1"/>
  <c r="AA26" i="1"/>
  <c r="Y22" i="1"/>
  <c r="X22" i="1"/>
  <c r="Z22" i="1"/>
  <c r="AA22" i="1"/>
  <c r="V22" i="1"/>
  <c r="X24" i="1"/>
  <c r="Y24" i="1"/>
  <c r="Z24" i="1"/>
  <c r="AA24" i="1"/>
  <c r="V24" i="1"/>
  <c r="W24" i="1"/>
  <c r="AA20" i="1"/>
  <c r="Z20" i="1"/>
  <c r="Y20" i="1"/>
  <c r="X20" i="1"/>
  <c r="V20" i="1"/>
  <c r="V21" i="1"/>
  <c r="W21" i="1"/>
  <c r="Z21" i="1"/>
  <c r="X21" i="1"/>
  <c r="Y21" i="1"/>
  <c r="AA21" i="1"/>
  <c r="AA17" i="1"/>
  <c r="Z17" i="1"/>
  <c r="W17" i="1"/>
  <c r="X11" i="1"/>
  <c r="V17" i="1"/>
  <c r="Y17" i="1"/>
  <c r="X18" i="1"/>
  <c r="Y18" i="1"/>
  <c r="AA18" i="1"/>
  <c r="V18" i="1"/>
  <c r="W18" i="1"/>
  <c r="Z18" i="1"/>
  <c r="Z11" i="1"/>
  <c r="Y11" i="1"/>
  <c r="AA11" i="1"/>
  <c r="V11" i="1"/>
  <c r="AD41" i="1"/>
  <c r="AD42" i="1" s="1"/>
  <c r="AE41" i="1"/>
  <c r="AE42" i="1" s="1"/>
  <c r="AC41" i="1"/>
  <c r="AC42" i="1" s="1"/>
  <c r="AF41" i="1"/>
  <c r="AF42" i="1" s="1"/>
  <c r="AB41" i="1"/>
  <c r="AB42" i="1" s="1"/>
  <c r="AA31" i="1"/>
  <c r="W31" i="1"/>
  <c r="V31" i="1"/>
  <c r="X31" i="1"/>
  <c r="Z31" i="1"/>
  <c r="Y31" i="1"/>
  <c r="X16" i="1"/>
  <c r="Y16" i="1"/>
  <c r="V16" i="1"/>
  <c r="Z16" i="1"/>
  <c r="AA16" i="1"/>
  <c r="W16" i="1"/>
  <c r="AA37" i="1"/>
  <c r="X37" i="1"/>
  <c r="W37" i="1"/>
  <c r="Y37" i="1"/>
  <c r="Z37" i="1"/>
  <c r="AA36" i="1"/>
  <c r="X36" i="1"/>
  <c r="V36" i="1"/>
  <c r="Z36" i="1"/>
  <c r="W36" i="1"/>
  <c r="Y36" i="1"/>
  <c r="X35" i="1"/>
  <c r="Y35" i="1"/>
  <c r="W35" i="1"/>
  <c r="Z35" i="1"/>
  <c r="AA35" i="1"/>
  <c r="V35" i="1"/>
  <c r="AA23" i="1"/>
  <c r="X23" i="1"/>
  <c r="W23" i="1"/>
  <c r="V23" i="1"/>
  <c r="Y23" i="1"/>
  <c r="Z23" i="1"/>
  <c r="V30" i="1"/>
  <c r="Z30" i="1"/>
  <c r="X30" i="1"/>
  <c r="Y30" i="1"/>
  <c r="AA30" i="1"/>
  <c r="W30" i="1"/>
  <c r="W19" i="1"/>
  <c r="X19" i="1"/>
  <c r="Y19" i="1"/>
  <c r="Z19" i="1"/>
  <c r="AA19" i="1"/>
  <c r="V19" i="1"/>
  <c r="X38" i="1"/>
  <c r="Z38" i="1"/>
  <c r="Y38" i="1"/>
  <c r="AA38" i="1"/>
  <c r="W38" i="1"/>
  <c r="AA15" i="1"/>
  <c r="Z15" i="1"/>
  <c r="V15" i="1"/>
  <c r="X15" i="1"/>
  <c r="W15" i="1"/>
  <c r="Y15" i="1"/>
  <c r="V14" i="1"/>
  <c r="X14" i="1"/>
  <c r="Y14" i="1"/>
  <c r="Z14" i="1"/>
  <c r="AA14" i="1"/>
  <c r="W14" i="1"/>
  <c r="V37" i="1"/>
  <c r="P41" i="1"/>
  <c r="L40" i="1"/>
  <c r="AG40" i="1" s="1"/>
  <c r="L39" i="1"/>
  <c r="AG39" i="1" s="1"/>
  <c r="Z41" i="1" l="1"/>
  <c r="Z42" i="1" s="1"/>
  <c r="X41" i="1"/>
  <c r="X42" i="1" s="1"/>
  <c r="AA41" i="1"/>
  <c r="AA42" i="1" s="1"/>
  <c r="Y41" i="1"/>
  <c r="Y42" i="1" s="1"/>
  <c r="W41" i="1"/>
  <c r="W42" i="1" s="1"/>
  <c r="V41" i="1"/>
  <c r="V42" i="1" s="1"/>
  <c r="R42" i="1" l="1"/>
  <c r="G41" i="1"/>
  <c r="L13" i="1" l="1"/>
  <c r="AG13" i="1" s="1"/>
  <c r="L24" i="1" l="1"/>
  <c r="AG24" i="1" s="1"/>
  <c r="L25" i="1"/>
  <c r="AG25" i="1" s="1"/>
  <c r="L26" i="1"/>
  <c r="AG26" i="1" s="1"/>
  <c r="L27" i="1"/>
  <c r="AG27" i="1" s="1"/>
  <c r="L28" i="1"/>
  <c r="AG28" i="1" s="1"/>
  <c r="L21" i="1"/>
  <c r="AG21" i="1" s="1"/>
  <c r="L29" i="1"/>
  <c r="AG29" i="1" s="1"/>
  <c r="L22" i="1"/>
  <c r="AG22" i="1" s="1"/>
  <c r="L30" i="1"/>
  <c r="AG30" i="1" s="1"/>
  <c r="L23" i="1"/>
  <c r="AG23" i="1" s="1"/>
  <c r="L31" i="1"/>
  <c r="AG31" i="1" s="1"/>
  <c r="L17" i="1"/>
  <c r="AG17" i="1" s="1"/>
  <c r="L20" i="1"/>
  <c r="AG20" i="1" s="1"/>
  <c r="L10" i="1"/>
  <c r="L32" i="1"/>
  <c r="AG32" i="1" s="1"/>
  <c r="L11" i="1"/>
  <c r="AG11" i="1" s="1"/>
  <c r="L34" i="1"/>
  <c r="AG34" i="1" s="1"/>
  <c r="L36" i="1"/>
  <c r="AG36" i="1" s="1"/>
  <c r="L18" i="1"/>
  <c r="AG18" i="1" s="1"/>
  <c r="L38" i="1"/>
  <c r="AG38" i="1" s="1"/>
  <c r="L12" i="1"/>
  <c r="AG12" i="1" s="1"/>
  <c r="L16" i="1"/>
  <c r="AG16" i="1" s="1"/>
  <c r="L35" i="1"/>
  <c r="AG35" i="1" s="1"/>
  <c r="L33" i="1"/>
  <c r="AG33" i="1" s="1"/>
  <c r="L15" i="1"/>
  <c r="AG15" i="1" s="1"/>
  <c r="L19" i="1"/>
  <c r="AG19" i="1" s="1"/>
  <c r="L14" i="1"/>
  <c r="AG14" i="1" s="1"/>
  <c r="L37" i="1"/>
  <c r="AG37" i="1" s="1"/>
  <c r="AG41" i="1" l="1"/>
  <c r="AG42" i="1" s="1"/>
  <c r="L41" i="1"/>
</calcChain>
</file>

<file path=xl/sharedStrings.xml><?xml version="1.0" encoding="utf-8"?>
<sst xmlns="http://schemas.openxmlformats.org/spreadsheetml/2006/main" count="4094" uniqueCount="1297">
  <si>
    <t>FICA</t>
  </si>
  <si>
    <t>MEDI</t>
  </si>
  <si>
    <t>SUI</t>
  </si>
  <si>
    <t>Disability</t>
  </si>
  <si>
    <t>Payroll Fees</t>
  </si>
  <si>
    <t>Postage</t>
  </si>
  <si>
    <t>IT Consultants</t>
  </si>
  <si>
    <t>Acctg Fees</t>
  </si>
  <si>
    <t>Supplies</t>
  </si>
  <si>
    <t>Telephone</t>
  </si>
  <si>
    <t>Web Hosting</t>
  </si>
  <si>
    <t>Utilities</t>
  </si>
  <si>
    <t>Eq Lease</t>
  </si>
  <si>
    <t>Repairs</t>
  </si>
  <si>
    <t>Mortgage Int</t>
  </si>
  <si>
    <t>General Insurance</t>
  </si>
  <si>
    <t xml:space="preserve">Annual </t>
  </si>
  <si>
    <t>Total Allocated Cost per year</t>
  </si>
  <si>
    <t>Salary</t>
  </si>
  <si>
    <t>Headcount</t>
  </si>
  <si>
    <t>Space</t>
  </si>
  <si>
    <t>Salary Budget</t>
  </si>
  <si>
    <t>Sq Ftg</t>
  </si>
  <si>
    <t>Abbott</t>
  </si>
  <si>
    <t>EHS</t>
  </si>
  <si>
    <t>USJP - Staff</t>
  </si>
  <si>
    <t>Workforce</t>
  </si>
  <si>
    <t>Neigh Revit</t>
  </si>
  <si>
    <t>Opport Corp</t>
  </si>
  <si>
    <t>Participants</t>
  </si>
  <si>
    <t>Training Space</t>
  </si>
  <si>
    <t>Conference Rooms</t>
  </si>
  <si>
    <t>Common Areas</t>
  </si>
  <si>
    <t>Kitchen Space</t>
  </si>
  <si>
    <t xml:space="preserve">Abbott </t>
  </si>
  <si>
    <t>504 Central Ave</t>
  </si>
  <si>
    <t>Americorp</t>
  </si>
  <si>
    <t>506 Central Ave - 1st Floor</t>
  </si>
  <si>
    <t>1st Floor</t>
  </si>
  <si>
    <t>PACE</t>
  </si>
  <si>
    <t>507 Central Ave - 1st Floor</t>
  </si>
  <si>
    <t>508 Central Ave - 1st Floor</t>
  </si>
  <si>
    <t>Training Space - Lab FOC</t>
  </si>
  <si>
    <t>506 Central Ave - 2nd Floor</t>
  </si>
  <si>
    <t>2nd Floor</t>
  </si>
  <si>
    <t xml:space="preserve"> Conference Room</t>
  </si>
  <si>
    <t>Training Space - Lab Youth</t>
  </si>
  <si>
    <t>506 Central Ave - 3rd Floor</t>
  </si>
  <si>
    <t>3rd Floor</t>
  </si>
  <si>
    <t>Opportunity Corp</t>
  </si>
  <si>
    <t>Wells Fargo</t>
  </si>
  <si>
    <t>Human Resources</t>
  </si>
  <si>
    <t>COO</t>
  </si>
  <si>
    <t>USJP</t>
  </si>
  <si>
    <t>508 Central Ave - 2nd Floor</t>
  </si>
  <si>
    <t>ESG Housing</t>
  </si>
  <si>
    <t>509 Central Ave - 1st Floor</t>
  </si>
  <si>
    <t>Coding</t>
  </si>
  <si>
    <t>NRTC</t>
  </si>
  <si>
    <t>CEO</t>
  </si>
  <si>
    <t>CFO</t>
  </si>
  <si>
    <t>Development</t>
  </si>
  <si>
    <t>IT Support</t>
  </si>
  <si>
    <t>Thriftworks</t>
  </si>
  <si>
    <t>509 513 Central Ave</t>
  </si>
  <si>
    <t>513 Central Ave</t>
  </si>
  <si>
    <t>755 So Orange Ave</t>
  </si>
  <si>
    <t>Total Direct Charges</t>
  </si>
  <si>
    <t>Cost Allocations - January</t>
  </si>
  <si>
    <t>Abbott - Other</t>
  </si>
  <si>
    <t>EHS - Toddlers</t>
  </si>
  <si>
    <t>Admin- CEO</t>
  </si>
  <si>
    <t>Admin- CFO</t>
  </si>
  <si>
    <t>Admin- COO</t>
  </si>
  <si>
    <t>Fundraising</t>
  </si>
  <si>
    <t>NRTC 19</t>
  </si>
  <si>
    <t>Workforce UA</t>
  </si>
  <si>
    <t>Pru -Workforce</t>
  </si>
  <si>
    <t>Housing  ESG</t>
  </si>
  <si>
    <t>NRTC20</t>
  </si>
  <si>
    <t>CDBG</t>
  </si>
  <si>
    <t>PARS</t>
  </si>
  <si>
    <t>Save UP2</t>
  </si>
  <si>
    <t>LISC 2020</t>
  </si>
  <si>
    <t>PRU -FOC</t>
  </si>
  <si>
    <t>NRTC 18 Housing</t>
  </si>
  <si>
    <t>NRTC 18 FOC</t>
  </si>
  <si>
    <t>Work Comp</t>
  </si>
  <si>
    <t>O41</t>
  </si>
  <si>
    <t>111A</t>
  </si>
  <si>
    <t>111B</t>
  </si>
  <si>
    <t>Abbott - Fees</t>
  </si>
  <si>
    <t>334H</t>
  </si>
  <si>
    <t>334F</t>
  </si>
  <si>
    <t>Total Salaries and Wages</t>
  </si>
  <si>
    <t>Donor</t>
  </si>
  <si>
    <t>From Class 950</t>
  </si>
  <si>
    <t>041 Social Enterprise- Thrift</t>
  </si>
  <si>
    <t>111 Abbott</t>
  </si>
  <si>
    <t>111A Abbott Other</t>
  </si>
  <si>
    <t>111B Wrap Fees</t>
  </si>
  <si>
    <t>112.1 Toddlers</t>
  </si>
  <si>
    <t>451 USJP Program</t>
  </si>
  <si>
    <t>467 WorkForceUA</t>
  </si>
  <si>
    <t>454 Pru - Workforce</t>
  </si>
  <si>
    <t>452 PACE</t>
  </si>
  <si>
    <t>502 ESG Housing Asst Program</t>
  </si>
  <si>
    <t>334 NRTC 2018 Grant</t>
  </si>
  <si>
    <t>341 NRTC 2020</t>
  </si>
  <si>
    <t>525 CDBG - Housing</t>
  </si>
  <si>
    <t>515 NUL HUD PARS</t>
  </si>
  <si>
    <t>560 Capital 1 SaveUp</t>
  </si>
  <si>
    <t>562 LISC FOC 2020</t>
  </si>
  <si>
    <t>563 Pru - FOC</t>
  </si>
  <si>
    <t>334F FOC</t>
  </si>
  <si>
    <t>335 NRTC 19</t>
  </si>
  <si>
    <t>220 Coding</t>
  </si>
  <si>
    <t>368 WF Neigh Revit</t>
  </si>
  <si>
    <t>610 CEO</t>
  </si>
  <si>
    <t>620 CFO</t>
  </si>
  <si>
    <t>630 COO</t>
  </si>
  <si>
    <t>700 Fundraising</t>
  </si>
  <si>
    <t>339 ULEC Opport Corp</t>
  </si>
  <si>
    <t>Class</t>
  </si>
  <si>
    <t>Private Pay</t>
  </si>
  <si>
    <t>Newark Public Schools (Abbott)</t>
  </si>
  <si>
    <t>CITI / NUL/PNC</t>
  </si>
  <si>
    <t>United Airlines, Inc.</t>
  </si>
  <si>
    <t>The Prudential Foundation</t>
  </si>
  <si>
    <t>State of NJ -PACE</t>
  </si>
  <si>
    <t>City of Newark-Home</t>
  </si>
  <si>
    <t>State of NJ NRTC - 2018</t>
  </si>
  <si>
    <t>City of Irvington CDBG</t>
  </si>
  <si>
    <t>Capital One 1</t>
  </si>
  <si>
    <t>LISC-HUD FOC</t>
  </si>
  <si>
    <t>State of NJ NRTC - 2019</t>
  </si>
  <si>
    <t>DCA- Coding Program</t>
  </si>
  <si>
    <t>Wells Fargo Regional Foundation</t>
  </si>
  <si>
    <t>Victoria Hernandez</t>
  </si>
  <si>
    <t>Salaries from P/L</t>
  </si>
  <si>
    <t>Cost from class 950</t>
  </si>
  <si>
    <t>URBAN LEAGUE OF ESSEX COUNTY</t>
  </si>
  <si>
    <t>Profit and Loss Detail</t>
  </si>
  <si>
    <t>Date</t>
  </si>
  <si>
    <t>Transaction Type</t>
  </si>
  <si>
    <t>Num</t>
  </si>
  <si>
    <t>Name</t>
  </si>
  <si>
    <t>Location</t>
  </si>
  <si>
    <t>Memo/Description</t>
  </si>
  <si>
    <t>Split</t>
  </si>
  <si>
    <t>Amount</t>
  </si>
  <si>
    <t>Balance</t>
  </si>
  <si>
    <t>Ordinary Income/Expenses</t>
  </si>
  <si>
    <t xml:space="preserve">   Income</t>
  </si>
  <si>
    <t xml:space="preserve">      4000 Revenue from Direct Contributions</t>
  </si>
  <si>
    <t>Journal Entry</t>
  </si>
  <si>
    <t>-Split-</t>
  </si>
  <si>
    <t xml:space="preserve">         4015 Foundation Contributions</t>
  </si>
  <si>
    <t>460 IHOP - FD</t>
  </si>
  <si>
    <t>600 Admin:610 CEO</t>
  </si>
  <si>
    <t>Monthly Alloc</t>
  </si>
  <si>
    <t>03/11/2020</t>
  </si>
  <si>
    <t xml:space="preserve">            Total for 4018 Victoria Foundation</t>
  </si>
  <si>
    <t>Invoice</t>
  </si>
  <si>
    <t>1100 Accounts/ Contributions Receivable</t>
  </si>
  <si>
    <t>Deposit</t>
  </si>
  <si>
    <t>600 Admin</t>
  </si>
  <si>
    <t>1010 Cash:Checking Active:Bank of America:BOA Operating Acct 3973</t>
  </si>
  <si>
    <t>573 VITA Tax Prep</t>
  </si>
  <si>
    <t xml:space="preserve">      Total for 4000 Revenue from Direct Contributions</t>
  </si>
  <si>
    <t xml:space="preserve">      4500 Revenue from Government Grants</t>
  </si>
  <si>
    <t xml:space="preserve">         4530 State Grants</t>
  </si>
  <si>
    <t>Grants/Contracts:DCA- Coding Program</t>
  </si>
  <si>
    <t>00 Admin</t>
  </si>
  <si>
    <t>222 Coding Program</t>
  </si>
  <si>
    <t>508 Central Avenue</t>
  </si>
  <si>
    <t>03/06/2020</t>
  </si>
  <si>
    <t>Grants/Contracts:City of Newark-Home</t>
  </si>
  <si>
    <t>332 City Home Grant</t>
  </si>
  <si>
    <t>Amount due as of March 2020</t>
  </si>
  <si>
    <t>03/15/2020</t>
  </si>
  <si>
    <t>DCF Coding for March</t>
  </si>
  <si>
    <t>03/24/2020</t>
  </si>
  <si>
    <t>Grants/Contracts:NRTC:State of N.J. -NRTC 2016</t>
  </si>
  <si>
    <t>02 Phase 1 - 6 Homes:228 Fairmount Ave</t>
  </si>
  <si>
    <t>331 NRTC 2016 Project</t>
  </si>
  <si>
    <t>Share of progress billing with LISC and Home</t>
  </si>
  <si>
    <t xml:space="preserve">            Total for 4530 State Grants</t>
  </si>
  <si>
    <t>369 PSEG Devel</t>
  </si>
  <si>
    <t xml:space="preserve">            4537.1 Abbott FYE 19-20</t>
  </si>
  <si>
    <t>Grants/Contracts:Newark Public Schools (Abbott)</t>
  </si>
  <si>
    <t>03/01/2020</t>
  </si>
  <si>
    <t>Amount Due for March 2020 Abbott Program</t>
  </si>
  <si>
    <t xml:space="preserve">            Total for 4537.1 Abbott FYE 19-20</t>
  </si>
  <si>
    <t xml:space="preserve">         Total for 4530 State Grants with sub-accounts</t>
  </si>
  <si>
    <t xml:space="preserve">      5100 Revenue from Sales &amp; Fees</t>
  </si>
  <si>
    <t xml:space="preserve">         5130 Co-Pay Fees</t>
  </si>
  <si>
    <t>PARENTS</t>
  </si>
  <si>
    <t>03/02/2020</t>
  </si>
  <si>
    <t>Toddler Fees from Nyla Moss &amp; Ivori Solomon                        20-03-10</t>
  </si>
  <si>
    <t>Toddler fees for King Blanding                                                 20-03-09</t>
  </si>
  <si>
    <t>03/09/2020</t>
  </si>
  <si>
    <t>Co-Pay Toddler - for Sarannah Friz                                                       20-03-23</t>
  </si>
  <si>
    <t xml:space="preserve">         Total for 5130 Co-Pay Fees</t>
  </si>
  <si>
    <t xml:space="preserve">         5131 Wrap Fees</t>
  </si>
  <si>
    <t>Wrap Fees from Josiah Ward                                                         20-03-10</t>
  </si>
  <si>
    <t>03/03/2020</t>
  </si>
  <si>
    <t>Wrap around fees from Jacquelyn White                                    20-03-10</t>
  </si>
  <si>
    <t>Wrap around Fee for Zamil Honse                                              20-03-09</t>
  </si>
  <si>
    <t xml:space="preserve">         Total for 5131 Wrap Fees</t>
  </si>
  <si>
    <t xml:space="preserve">         5132 Private Pay Fees</t>
  </si>
  <si>
    <t>03/05/2020</t>
  </si>
  <si>
    <t>Payment for Kalani Hollinger                                              20-03-08</t>
  </si>
  <si>
    <t>Private Pay - Toddler for Emmanuel IObeghulem                                20-03-23</t>
  </si>
  <si>
    <t>03/13/2020</t>
  </si>
  <si>
    <t>Private Pay for Alexander Portillo - Toddler Class                            20-03-27</t>
  </si>
  <si>
    <t xml:space="preserve">         Total for 5132 Private Pay Fees</t>
  </si>
  <si>
    <t xml:space="preserve">         5190 Misc Earned Revenue</t>
  </si>
  <si>
    <t xml:space="preserve">            5191 BOA Rewards</t>
  </si>
  <si>
    <t>700 Fundraising:750  General Fundraising</t>
  </si>
  <si>
    <t>BANK OF AMERICA</t>
  </si>
  <si>
    <t>Cash Rewards - BOA                                                         20-03-02</t>
  </si>
  <si>
    <t>03/10/2020</t>
  </si>
  <si>
    <t>BOA Rewards                                                                         20-03-21</t>
  </si>
  <si>
    <t xml:space="preserve">            Total for 5191 BOA Rewards</t>
  </si>
  <si>
    <t xml:space="preserve">         Total for 5190 Misc Earned Revenue</t>
  </si>
  <si>
    <t xml:space="preserve">      Total for 5100 Revenue from Sales &amp; Fees</t>
  </si>
  <si>
    <t xml:space="preserve">      5400 Revenue from Other Sources</t>
  </si>
  <si>
    <t>Paycom Payroll, LLC</t>
  </si>
  <si>
    <t xml:space="preserve">         5490 Misc Revenue</t>
  </si>
  <si>
    <t>Local Initiatives Support Corp.</t>
  </si>
  <si>
    <t xml:space="preserve">            5492 Donations</t>
  </si>
  <si>
    <t>761  GALA 2019</t>
  </si>
  <si>
    <t>Stripe.com</t>
  </si>
  <si>
    <t>Donation From Roger Stewart                                                                        20-03-26</t>
  </si>
  <si>
    <t>03/16/2020</t>
  </si>
  <si>
    <t>Frontstream</t>
  </si>
  <si>
    <t>Donation                                                                                          20-03-13</t>
  </si>
  <si>
    <t>The Greater Newark Holiday Fund</t>
  </si>
  <si>
    <t>Donation                                                                      20-03-05</t>
  </si>
  <si>
    <t>Burwell Capital Development</t>
  </si>
  <si>
    <t>Donation                                                                                    20-03-06</t>
  </si>
  <si>
    <t>03/25/2020</t>
  </si>
  <si>
    <t>Online Donation</t>
  </si>
  <si>
    <t>03/26/2020</t>
  </si>
  <si>
    <t xml:space="preserve">               Total for 5492 Donations</t>
  </si>
  <si>
    <t xml:space="preserve">               5493 Board Donation</t>
  </si>
  <si>
    <t>712 Board Donations</t>
  </si>
  <si>
    <t>03/04/2020</t>
  </si>
  <si>
    <t>Annie  Sneed-Godfrey</t>
  </si>
  <si>
    <t>2020 Board Donation</t>
  </si>
  <si>
    <t>03/17/2020</t>
  </si>
  <si>
    <t>Robert Ross</t>
  </si>
  <si>
    <t>2020 Board Donation                                                                  20-03-28</t>
  </si>
  <si>
    <t>2020 Board Membership</t>
  </si>
  <si>
    <t>03/27/2020</t>
  </si>
  <si>
    <t xml:space="preserve">               Total for 5493 Board Donation</t>
  </si>
  <si>
    <t xml:space="preserve">            Total for 5492 Donations with sub-accounts</t>
  </si>
  <si>
    <t xml:space="preserve">      5800 Special Events</t>
  </si>
  <si>
    <t xml:space="preserve">         5820 Special Events - Gift Revenue</t>
  </si>
  <si>
    <t xml:space="preserve">            5821 Gala Ads</t>
  </si>
  <si>
    <t>investors Bank</t>
  </si>
  <si>
    <t>ULEC Gala - Quarter page Corp AD                         20-02-80</t>
  </si>
  <si>
    <t>Peapack-Gladstone Bank</t>
  </si>
  <si>
    <t>ULEC Gala - Quarter Page Corp Ad                          20-03-20</t>
  </si>
  <si>
    <t>Esusu Financial, Inc.</t>
  </si>
  <si>
    <t>ULEC Gala - Full Page Small Business Ad                                          20-03-16</t>
  </si>
  <si>
    <t xml:space="preserve">            Total for 5821 Gala Ads</t>
  </si>
  <si>
    <t xml:space="preserve">            5822 Gala Tickes</t>
  </si>
  <si>
    <t>ULEC Gala - 3 Tickets                                                     20-02-80</t>
  </si>
  <si>
    <t>Refund</t>
  </si>
  <si>
    <t>Erica Cabera</t>
  </si>
  <si>
    <t>Refund issued to Victoria Hernandez, tickets purchased by Erica Cabrera on Eventcreate in February 2020 Deposit # 20-02-49</t>
  </si>
  <si>
    <t>ULEC Gala - 10 Tickets                                                   20-03-20</t>
  </si>
  <si>
    <t>Clara Maass Medical Center</t>
  </si>
  <si>
    <t>ULEC Gala - 2 Tickets                                                         20-03-24</t>
  </si>
  <si>
    <t xml:space="preserve">            Total for 5822 Gala Tickes</t>
  </si>
  <si>
    <t>Nationwide Pest Management</t>
  </si>
  <si>
    <t>Anthony Clark</t>
  </si>
  <si>
    <t xml:space="preserve">         Total for 5820 Special Events - Gift Revenue</t>
  </si>
  <si>
    <t xml:space="preserve">      Total for 5800 Special Events</t>
  </si>
  <si>
    <t xml:space="preserve">   Total for Income</t>
  </si>
  <si>
    <t xml:space="preserve">   Expenses</t>
  </si>
  <si>
    <t xml:space="preserve">      7100 Participant Salaries &amp; Wages</t>
  </si>
  <si>
    <t xml:space="preserve">         7112 Participant Wages - USJP</t>
  </si>
  <si>
    <t xml:space="preserve">            7112.1 USJP Manual Checks</t>
  </si>
  <si>
    <t>Check</t>
  </si>
  <si>
    <t>Bill</t>
  </si>
  <si>
    <t>2000 Accounts Payable</t>
  </si>
  <si>
    <t>03.01.20DO</t>
  </si>
  <si>
    <t>Deborah Ore</t>
  </si>
  <si>
    <t>Net Pay for Retroactive increase for January 1 - February 12, 2020 from $11 per hour to $12.10 per hour</t>
  </si>
  <si>
    <t>03/12/2020</t>
  </si>
  <si>
    <t>Overpayment for check issued to Ms. Deborah Ore on 03/01/20         20-03-25</t>
  </si>
  <si>
    <t xml:space="preserve">            Total for 7112.1 USJP Manual Checks</t>
  </si>
  <si>
    <t xml:space="preserve">         7132 Payroll Expenses - Fees</t>
  </si>
  <si>
    <t>0WF9101SA</t>
  </si>
  <si>
    <t>Paycom</t>
  </si>
  <si>
    <t>506 Central Ave</t>
  </si>
  <si>
    <t>Closed Americorps - 0WF91</t>
  </si>
  <si>
    <t xml:space="preserve">         Total for 7132 Payroll Expenses - Fees</t>
  </si>
  <si>
    <t xml:space="preserve">      Total for 7100 Participant Salaries &amp; Wages</t>
  </si>
  <si>
    <t xml:space="preserve">      7200 Salaries &amp; Related Expenses</t>
  </si>
  <si>
    <t xml:space="preserve">         7220 Salaries &amp; Wages</t>
  </si>
  <si>
    <t>950 Allocated Cost</t>
  </si>
  <si>
    <t xml:space="preserve">            7221 Directors</t>
  </si>
  <si>
    <t xml:space="preserve">               7221a Executive Director</t>
  </si>
  <si>
    <t>FRASER, VIVIAN COX Payroll Period 02/16/20 � 02/29/20</t>
  </si>
  <si>
    <t>03/20/2020</t>
  </si>
  <si>
    <t>FRASER, VIVIAN COX Payroll Period 03/01/20 � 03/14/20</t>
  </si>
  <si>
    <t xml:space="preserve">               Total for 7221a Executive Director</t>
  </si>
  <si>
    <t xml:space="preserve">               7221b Chief Admin Officer</t>
  </si>
  <si>
    <t>SHARIF, DARRIN S Payroll Period 02/16/20 � 02/29/20</t>
  </si>
  <si>
    <t>SHARIF, DARRIN S Payroll Period 03/01/20 � 03/14/20</t>
  </si>
  <si>
    <t xml:space="preserve">               Total for 7221b Chief Admin Officer</t>
  </si>
  <si>
    <t xml:space="preserve">               7221c Director of Operations COO</t>
  </si>
  <si>
    <t>SERMON, PATRICIA Payroll Period 02/16/20 � 02/29/20</t>
  </si>
  <si>
    <t>SERMON, PATRICIA Payroll Period 03/01/20 � 03/14/20</t>
  </si>
  <si>
    <t xml:space="preserve">               Total for 7221c Director of Operations COO</t>
  </si>
  <si>
    <t xml:space="preserve">               7221e Director of Finance</t>
  </si>
  <si>
    <t>600 Admin:620 CFO</t>
  </si>
  <si>
    <t>WARD, RICHARD G Payroll Period 02/16/20 � 02/29/20</t>
  </si>
  <si>
    <t>WARD, RICHARD G Payroll Period 03/01/20 � 03/14/20</t>
  </si>
  <si>
    <t xml:space="preserve">               Total for 7221e Director of Finance</t>
  </si>
  <si>
    <t xml:space="preserve">               7221g Program Director - Education</t>
  </si>
  <si>
    <t>DANCE-WILSON, HEATHER Payroll Period 02/16/20 � 02/29/20</t>
  </si>
  <si>
    <t>MORRIS, GWENDOLYN J Payroll Period 03/01/20 � 03/14/20</t>
  </si>
  <si>
    <t>DANCE-WILSON, HEATHER Payroll Period 03/01/20 � 03/14/20</t>
  </si>
  <si>
    <t xml:space="preserve">               Total for 7221g Program Director - Education</t>
  </si>
  <si>
    <t xml:space="preserve">               7221h Program Director - USJP</t>
  </si>
  <si>
    <t>MORRIS, GWENDOLYN J Payroll Period 02/16/20 � 02/29/20</t>
  </si>
  <si>
    <t xml:space="preserve">               Total for 7221h Program Director - USJP</t>
  </si>
  <si>
    <t xml:space="preserve">            Total for 7221 Directors</t>
  </si>
  <si>
    <t xml:space="preserve">            7222 Staff</t>
  </si>
  <si>
    <t>111F Food Program</t>
  </si>
  <si>
    <t xml:space="preserve">               7222c Custodian</t>
  </si>
  <si>
    <t>BENNETT, PATRICIA A Payroll Period 02/16/20 � 02/29/20</t>
  </si>
  <si>
    <t>BENNETT, PATRICIA A Payroll Period 03/01/20 � 03/14/20</t>
  </si>
  <si>
    <t xml:space="preserve">               Total for 7222c Custodian</t>
  </si>
  <si>
    <t xml:space="preserve">               7222d Community Organizer</t>
  </si>
  <si>
    <t>MCDANIEL, CURTIS J Payroll Period 02/16/20 � 02/29/20</t>
  </si>
  <si>
    <t>MCDANIEL, CURTIS J Payroll Period 03/01/20 � 03/14/20</t>
  </si>
  <si>
    <t xml:space="preserve">               Total for 7222d Community Organizer</t>
  </si>
  <si>
    <t xml:space="preserve">               7222e Family Worker</t>
  </si>
  <si>
    <t>MCMILLIAN, Daphne L. Payroll Period 03/01/20 � 03/14/20</t>
  </si>
  <si>
    <t xml:space="preserve">               Total for 7222e Family Worker</t>
  </si>
  <si>
    <t xml:space="preserve">               7222f Food Worker</t>
  </si>
  <si>
    <t>TYLER, PATRICIA Payroll Period 02/16/20 � 02/29/20</t>
  </si>
  <si>
    <t>TYLER, PATRICIA Payroll Period 03/01/20 � 03/14/20</t>
  </si>
  <si>
    <t xml:space="preserve">               Total for 7222f Food Worker</t>
  </si>
  <si>
    <t xml:space="preserve">               7222g Security Guard</t>
  </si>
  <si>
    <t>ANDREWS, CORA Payroll Period 02/16/20 � 02/29/20</t>
  </si>
  <si>
    <t>ANDREWS, CORA Payroll Period 03/01/20 � 03/14/20</t>
  </si>
  <si>
    <t xml:space="preserve">               Total for 7222g Security Guard</t>
  </si>
  <si>
    <t xml:space="preserve">               7222h Teacher</t>
  </si>
  <si>
    <t>SIMMONS, BERTRILLA RENEE Payroll Period 02/16/20 � 02/29/20</t>
  </si>
  <si>
    <t>FITZPATRICK, CYNTHIA ELAINE Payroll Period 02/16/20 � 02/29/20</t>
  </si>
  <si>
    <t>GREEN, YOLANDA Payroll Period 02/16/20 � 02/29/20</t>
  </si>
  <si>
    <t>Mitchell, Felicia Payroll Period 02/16/20 � 02/29/20</t>
  </si>
  <si>
    <t>Abbott Payroll Period 02/16/20 � 02/29/20</t>
  </si>
  <si>
    <t>GREEN, YOLANDA Payroll Period 03/01/20 � 03/14/20</t>
  </si>
  <si>
    <t>Abbott Payroll Period 03/01/20 � 03/14/20</t>
  </si>
  <si>
    <t>Mitchell, Felicia Payroll Period 03/01/20 � 03/14/20</t>
  </si>
  <si>
    <t>SIMMONS, BERTRILLA RENEE Payroll Period 03/01/20 � 03/14/20</t>
  </si>
  <si>
    <t>FITZPATRICK, CYNTHIA ELAINE Payroll Period 03/01/20 � 03/14/20</t>
  </si>
  <si>
    <t xml:space="preserve">               Total for 7222h Teacher</t>
  </si>
  <si>
    <t xml:space="preserve">               7222j Program Coordinator</t>
  </si>
  <si>
    <t>LOVE, CHARLES F Payroll Period 02/16/20 � 02/29/20</t>
  </si>
  <si>
    <t>LOVE, CHARLES F Payroll Period 03/01/20 � 03/14/20</t>
  </si>
  <si>
    <t xml:space="preserve">               Total for 7222j Program Coordinator</t>
  </si>
  <si>
    <t xml:space="preserve">               7222l Housing Counselor</t>
  </si>
  <si>
    <t>334H Housing</t>
  </si>
  <si>
    <t>LINDSEY, VICTORIA A Payroll Period 02/16/20 � 02/29/20</t>
  </si>
  <si>
    <t>Guerra, Karime Payroll Period 02/16/20 � 02/29/20</t>
  </si>
  <si>
    <t>Guerra, Karime Payroll Period 03/01/20 � 03/14/20</t>
  </si>
  <si>
    <t>LINDSEY, VICTORIA A Payroll Period 03/01/20 � 03/14/20</t>
  </si>
  <si>
    <t xml:space="preserve">               Total for 7222l Housing Counselor</t>
  </si>
  <si>
    <t xml:space="preserve">               7222o Wrap Around Coordinator</t>
  </si>
  <si>
    <t>WOODRIDGE, ROSALIND Payroll Period 02/16/20 � 02/29/20</t>
  </si>
  <si>
    <t>BROWN, DENYSE Payroll Period 02/16/20 � 02/29/20</t>
  </si>
  <si>
    <t>BROWN, DENYSE Payroll Period 03/01/20 � 03/14/20</t>
  </si>
  <si>
    <t>WOODRIDGE, ROSALIND Payroll Period 03/01/20 � 03/14/20</t>
  </si>
  <si>
    <t xml:space="preserve">               Total for 7222o Wrap Around Coordinator</t>
  </si>
  <si>
    <t xml:space="preserve">               7222TA Teacher Assistants</t>
  </si>
  <si>
    <t>LOFTIN, NIQUITA Payroll Period 02/16/20 � 02/29/20</t>
  </si>
  <si>
    <t>BRYANT, RONI Payroll Period 02/16/20 � 02/29/20</t>
  </si>
  <si>
    <t>STEWART, ROBIN D Payroll Period 02/16/20 � 02/29/20</t>
  </si>
  <si>
    <t>BRYANT, RONI Payroll Period 03/01/20 � 03/14/20</t>
  </si>
  <si>
    <t>STEWART, ROBIN D Payroll Period 03/01/20 � 03/14/20</t>
  </si>
  <si>
    <t xml:space="preserve">               Total for 7222TA Teacher Assistants</t>
  </si>
  <si>
    <t xml:space="preserve">            7224a Site Coordinator IC</t>
  </si>
  <si>
    <t>LEAKE, RAHMEL Payroll Period 02/16/20 � 02/29/20</t>
  </si>
  <si>
    <t>CERNA, IRENE Payroll Period 02/16/20 � 02/29/20</t>
  </si>
  <si>
    <t>JOHNSON, ARMANDA Payroll Period 02/16/20 � 02/29/20</t>
  </si>
  <si>
    <t>CERNA, IRENE Payroll Period 03/01/20 � 03/14/20</t>
  </si>
  <si>
    <t>LEAKE, RAHMEL Payroll Period 03/01/20 � 03/14/20</t>
  </si>
  <si>
    <t>JOHNSON, ARMANDA Payroll Period 03/01/20 � 03/14/20</t>
  </si>
  <si>
    <t xml:space="preserve">            Total for 7224a Site Coordinator IC</t>
  </si>
  <si>
    <t xml:space="preserve">            7224C J Payroll Coordinator</t>
  </si>
  <si>
    <t>MARTINEZ, Joanna Payroll Period 02/16/20 � 02/29/20</t>
  </si>
  <si>
    <t>MARTINEZ, Joanna Payroll Period 03/01/20 � 03/14/20</t>
  </si>
  <si>
    <t xml:space="preserve">            Total for 7224C J Payroll Coordinator</t>
  </si>
  <si>
    <t xml:space="preserve">            7225 VP - Workforce</t>
  </si>
  <si>
    <t>FRAZIER, ALICE Payroll Period 02/16/20 � 02/29/20</t>
  </si>
  <si>
    <t>FRAZIER, ALICE Payroll Period 03/01/20 � 03/14/20</t>
  </si>
  <si>
    <t xml:space="preserve">            Total for 7225 VP - Workforce</t>
  </si>
  <si>
    <t xml:space="preserve">            7226 Business Developer</t>
  </si>
  <si>
    <t>HOWARD, THERESA M Payroll Period 02/16/20 � 02/29/20</t>
  </si>
  <si>
    <t>HOWARD, THERESA M Payroll Period 03/01/20 � 03/14/20</t>
  </si>
  <si>
    <t xml:space="preserve">            Total for 7226 Business Developer</t>
  </si>
  <si>
    <t xml:space="preserve">            7227 Career Coach</t>
  </si>
  <si>
    <t>WILLIAMS, KYNEISHA Payroll Period 02/16/20 � 02/29/20</t>
  </si>
  <si>
    <t>WILLIAMS, KYNEISHA Payroll Period 03/01/20 � 03/14/20</t>
  </si>
  <si>
    <t xml:space="preserve">            Total for 7227 Career Coach</t>
  </si>
  <si>
    <t xml:space="preserve">         7240 Employee Benefits</t>
  </si>
  <si>
    <t xml:space="preserve">            7241 Health Insurance</t>
  </si>
  <si>
    <t>Horizon Blue Cross Blue Shield of NJ</t>
  </si>
  <si>
    <t>V Lindsey &amp; K. Guerra  Health Insurance      03/15/20 - 04/15/20</t>
  </si>
  <si>
    <t>V Lindsey &amp; K. Guerra  Health Insurance    03/15/20 - 04/15/20</t>
  </si>
  <si>
    <t>Pat Sermon Health Insurance 03/15/20 - 04/15/20</t>
  </si>
  <si>
    <t>D Sharif &amp; G Ward Health Insurance     03/15/20 - 04/15/20</t>
  </si>
  <si>
    <t>To record Horizon Exp. Billing Period    03/15/20 - 04/15/20</t>
  </si>
  <si>
    <t>Martinez &amp; Ward     Health Insurance     03/15/20 - 04/15/20</t>
  </si>
  <si>
    <t>To record Horizon Exp. Billing Period     03/15/20 - 04/15/20</t>
  </si>
  <si>
    <t>To record Horizon Exp. Billing Period       03/15/20 - 04/15/20</t>
  </si>
  <si>
    <t>To record Horizon Exp. Billing Period   03/15/20 - 04/15/20</t>
  </si>
  <si>
    <t>D Sharif &amp; D McDaniel  Health Insurance           03/15/20 - 04/15/20</t>
  </si>
  <si>
    <t xml:space="preserve">            Total for 7241 Health Insurance</t>
  </si>
  <si>
    <t xml:space="preserve">            7242 Life and Dental Insurance</t>
  </si>
  <si>
    <t>Principal Financial Group</t>
  </si>
  <si>
    <t>Life, Dental &amp; AD&amp;D</t>
  </si>
  <si>
    <t>Life, Dental &amp; AD&amp;D - FOC</t>
  </si>
  <si>
    <t>03.01.20PL</t>
  </si>
  <si>
    <t xml:space="preserve">            Total for 7242 Life and Dental Insurance</t>
  </si>
  <si>
    <t xml:space="preserve">         Total for 7240 Employee Benefits</t>
  </si>
  <si>
    <t xml:space="preserve">         7250 Payroll Taxes, etc.</t>
  </si>
  <si>
    <t xml:space="preserve">            7251 Social Security</t>
  </si>
  <si>
    <t xml:space="preserve">            Total for 7251 Social Security</t>
  </si>
  <si>
    <t xml:space="preserve">         Total for 7250 Payroll Taxes, etc.</t>
  </si>
  <si>
    <t xml:space="preserve">      Total for 7200 Salaries &amp; Related Expenses</t>
  </si>
  <si>
    <t xml:space="preserve">      7500 Contract Service Expenses</t>
  </si>
  <si>
    <t xml:space="preserve">         7510 Fundraising fees</t>
  </si>
  <si>
    <t>Expense</t>
  </si>
  <si>
    <t>Hudson Ferris</t>
  </si>
  <si>
    <t>March Billing</t>
  </si>
  <si>
    <t xml:space="preserve">         Total for 7510 Fundraising fees</t>
  </si>
  <si>
    <t xml:space="preserve">         7515 IT Support</t>
  </si>
  <si>
    <t>Sharp Electronics Corporation</t>
  </si>
  <si>
    <t>9002639497</t>
  </si>
  <si>
    <t>Help Desk support/maintenance for March 2020</t>
  </si>
  <si>
    <t xml:space="preserve">         7520 Accounting Fees</t>
  </si>
  <si>
    <t>Floyd D Townsend</t>
  </si>
  <si>
    <t>Agee Associates, LLC</t>
  </si>
  <si>
    <t>Accounting Engagement Payment 3 of 3</t>
  </si>
  <si>
    <t>Accounting Services 03/02/20 - 03/12/20</t>
  </si>
  <si>
    <t>Accounting Consulting Services - 02/27/20 - 03/11/20</t>
  </si>
  <si>
    <t>Accounting Services 03/13/20 - 03/20/20</t>
  </si>
  <si>
    <t>Accounting Consulting Services - 03/12/20 - 03/24/20</t>
  </si>
  <si>
    <t xml:space="preserve">         7540 Instructors/Consultants/Subs</t>
  </si>
  <si>
    <t>Charles Love</t>
  </si>
  <si>
    <t>GJT ENTERPRISES LLC</t>
  </si>
  <si>
    <t>Keturah Muhammad</t>
  </si>
  <si>
    <t>ULEC01</t>
  </si>
  <si>
    <t>Renaissance Services, Inc.</t>
  </si>
  <si>
    <t>Newark Kids Code Recruitment</t>
  </si>
  <si>
    <t>03.06.20AC</t>
  </si>
  <si>
    <t>Business Development 03/02/20 - 03/06/20</t>
  </si>
  <si>
    <t>03.06.20CL</t>
  </si>
  <si>
    <t>Job Readiness Consultant -  02/24/20 - 03/06/20</t>
  </si>
  <si>
    <t>03.11.20GE</t>
  </si>
  <si>
    <t>VITA Tax Preparation 02/22/20 - 03/06/20</t>
  </si>
  <si>
    <t>03.11.20KM</t>
  </si>
  <si>
    <t>Vita Tax Prep.  02/24/20 - 03/06/20</t>
  </si>
  <si>
    <t>03.13.20AC</t>
  </si>
  <si>
    <t>Business Development 03/09/20 - 03/13/20</t>
  </si>
  <si>
    <t>03.13.20CL</t>
  </si>
  <si>
    <t>Job Readiness Consultant -  03/09/20 - 03/13/20</t>
  </si>
  <si>
    <t>03.17.20KM</t>
  </si>
  <si>
    <t>Vita Tax Prep.  03/10/20 and 03/17/20</t>
  </si>
  <si>
    <t>03/18/2020</t>
  </si>
  <si>
    <t>03.18.20GJ</t>
  </si>
  <si>
    <t>VITA Tax Preparation 03/10/20 - 03/18/20</t>
  </si>
  <si>
    <t>03.20.20AC</t>
  </si>
  <si>
    <t>Business Development 03/16/20 - 03/20/20</t>
  </si>
  <si>
    <t>12002A</t>
  </si>
  <si>
    <t>Walter Howard Jr.</t>
  </si>
  <si>
    <t>Payment issued by VCF</t>
  </si>
  <si>
    <t>12003A</t>
  </si>
  <si>
    <t>Cheryl Howard</t>
  </si>
  <si>
    <t xml:space="preserve">         Total for 7540 Instructors/Consultants/Subs</t>
  </si>
  <si>
    <t xml:space="preserve">         7560 Professional fees - other</t>
  </si>
  <si>
    <t>Julius Colon</t>
  </si>
  <si>
    <t>100 PSEG</t>
  </si>
  <si>
    <t>The Red Queen Group LLC</t>
  </si>
  <si>
    <t>05 NRTC 18:152 Littleton Ave</t>
  </si>
  <si>
    <t>Consulting Services Rendered on Real Estate Development Project PSE&amp;G Settlement. March  2020</t>
  </si>
  <si>
    <t>P19-026</t>
  </si>
  <si>
    <t>OCA Architects</t>
  </si>
  <si>
    <t>Conceptual Plan Design 3rd Payment</t>
  </si>
  <si>
    <t>WSM Associates</t>
  </si>
  <si>
    <t>06 NRTC 16:513 Central Ave</t>
  </si>
  <si>
    <t>Architectural Plans - Kitchen &amp; Bathroom Modifications - 513 Central Ave.</t>
  </si>
  <si>
    <t>950 - Strategic Planning Dashboard - Training 2.2.20</t>
  </si>
  <si>
    <t xml:space="preserve">         Total for 7560 Professional fees - other</t>
  </si>
  <si>
    <t xml:space="preserve">      Total for 7500 Contract Service Expenses</t>
  </si>
  <si>
    <t xml:space="preserve">      8100 Operating Expenses</t>
  </si>
  <si>
    <t xml:space="preserve">         8108 Program Supplies</t>
  </si>
  <si>
    <t>Staples Advantage</t>
  </si>
  <si>
    <t>Office Supplies</t>
  </si>
  <si>
    <t>03.10.20HWABBOTT</t>
  </si>
  <si>
    <t>Heather Wilson</t>
  </si>
  <si>
    <t>Program Supplies</t>
  </si>
  <si>
    <t xml:space="preserve">         Total for 8108 Program Supplies</t>
  </si>
  <si>
    <t xml:space="preserve">         8110 Supplies</t>
  </si>
  <si>
    <t>ReadyRefresh by Nestle</t>
  </si>
  <si>
    <t>Classroom/Office Supplies</t>
  </si>
  <si>
    <t>7304611986-0-2</t>
  </si>
  <si>
    <t>7304322776-0-1</t>
  </si>
  <si>
    <t>7304322765-0-2</t>
  </si>
  <si>
    <t>7305061504-0-1</t>
  </si>
  <si>
    <t>7304322765-0-1</t>
  </si>
  <si>
    <t>7305081749-0-1</t>
  </si>
  <si>
    <t>7304118418-0-2</t>
  </si>
  <si>
    <t>7304611986-0-1</t>
  </si>
  <si>
    <t>7304118418-0-1</t>
  </si>
  <si>
    <t>7304655214-0-1</t>
  </si>
  <si>
    <t>7305430686-0-2</t>
  </si>
  <si>
    <t>7305430686-0-1</t>
  </si>
  <si>
    <t>10C0429958465</t>
  </si>
  <si>
    <t>Water Delivery 02/13/20 - 03/12/20</t>
  </si>
  <si>
    <t xml:space="preserve">         8130 Telephone &amp; Telecommunications</t>
  </si>
  <si>
    <t xml:space="preserve">            8133 Verizon</t>
  </si>
  <si>
    <t>03.01.20VR</t>
  </si>
  <si>
    <t>Verizon</t>
  </si>
  <si>
    <t>Telephone Charges 01/23/20 - 03/10/20</t>
  </si>
  <si>
    <t xml:space="preserve">            Total for 8133 Verizon</t>
  </si>
  <si>
    <t xml:space="preserve">            8134 Optimum Services</t>
  </si>
  <si>
    <t>Optimum</t>
  </si>
  <si>
    <t>509 Central Ave</t>
  </si>
  <si>
    <t>03/08/2020</t>
  </si>
  <si>
    <t>03.08.20OPT</t>
  </si>
  <si>
    <t>Cable TV, Internet &amp; Phone - 03/08/20 - 04/07/20</t>
  </si>
  <si>
    <t xml:space="preserve">            Total for 8134 Optimum Services</t>
  </si>
  <si>
    <t xml:space="preserve">         Total for 8130 Telephone &amp; Telecommunications</t>
  </si>
  <si>
    <t xml:space="preserve">         8140 Postage &amp; Shipping</t>
  </si>
  <si>
    <t>FedEx</t>
  </si>
  <si>
    <t>6-943-17680</t>
  </si>
  <si>
    <t>NJ Dept Labor &amp; Workforce</t>
  </si>
  <si>
    <t>6-951-00338</t>
  </si>
  <si>
    <t>Document Delivery Service</t>
  </si>
  <si>
    <t xml:space="preserve">         8170 Printing &amp; Copying</t>
  </si>
  <si>
    <t>Business Development Consortium</t>
  </si>
  <si>
    <t>Enrollment Recruitment Flyer for Coding Program</t>
  </si>
  <si>
    <t>PRINTING DELITE INC</t>
  </si>
  <si>
    <t>05 NRTC 18:231 Fairmount Ave</t>
  </si>
  <si>
    <t>250 Gala Journal Books</t>
  </si>
  <si>
    <t xml:space="preserve">         Total for 8170 Printing &amp; Copying</t>
  </si>
  <si>
    <t xml:space="preserve">         8190 Internet/Web/Hosting Fees</t>
  </si>
  <si>
    <t>BOA Remote Deposit Monthly Fee</t>
  </si>
  <si>
    <t>03.06.20BOA</t>
  </si>
  <si>
    <t xml:space="preserve">         Total for 8190 Internet/Web/Hosting Fees</t>
  </si>
  <si>
    <t xml:space="preserve">      Total for 8100 Operating Expenses</t>
  </si>
  <si>
    <t xml:space="preserve">      8200 Facility &amp; Equipment Expenses</t>
  </si>
  <si>
    <t xml:space="preserve">         8205 Rent, Parking, Other Occupancy</t>
  </si>
  <si>
    <t>Center for Transformative Work</t>
  </si>
  <si>
    <t>New Community Corporation</t>
  </si>
  <si>
    <t>USJP - Rent Expense  March 2020</t>
  </si>
  <si>
    <t>03.01.20NC</t>
  </si>
  <si>
    <t>March 2020 Rent for Thrift Store</t>
  </si>
  <si>
    <t xml:space="preserve">         Total for 8205 Rent, Parking, Other Occupancy</t>
  </si>
  <si>
    <t xml:space="preserve">         8220 Equipment Rental, Repair &amp; Maintenance</t>
  </si>
  <si>
    <t>City Fire Equipment Co.</t>
  </si>
  <si>
    <t>Periodic Maintenance Annual Fire Extinguisher - 506 Central Ave.</t>
  </si>
  <si>
    <t xml:space="preserve">            Total for 8220 Equipment Rental, Repair &amp; Maintenance</t>
  </si>
  <si>
    <t xml:space="preserve">            8221 Copier Lease</t>
  </si>
  <si>
    <t>CIT</t>
  </si>
  <si>
    <t>Copier Lease - 508 Central Ave 900-0239284-000</t>
  </si>
  <si>
    <t>Copier Printer Lease - 508 Central Ave</t>
  </si>
  <si>
    <t>Printer Lease - Tech House - 152 Littleton Avenue - March 2020 Acct #900-0264269</t>
  </si>
  <si>
    <t xml:space="preserve">            Total for 8221 Copier Lease</t>
  </si>
  <si>
    <t xml:space="preserve">            8227 Equipment Rental</t>
  </si>
  <si>
    <t>Pitney Bowes</t>
  </si>
  <si>
    <t>3310769795</t>
  </si>
  <si>
    <t>Lease Invoice Billing Period 04/30/20 - 07/30/20</t>
  </si>
  <si>
    <t xml:space="preserve">            Total for 8227 Equipment Rental</t>
  </si>
  <si>
    <t xml:space="preserve">         Total for 8220 Equipment Rental, Repair &amp; Maintenance with sub-accounts</t>
  </si>
  <si>
    <t xml:space="preserve">         8230 Building Repair &amp; Maintenance</t>
  </si>
  <si>
    <t>Sampson Development Group, LLC</t>
  </si>
  <si>
    <t>Repairs &amp; Maintenance</t>
  </si>
  <si>
    <t xml:space="preserve">            Total for 8230 Building Repair &amp; Maintenance</t>
  </si>
  <si>
    <t xml:space="preserve">            8231 Alarm Services</t>
  </si>
  <si>
    <t>Effective Alarm</t>
  </si>
  <si>
    <t>508 Central Ave., Quarterly Monitoring/Fire Alarm 2nd Qtr 2020</t>
  </si>
  <si>
    <t>Quarterly Monitoring - 506 Central Ave., Existing Fire Alarm. 2nd Qtr 2020</t>
  </si>
  <si>
    <t>508 Central Ave., Quarterly Monitoring/ Intrusion / 2rd Qtr 2020</t>
  </si>
  <si>
    <t>504 Central Ave., Quarterly Monitoring/Fire Alarm  2nd Qtr</t>
  </si>
  <si>
    <t>950 - Quarterly Monitoring 504 Central Ave., Intrusion Alarm / 2nd Qtr 2020</t>
  </si>
  <si>
    <t>Pre-School Periodic Maintenance Fire Alarm System</t>
  </si>
  <si>
    <t>Pre-School Periodic Maintenance Kitchen Fire System</t>
  </si>
  <si>
    <t>Pre-School Periodic Maintenance inspection of Fire System</t>
  </si>
  <si>
    <t>Pre-School Periodic Maintenance Annual Wet Sprinkler System</t>
  </si>
  <si>
    <t xml:space="preserve">            Total for 8231 Alarm Services</t>
  </si>
  <si>
    <t xml:space="preserve">            8233 Trash Removal</t>
  </si>
  <si>
    <t>Cali Carting</t>
  </si>
  <si>
    <t>Dumping - Trash Removal Services - March 2020</t>
  </si>
  <si>
    <t>Commercial Trash Removal March 2020</t>
  </si>
  <si>
    <t xml:space="preserve">            Total for 8233 Trash Removal</t>
  </si>
  <si>
    <t xml:space="preserve">            8235 Exterminating</t>
  </si>
  <si>
    <t>Monthly Pest Control Services - March 2020</t>
  </si>
  <si>
    <t xml:space="preserve">            Total for 8235 Exterminating</t>
  </si>
  <si>
    <t xml:space="preserve">         Total for 8230 Building Repair &amp; Maintenance with sub-accounts</t>
  </si>
  <si>
    <t xml:space="preserve">         8250 Mortgage Interest Expense</t>
  </si>
  <si>
    <t>TD Bank, N.A.</t>
  </si>
  <si>
    <t>Mortgage Interest Payment for 508 Central Ave</t>
  </si>
  <si>
    <t>03.09.20_X9010</t>
  </si>
  <si>
    <t xml:space="preserve">      Total for 8200 Facility &amp; Equipment Expenses</t>
  </si>
  <si>
    <t xml:space="preserve">      8300 Travel &amp; Meetings Expenses</t>
  </si>
  <si>
    <t xml:space="preserve">         8310 Transportation &amp; Parking</t>
  </si>
  <si>
    <t>City of Paterson Parking Authority</t>
  </si>
  <si>
    <t>Gwendolyn Morris</t>
  </si>
  <si>
    <t>Parking Permit for March. 2020</t>
  </si>
  <si>
    <t>03/07/2020</t>
  </si>
  <si>
    <t>03/07.20GM</t>
  </si>
  <si>
    <t>Mileage Reimbursement 02/28/20 - 03/06/20</t>
  </si>
  <si>
    <t>03.09.20PW</t>
  </si>
  <si>
    <t>Pamela White</t>
  </si>
  <si>
    <t>Mileage Reimbursement for 02/24/20</t>
  </si>
  <si>
    <t>Transportation &amp; Parking</t>
  </si>
  <si>
    <t xml:space="preserve">         Total for 8310 Transportation &amp; Parking</t>
  </si>
  <si>
    <t xml:space="preserve">         8350 Conferences, Conventions, Meetings</t>
  </si>
  <si>
    <t>R1107</t>
  </si>
  <si>
    <t>New Jersey State Chamber of Commerce</t>
  </si>
  <si>
    <t>83rd Annual Walk to Washington and Congressional Dinner</t>
  </si>
  <si>
    <t>Conference, Meetings</t>
  </si>
  <si>
    <t xml:space="preserve">         Total for 8350 Conferences, Conventions, Meetings</t>
  </si>
  <si>
    <t xml:space="preserve">      Total for 8300 Travel &amp; Meetings Expenses</t>
  </si>
  <si>
    <t xml:space="preserve">      8400 Other Client Specific Expenses</t>
  </si>
  <si>
    <t xml:space="preserve">         8405 Classroom Materials &amp; Supplies</t>
  </si>
  <si>
    <t>Kaplan Early Learning Company</t>
  </si>
  <si>
    <t>03.10.20Toddler</t>
  </si>
  <si>
    <t>Supplies &amp; Activities</t>
  </si>
  <si>
    <t>Pre-school Classroom Supplies - Classroom 2RR</t>
  </si>
  <si>
    <t xml:space="preserve">         Total for 8405 Classroom Materials &amp; Supplies</t>
  </si>
  <si>
    <t xml:space="preserve">         8415 Community Service Project</t>
  </si>
  <si>
    <t>03/23/2020</t>
  </si>
  <si>
    <t>Community Food Bank of NJ</t>
  </si>
  <si>
    <t>Covid-19 Food Distribution</t>
  </si>
  <si>
    <t xml:space="preserve">         Total for 8415 Community Service Project</t>
  </si>
  <si>
    <t xml:space="preserve">         8430 Job Training</t>
  </si>
  <si>
    <t>NJ Guard Training</t>
  </si>
  <si>
    <t>Specialized Training for SORA License USJP Participants   03/04/20 - 03/05/20</t>
  </si>
  <si>
    <t>The Marilyn Center Limited Liability Company</t>
  </si>
  <si>
    <t>Specialized Training Chemical Dependency Associate</t>
  </si>
  <si>
    <t xml:space="preserve">         Total for 8430 Job Training</t>
  </si>
  <si>
    <t xml:space="preserve">         8445 Food &amp; Related Supplies</t>
  </si>
  <si>
    <t>Genuine Food Lab LLC</t>
  </si>
  <si>
    <t>Pre-School Meals for February 2020</t>
  </si>
  <si>
    <t xml:space="preserve">         Total for 8445 Food &amp; Related Supplies</t>
  </si>
  <si>
    <t xml:space="preserve">         8462 Client Stipends</t>
  </si>
  <si>
    <t>03.18.20TH</t>
  </si>
  <si>
    <t>Takiya Harris</t>
  </si>
  <si>
    <t>PACE Employment Stipend</t>
  </si>
  <si>
    <t xml:space="preserve">         Total for 8462 Client Stipends</t>
  </si>
  <si>
    <t xml:space="preserve">      8500 Other Expenses</t>
  </si>
  <si>
    <t xml:space="preserve">         8550 Bank fees</t>
  </si>
  <si>
    <t>BOA Credit Card Sales Merchant Fees: Abbott Wrap</t>
  </si>
  <si>
    <t>03.02.20ABBOTT</t>
  </si>
  <si>
    <t>Annie Sneed-Godfrey Stripe fees for Board donation on ulec.org</t>
  </si>
  <si>
    <t>Roger Stewart Stripe Fees for Donation.                                                     20-03-26</t>
  </si>
  <si>
    <t>2020 Board Donation                                                                20-03-28</t>
  </si>
  <si>
    <t>Nationbuilder fees for online doantions</t>
  </si>
  <si>
    <t>Online Donation Fee</t>
  </si>
  <si>
    <t>Nationbuilder fees</t>
  </si>
  <si>
    <t xml:space="preserve">         Total for 8550 Bank fees</t>
  </si>
  <si>
    <t xml:space="preserve">      8600 Housing Development</t>
  </si>
  <si>
    <t xml:space="preserve">         8602 Rehab of Existing Facility</t>
  </si>
  <si>
    <t>Empty Building Security</t>
  </si>
  <si>
    <t>04 ULEC Projects:479 So 14th St</t>
  </si>
  <si>
    <t>340 NHT:338 479-S14th Street-NHTF</t>
  </si>
  <si>
    <t>Construction Costs 479 S. 14th St: Completed spray foam &amp; bath insulation. Tile bathrooms &amp; kitchens</t>
  </si>
  <si>
    <t>Monthly Rental Fee for Building Security Doors &amp; Windows - 479 South 14th Street</t>
  </si>
  <si>
    <t>03.18.20NJRA</t>
  </si>
  <si>
    <t>New Jersey Redevelopment Authority</t>
  </si>
  <si>
    <t>Loan Application Fee - 513 Central Avenue</t>
  </si>
  <si>
    <t xml:space="preserve">         Total for 8602 Rehab of Existing Facility</t>
  </si>
  <si>
    <t xml:space="preserve">         8605 Holding Cost</t>
  </si>
  <si>
    <t xml:space="preserve">            8606.4 Interest Exp</t>
  </si>
  <si>
    <t>Interest on LOC Acct x9001 - 231 Fairmount Ave</t>
  </si>
  <si>
    <t>Mortgage Principal Payment for 508 Central Ave</t>
  </si>
  <si>
    <t>03.02.20_13517</t>
  </si>
  <si>
    <t>LISC Loan Interest for 513 Central Ave</t>
  </si>
  <si>
    <t>03.23.20_X9001</t>
  </si>
  <si>
    <t xml:space="preserve">            Total for 8606.4 Interest Exp</t>
  </si>
  <si>
    <t xml:space="preserve">         Total for 8605 Holding Cost</t>
  </si>
  <si>
    <t xml:space="preserve">      Total for 8600 Housing Development</t>
  </si>
  <si>
    <t xml:space="preserve">   Total for Expenses</t>
  </si>
  <si>
    <t>Net Income</t>
  </si>
  <si>
    <t>March 2020</t>
  </si>
  <si>
    <t xml:space="preserve">         Total for 4015 Foundation Contributions</t>
  </si>
  <si>
    <t xml:space="preserve">      Total for 4500 Revenue from Government Grants</t>
  </si>
  <si>
    <t xml:space="preserve">         Total for 5490 Misc Revenue</t>
  </si>
  <si>
    <t xml:space="preserve">      Total for 5400 Revenue from Other Sources</t>
  </si>
  <si>
    <t xml:space="preserve">         Total for 7112 Participant Wages - USJP</t>
  </si>
  <si>
    <t xml:space="preserve">            Total for 7222 Staff</t>
  </si>
  <si>
    <t xml:space="preserve">         Total for 7220 Salaries &amp; Wages</t>
  </si>
  <si>
    <t>03/31/2020</t>
  </si>
  <si>
    <t>03.31.20HF</t>
  </si>
  <si>
    <t>ULEC Gala - Final Payment</t>
  </si>
  <si>
    <t xml:space="preserve">         Total for 7515 IT Support</t>
  </si>
  <si>
    <t xml:space="preserve">         Total for 7520 Accounting Fees</t>
  </si>
  <si>
    <t xml:space="preserve">         Total for 8110 Supplies</t>
  </si>
  <si>
    <t xml:space="preserve">         Total for 8140 Postage &amp; Shipping</t>
  </si>
  <si>
    <t xml:space="preserve">         Total for 8250 Mortgage Interest Expense</t>
  </si>
  <si>
    <t xml:space="preserve">      Total for 8400 Other Client Specific Expenses</t>
  </si>
  <si>
    <t xml:space="preserve">      Total for 8500 Other Expenses</t>
  </si>
  <si>
    <t>To</t>
  </si>
  <si>
    <t>From</t>
  </si>
  <si>
    <t xml:space="preserve">            4018 Victoria Foundation</t>
  </si>
  <si>
    <t xml:space="preserve">      5000 Revenue from Government Agencies</t>
  </si>
  <si>
    <t xml:space="preserve">         5030 State Contracts/PFP Fees</t>
  </si>
  <si>
    <t>Program for Parents</t>
  </si>
  <si>
    <t>Wrap Childcare fees for 03/01/20 - 03/14/20</t>
  </si>
  <si>
    <t>Toddler Classroom Childcare fees for 03/01/20 - 03/14/20</t>
  </si>
  <si>
    <t xml:space="preserve">         Total for 5030 State Contracts/PFP Fees</t>
  </si>
  <si>
    <t xml:space="preserve">      Total for 5000 Revenue from Government Agencies</t>
  </si>
  <si>
    <t xml:space="preserve">            7245 Worker's Compensation Insurance</t>
  </si>
  <si>
    <t>To allocate Workers Comp Ins</t>
  </si>
  <si>
    <t xml:space="preserve">            Total for 7245 Worker's Compensation Insurance</t>
  </si>
  <si>
    <t>Patricia  Mise</t>
  </si>
  <si>
    <t xml:space="preserve">         8260 Property Insurance</t>
  </si>
  <si>
    <t>To allocate General Ins</t>
  </si>
  <si>
    <t xml:space="preserve">         Total for 8260 Property Insurance</t>
  </si>
  <si>
    <t>Thursday, Apr 02, 2020 02:05:54 PM GMT-7 - Accrual Basis</t>
  </si>
  <si>
    <t>Cash</t>
  </si>
  <si>
    <t>Affiliate accounts</t>
  </si>
  <si>
    <t>Petty Cash - ThriftWorks</t>
  </si>
  <si>
    <t>Petty Cash - PreSchool</t>
  </si>
  <si>
    <t>Accounts/ Contributions Receivable</t>
  </si>
  <si>
    <t>Acct Rec - Reclassed</t>
  </si>
  <si>
    <t>Other Current Assets</t>
  </si>
  <si>
    <t>Prepaid Insurance</t>
  </si>
  <si>
    <t>Allocated Costs - General</t>
  </si>
  <si>
    <t>Grants Receivable</t>
  </si>
  <si>
    <t>Grants Rec - PRFC</t>
  </si>
  <si>
    <t>Grants Rec - Abbott</t>
  </si>
  <si>
    <t>Grants Rec - Abbott.Benefits</t>
  </si>
  <si>
    <t>Abbott 19-20</t>
  </si>
  <si>
    <t>Grants Rec - EHS</t>
  </si>
  <si>
    <t>Grants Rec - Americ 18.19</t>
  </si>
  <si>
    <t>Grants Rec - ESG</t>
  </si>
  <si>
    <t>Grants Rec - OICA</t>
  </si>
  <si>
    <t>Grant Rec - USJP</t>
  </si>
  <si>
    <t>Grants Rec- CCFP</t>
  </si>
  <si>
    <t>CCFP Reclass</t>
  </si>
  <si>
    <t>Grants Rec - DYFS</t>
  </si>
  <si>
    <t>Grant Rec - NUL - HUD</t>
  </si>
  <si>
    <t>Grants Rec - Wells Fargo</t>
  </si>
  <si>
    <t>Grants Rec - PFP</t>
  </si>
  <si>
    <t>Grants Rec - NRTC 16</t>
  </si>
  <si>
    <t>LISC</t>
  </si>
  <si>
    <t>DCA - NRTC 16</t>
  </si>
  <si>
    <t>Grants Rec - United Airlines</t>
  </si>
  <si>
    <t>Sales - Thriftworks</t>
  </si>
  <si>
    <t>Undeposited Funds</t>
  </si>
  <si>
    <t>Fixed Operating Assets</t>
  </si>
  <si>
    <t>Accum Depreciation- Fixed Operating Assets</t>
  </si>
  <si>
    <t>Accounts Payable</t>
  </si>
  <si>
    <t>Credit Cards</t>
  </si>
  <si>
    <t>TD LOC - Real Estate x9001</t>
  </si>
  <si>
    <t>TD - Real Estate Line of Credit</t>
  </si>
  <si>
    <t>Accrued Liabilities</t>
  </si>
  <si>
    <t>Payroll Clearing</t>
  </si>
  <si>
    <t>Federal Income Tax Payable</t>
  </si>
  <si>
    <t>NJ Withholding Tax Payable</t>
  </si>
  <si>
    <t>NJ SUI Payable</t>
  </si>
  <si>
    <t>Deferred Revenues</t>
  </si>
  <si>
    <t>Prudential Capacity Grant</t>
  </si>
  <si>
    <t>MCJ Foundation</t>
  </si>
  <si>
    <t>Wells Fargo #2</t>
  </si>
  <si>
    <t>Deferred Rev - YP</t>
  </si>
  <si>
    <t>Long Term Liabilities</t>
  </si>
  <si>
    <t>Unrestricted Net Asstes</t>
  </si>
  <si>
    <t>Temporarily Restricted Net Assets</t>
  </si>
  <si>
    <t>Revenue from Direct Contributions</t>
  </si>
  <si>
    <t>Capital One - Housing</t>
  </si>
  <si>
    <t>United Airlines Grant</t>
  </si>
  <si>
    <t>Prosperity Now-</t>
  </si>
  <si>
    <t>Revenue from Government Grants</t>
  </si>
  <si>
    <t>USJP Grant</t>
  </si>
  <si>
    <t>USJP - Payroll Reimb</t>
  </si>
  <si>
    <t>Leaguers</t>
  </si>
  <si>
    <t>Leagues - Other</t>
  </si>
  <si>
    <t>DYFS</t>
  </si>
  <si>
    <t>NPS - Abbott</t>
  </si>
  <si>
    <t>Abbott Material and Supplies</t>
  </si>
  <si>
    <t>Abbott Technology</t>
  </si>
  <si>
    <t>City of Newark Rental Asst</t>
  </si>
  <si>
    <t>NRTC 2018</t>
  </si>
  <si>
    <t>NRTC 2016</t>
  </si>
  <si>
    <t>Revenue from Government Agencies</t>
  </si>
  <si>
    <t>State Contracts/PFP Fees</t>
  </si>
  <si>
    <t>CCAFP Income</t>
  </si>
  <si>
    <t>Revenue from Sales &amp; Fees</t>
  </si>
  <si>
    <t>Thrift Clothing Drops</t>
  </si>
  <si>
    <t>Wrap Fees</t>
  </si>
  <si>
    <t>Private Pay Fees</t>
  </si>
  <si>
    <t>BOA Rewards</t>
  </si>
  <si>
    <t>Revenue from Investments</t>
  </si>
  <si>
    <t>Revenue from Other Sources</t>
  </si>
  <si>
    <t>Donations</t>
  </si>
  <si>
    <t>Special Events</t>
  </si>
  <si>
    <t>Gala Ads</t>
  </si>
  <si>
    <t>Gala Tickes</t>
  </si>
  <si>
    <t>Gala - Empl Tks</t>
  </si>
  <si>
    <t>Gala Sponsors</t>
  </si>
  <si>
    <t>Participant Salaries &amp; Wages</t>
  </si>
  <si>
    <t>Participant Wages - USJP</t>
  </si>
  <si>
    <t>Salaries &amp; Related Expenses</t>
  </si>
  <si>
    <t>Health Insurance</t>
  </si>
  <si>
    <t>Dental Insurance</t>
  </si>
  <si>
    <t>Disability Ins</t>
  </si>
  <si>
    <t>Employee Contrib - Health</t>
  </si>
  <si>
    <t>Worker's Compensation Insurance</t>
  </si>
  <si>
    <t>Emp-ee Contrib -Dental</t>
  </si>
  <si>
    <t>Payroll Taxes</t>
  </si>
  <si>
    <t>Contract Service Expenses</t>
  </si>
  <si>
    <t>Allocated Acctg and Audit</t>
  </si>
  <si>
    <t>Operating Expenses</t>
  </si>
  <si>
    <t>Telephone Maint Contract</t>
  </si>
  <si>
    <t>Cell Phone Services</t>
  </si>
  <si>
    <t>Allocated Comp -Software</t>
  </si>
  <si>
    <t>Facility &amp; Equipment Expenses</t>
  </si>
  <si>
    <t>Allocated Utilities</t>
  </si>
  <si>
    <t>Water</t>
  </si>
  <si>
    <t>504 Water</t>
  </si>
  <si>
    <t>506 Water</t>
  </si>
  <si>
    <t>508 Water</t>
  </si>
  <si>
    <t>Equipment Rental</t>
  </si>
  <si>
    <t>Copier Lease</t>
  </si>
  <si>
    <t>Copy Fees</t>
  </si>
  <si>
    <t>Vehicle Repairs</t>
  </si>
  <si>
    <t>Postage Lease</t>
  </si>
  <si>
    <t>Alarm Services</t>
  </si>
  <si>
    <t>Trash Removal</t>
  </si>
  <si>
    <t>Exterminating</t>
  </si>
  <si>
    <t>Alloc Repairs and Maint</t>
  </si>
  <si>
    <t>Allocated Mortgage Interest</t>
  </si>
  <si>
    <t>Travel &amp; Meetings Expenses</t>
  </si>
  <si>
    <t>Travel</t>
  </si>
  <si>
    <t>Other Client Specific Expenses</t>
  </si>
  <si>
    <t>Program Training</t>
  </si>
  <si>
    <t>Providing Thriftworks Retail Operations Training</t>
  </si>
  <si>
    <t>Other Expenses</t>
  </si>
  <si>
    <t>Fines and Penalties</t>
  </si>
  <si>
    <t>Community Outreach</t>
  </si>
  <si>
    <t>Capital Expenditures</t>
  </si>
  <si>
    <t>Housing Development</t>
  </si>
  <si>
    <t>Acquisition of Properties</t>
  </si>
  <si>
    <t>Admin Cost - Allocated</t>
  </si>
  <si>
    <t>Donated Services</t>
  </si>
  <si>
    <t>Donated Services- Match</t>
  </si>
  <si>
    <t>Unrestricted Net Assets</t>
  </si>
  <si>
    <t>4011A</t>
  </si>
  <si>
    <t>4011B</t>
  </si>
  <si>
    <t>4011C</t>
  </si>
  <si>
    <t>4015A</t>
  </si>
  <si>
    <t>4016B</t>
  </si>
  <si>
    <t>7221a</t>
  </si>
  <si>
    <t>7221b</t>
  </si>
  <si>
    <t>7221c</t>
  </si>
  <si>
    <t>7221e</t>
  </si>
  <si>
    <t>7221f</t>
  </si>
  <si>
    <t>7222c</t>
  </si>
  <si>
    <t>7222h</t>
  </si>
  <si>
    <t>7222j</t>
  </si>
  <si>
    <t>7222l</t>
  </si>
  <si>
    <t>7222m</t>
  </si>
  <si>
    <t>7222w</t>
  </si>
  <si>
    <t>7223a</t>
  </si>
  <si>
    <t>7223b</t>
  </si>
  <si>
    <t>7540A</t>
  </si>
  <si>
    <t>Program Consultant</t>
  </si>
  <si>
    <t>Bill.com Money In Clearing</t>
  </si>
  <si>
    <t>Bill.com Money Out Clearing</t>
  </si>
  <si>
    <t>TD Operating Line of Credit x0199</t>
  </si>
  <si>
    <t>Accrued Audit Fees Pay</t>
  </si>
  <si>
    <t>Permanently restricted net assets</t>
  </si>
  <si>
    <t>Prudential Grant</t>
  </si>
  <si>
    <t>Capital One Foundation</t>
  </si>
  <si>
    <t>Investors Foundation</t>
  </si>
  <si>
    <t>Uber Technologies- Coding</t>
  </si>
  <si>
    <t>J and J Grant</t>
  </si>
  <si>
    <t>Donated Goods &amp; Services Revenue</t>
  </si>
  <si>
    <t>Revenue from Non-Government Grants</t>
  </si>
  <si>
    <t>City of Newark</t>
  </si>
  <si>
    <t>Workforce of NJ</t>
  </si>
  <si>
    <t>RYN Grant</t>
  </si>
  <si>
    <t>DCA NRTC 16</t>
  </si>
  <si>
    <t>LISC NRTC 16</t>
  </si>
  <si>
    <t>Home Grant</t>
  </si>
  <si>
    <t>Golf Sponsors</t>
  </si>
  <si>
    <t>Silent Auction</t>
  </si>
  <si>
    <t>Cost of Goods Sold</t>
  </si>
  <si>
    <t>Grants, Contracts &amp; Direct Assistance</t>
  </si>
  <si>
    <t>Retirement Plan Contributions</t>
  </si>
  <si>
    <t>Allocated Consulting Fees</t>
  </si>
  <si>
    <t>Prior Period Adjustment</t>
  </si>
  <si>
    <t>Alloc Postage</t>
  </si>
  <si>
    <t>Vehicles</t>
  </si>
  <si>
    <t>Allocated Equip Lease</t>
  </si>
  <si>
    <t>Allocated Cost</t>
  </si>
  <si>
    <t>Insurance-New NRTC Real Estate Project</t>
  </si>
  <si>
    <t>Liability Insurance</t>
  </si>
  <si>
    <t>Participant Travel</t>
  </si>
  <si>
    <t>Construction Trade Job Training Program</t>
  </si>
  <si>
    <t>Housing and Renter Counseling Training</t>
  </si>
  <si>
    <t>Neighborhood Amenities</t>
  </si>
  <si>
    <t>Capital Expansion</t>
  </si>
  <si>
    <t>Payroll Withholdings</t>
  </si>
  <si>
    <t>Reconciliation Discrepancies</t>
  </si>
  <si>
    <t>4016A</t>
  </si>
  <si>
    <t>Prudential Success Grant</t>
  </si>
  <si>
    <t>4016C</t>
  </si>
  <si>
    <t>4538A</t>
  </si>
  <si>
    <t>7221d</t>
  </si>
  <si>
    <t>7221g</t>
  </si>
  <si>
    <t>7222b</t>
  </si>
  <si>
    <t>7222d</t>
  </si>
  <si>
    <t>7222e</t>
  </si>
  <si>
    <t>7222f</t>
  </si>
  <si>
    <t>7222g</t>
  </si>
  <si>
    <t>7222i</t>
  </si>
  <si>
    <t>7222k</t>
  </si>
  <si>
    <t>7222n</t>
  </si>
  <si>
    <t>7222o</t>
  </si>
  <si>
    <t>7222p</t>
  </si>
  <si>
    <t>7222q</t>
  </si>
  <si>
    <t>7222r</t>
  </si>
  <si>
    <t>7222s</t>
  </si>
  <si>
    <t>7222t</t>
  </si>
  <si>
    <t>7222TA</t>
  </si>
  <si>
    <t>7222u</t>
  </si>
  <si>
    <t>7222v</t>
  </si>
  <si>
    <t>7223c</t>
  </si>
  <si>
    <t>7223d</t>
  </si>
  <si>
    <t>7223e</t>
  </si>
  <si>
    <t>7224a</t>
  </si>
  <si>
    <t>7224B A</t>
  </si>
  <si>
    <t>7224C J</t>
  </si>
  <si>
    <t>7224E</t>
  </si>
  <si>
    <t>7520A</t>
  </si>
  <si>
    <t>Audit Fees</t>
  </si>
  <si>
    <t>8455A</t>
  </si>
  <si>
    <t>Account Number</t>
  </si>
  <si>
    <t>Checking Active</t>
  </si>
  <si>
    <t>Bank of America</t>
  </si>
  <si>
    <t>BOA Operating Acct 3973</t>
  </si>
  <si>
    <t>BOA - Abbott Checking - 9170</t>
  </si>
  <si>
    <t>BOA- NRTC Checking 9183</t>
  </si>
  <si>
    <t>TD Bank - LISC 8958</t>
  </si>
  <si>
    <t>BOA Housing Trust 4343</t>
  </si>
  <si>
    <t>BOA Victoria Challenge 4330</t>
  </si>
  <si>
    <t>PayPal</t>
  </si>
  <si>
    <t>PNC Acct 5472- ULEC Funds</t>
  </si>
  <si>
    <t>BOA Young Prof - 9095</t>
  </si>
  <si>
    <t>PNC - 5069 So Ward Newsletter</t>
  </si>
  <si>
    <t>BOA - GUILD 9082</t>
  </si>
  <si>
    <t>PNC Acct 4811- AmeriCorp</t>
  </si>
  <si>
    <t>CNB Acct 2808 - YP ??</t>
  </si>
  <si>
    <t>BOA - PSEG Savings 9196</t>
  </si>
  <si>
    <t>BOA Victoria Challenge Savings 4356</t>
  </si>
  <si>
    <t>BOA Housing Trust Fund Savings 4246</t>
  </si>
  <si>
    <t>Petty Cash</t>
  </si>
  <si>
    <t>Petty Cash - Coding</t>
  </si>
  <si>
    <t>Advances to Staff</t>
  </si>
  <si>
    <t>Prepaid Expenses</t>
  </si>
  <si>
    <t>Prepaid Insurance- WC</t>
  </si>
  <si>
    <t>Security Deposits</t>
  </si>
  <si>
    <t>Due From ULEC Opport Corp</t>
  </si>
  <si>
    <t>Due from Emp'ee - Life Ins</t>
  </si>
  <si>
    <t>Due from Emp'ee - Aflac</t>
  </si>
  <si>
    <t>Grants Rec - Adjustments</t>
  </si>
  <si>
    <t>Grants Rec - NUL Gates</t>
  </si>
  <si>
    <t>Abbott - HVAC</t>
  </si>
  <si>
    <t>Grants Rec - Americorp</t>
  </si>
  <si>
    <t>Americorp 18.19</t>
  </si>
  <si>
    <t>Grant Rec - NUL Wells Fargo</t>
  </si>
  <si>
    <t>Grants Rec - LISC HUD#23</t>
  </si>
  <si>
    <t>Grant Rec.- LISC- FOC 25</t>
  </si>
  <si>
    <t>Grant Rec. LISC FOC #26</t>
  </si>
  <si>
    <t>LISC - NRLA</t>
  </si>
  <si>
    <t>Grant Rec. LISC # 000</t>
  </si>
  <si>
    <t>Parent Co Pays</t>
  </si>
  <si>
    <t>Grants Rec - Housing Trust Fund</t>
  </si>
  <si>
    <t>Grants Rec - SNAP</t>
  </si>
  <si>
    <t>Grants Rec - Newark Alliance</t>
  </si>
  <si>
    <t>Grants Rec - FOC LISC</t>
  </si>
  <si>
    <t>Grants Rec - NRTC 14</t>
  </si>
  <si>
    <t>Grants Rec - MCJ Found</t>
  </si>
  <si>
    <t>Grants Rec - Comm Found</t>
  </si>
  <si>
    <t>Grants Rec - NRTC 18</t>
  </si>
  <si>
    <t>Grant Rec - City of Newark Tech</t>
  </si>
  <si>
    <t>Grant Rec - NRTC 19</t>
  </si>
  <si>
    <t>Grants Rec - Prudential</t>
  </si>
  <si>
    <t>Grant Rec - Capital One</t>
  </si>
  <si>
    <t>Grant Rec - CDBG Irvington</t>
  </si>
  <si>
    <t>Grants Rec - PACE</t>
  </si>
  <si>
    <t>Land</t>
  </si>
  <si>
    <t>Buildings</t>
  </si>
  <si>
    <t>Building Improvements</t>
  </si>
  <si>
    <t>Leasehold Improvements</t>
  </si>
  <si>
    <t>Furniture, Fixtures, Equipment</t>
  </si>
  <si>
    <t>Work-In-Progress - Facility Construction</t>
  </si>
  <si>
    <t>Accum Deprec - Buildings</t>
  </si>
  <si>
    <t>Accum Deprec - Building Improvements</t>
  </si>
  <si>
    <t>Accum Deprec - Leasehold Improvements</t>
  </si>
  <si>
    <t>Accum Deprec - Furniture, Fixtures, Equipment</t>
  </si>
  <si>
    <t>Accum Deprec - Vehicles</t>
  </si>
  <si>
    <t>Home Depot Credit Card</t>
  </si>
  <si>
    <t>Visa Card-8978</t>
  </si>
  <si>
    <t>VISA Card Adj</t>
  </si>
  <si>
    <t>Due to Ryan HVAC</t>
  </si>
  <si>
    <t>TD Bank LOC 9006 Oper</t>
  </si>
  <si>
    <t>TD Bank LOC 9001 231F</t>
  </si>
  <si>
    <t>TD Bank LOC 9009 152L</t>
  </si>
  <si>
    <t>HERA LOC 99H</t>
  </si>
  <si>
    <t>TD Bank LOC -479-513</t>
  </si>
  <si>
    <t>TD Bank LOC #</t>
  </si>
  <si>
    <t>Accrued payroll</t>
  </si>
  <si>
    <t>Accrued 403(b) Match</t>
  </si>
  <si>
    <t>403B Loans</t>
  </si>
  <si>
    <t>Accrued Paid Leave</t>
  </si>
  <si>
    <t>Accrued Payroll Taxes</t>
  </si>
  <si>
    <t>Fica Tax payable</t>
  </si>
  <si>
    <t>Accrued Expenses - Colonial Life</t>
  </si>
  <si>
    <t>Accrued Aflac</t>
  </si>
  <si>
    <t>Garnishments</t>
  </si>
  <si>
    <t>Def Revenue - Victoria</t>
  </si>
  <si>
    <t>Def Rev - Prudential</t>
  </si>
  <si>
    <t>Prudential Foundation</t>
  </si>
  <si>
    <t>Deferred Rev - Turrell Found</t>
  </si>
  <si>
    <t>Wells Fargo Foundation</t>
  </si>
  <si>
    <t>Deferred Rev - United Airlines</t>
  </si>
  <si>
    <t>City of Newark - PSEG Settlement</t>
  </si>
  <si>
    <t>Deferred Rev - Guild</t>
  </si>
  <si>
    <t>Deferred Rev - Fairmount</t>
  </si>
  <si>
    <t>Deferred Rev. AmeriCorps</t>
  </si>
  <si>
    <t>Deferred Rev - So Ward Newsletter</t>
  </si>
  <si>
    <t>Littleton Notes Payable</t>
  </si>
  <si>
    <t>LISC Loan Payable</t>
  </si>
  <si>
    <t>LISC - Phase 1 Properties</t>
  </si>
  <si>
    <t>LISC - 513 Central #13517</t>
  </si>
  <si>
    <t>Mortgage Pay - TD Bank 504-508</t>
  </si>
  <si>
    <t>Mortgage Pay - 99 Hillside</t>
  </si>
  <si>
    <t>Use Restricted Net Assets</t>
  </si>
  <si>
    <t>Time Restricted Net Assets</t>
  </si>
  <si>
    <t>Individual Contributions</t>
  </si>
  <si>
    <t>Wells Fargo -Regional Foundation</t>
  </si>
  <si>
    <t>Turrell Foundation</t>
  </si>
  <si>
    <t>Fairleigh Dickenson Univ</t>
  </si>
  <si>
    <t>Foundation Contributions</t>
  </si>
  <si>
    <t>Victoria Foundation</t>
  </si>
  <si>
    <t>Victoria Found 2019</t>
  </si>
  <si>
    <t>Victoria Foundation Trust</t>
  </si>
  <si>
    <t>Corporate Contributions</t>
  </si>
  <si>
    <t>Valley National Bank</t>
  </si>
  <si>
    <t>Whole City Foundation</t>
  </si>
  <si>
    <t>Chase Bank - FOC</t>
  </si>
  <si>
    <t>PSEG Settlement</t>
  </si>
  <si>
    <t>Irvington Housing Grant</t>
  </si>
  <si>
    <t>M and T Foundation-FOC</t>
  </si>
  <si>
    <t>Nonprofit Contributions</t>
  </si>
  <si>
    <t>United Way of Essex-VITA</t>
  </si>
  <si>
    <t>LISC Housing 2019</t>
  </si>
  <si>
    <t>Tide Center - Housing</t>
  </si>
  <si>
    <t>Donated Professional Services</t>
  </si>
  <si>
    <t>Donated Other Services</t>
  </si>
  <si>
    <t>Donated Use of Facilities</t>
  </si>
  <si>
    <t>Gifts In Kind - Goods</t>
  </si>
  <si>
    <t>Foundation grants</t>
  </si>
  <si>
    <t>Santander Bank</t>
  </si>
  <si>
    <t>Nonprofit Organization Grants</t>
  </si>
  <si>
    <t>Federal Grants</t>
  </si>
  <si>
    <t>USJP 18.19</t>
  </si>
  <si>
    <t>USJP Billing Adjustments</t>
  </si>
  <si>
    <t>OICA Grant</t>
  </si>
  <si>
    <t>Grant Revenue - HUD PARS</t>
  </si>
  <si>
    <t>NUL - Wells Fargo</t>
  </si>
  <si>
    <t>HUD - LISC</t>
  </si>
  <si>
    <t>OtherGrant- Newark Alliance</t>
  </si>
  <si>
    <t>NUL.Gates Educ Grant</t>
  </si>
  <si>
    <t>State Grants</t>
  </si>
  <si>
    <t>LISC - FOC Govt Grant</t>
  </si>
  <si>
    <t>LISC - FOC #26</t>
  </si>
  <si>
    <t>LISC - NRLA Grant</t>
  </si>
  <si>
    <t>LISC # X</t>
  </si>
  <si>
    <t>City of newark - Tech Grant</t>
  </si>
  <si>
    <t>Americorp Grant</t>
  </si>
  <si>
    <t>Abbott Benefit Reimb</t>
  </si>
  <si>
    <t>Abbott Benefit Reimb.2</t>
  </si>
  <si>
    <t>NPS Grant .HVAC</t>
  </si>
  <si>
    <t>Abbott FYE 19-20</t>
  </si>
  <si>
    <t>Home Grant - NRTC 16</t>
  </si>
  <si>
    <t>Local Government Grants</t>
  </si>
  <si>
    <t>PACE Program</t>
  </si>
  <si>
    <t>NRTC Grant 2019</t>
  </si>
  <si>
    <t>LISC Construction Funding</t>
  </si>
  <si>
    <t>Housing Trust Funds</t>
  </si>
  <si>
    <t>Housing Seminars</t>
  </si>
  <si>
    <t>Federal Contracts/Fees</t>
  </si>
  <si>
    <t>Local Government Contracts/Fees</t>
  </si>
  <si>
    <t>CCFP Adjustments</t>
  </si>
  <si>
    <t>Cash In Lieu CCFP</t>
  </si>
  <si>
    <t>CCFP - 2017</t>
  </si>
  <si>
    <t>CCFP - Adjustments 2017</t>
  </si>
  <si>
    <t>Membership Revenue</t>
  </si>
  <si>
    <t>Social Enterprise Revenue</t>
  </si>
  <si>
    <t>Credit Card Sales</t>
  </si>
  <si>
    <t>Pop Up Store Rev</t>
  </si>
  <si>
    <t>Co-Pay Fees</t>
  </si>
  <si>
    <t>Misc Earned Revenue</t>
  </si>
  <si>
    <t>Interest-Savings/ Short-Term Investments</t>
  </si>
  <si>
    <t>Real Estate</t>
  </si>
  <si>
    <t>LISC - NRTC 2019</t>
  </si>
  <si>
    <t>Misc Revenue</t>
  </si>
  <si>
    <t>Donations - Xmas Tree</t>
  </si>
  <si>
    <t>Board Donation</t>
  </si>
  <si>
    <t>Special Events - 2018 Golf Outing</t>
  </si>
  <si>
    <t>Golf Promos</t>
  </si>
  <si>
    <t>Special Events - Gift Revenue</t>
  </si>
  <si>
    <t>Gala - Auction proceeds</t>
  </si>
  <si>
    <t>Special Events - Direct Costs</t>
  </si>
  <si>
    <t>Grants to Individuals</t>
  </si>
  <si>
    <t>Grants to Other Organizations</t>
  </si>
  <si>
    <t>Salaries &amp; Wages- AmeriCorp</t>
  </si>
  <si>
    <t>USJP Manual Checks</t>
  </si>
  <si>
    <t>Payroll Exp - Fed</t>
  </si>
  <si>
    <t>Payroll Tax - SUI</t>
  </si>
  <si>
    <t>Worker's Compensation - USJP</t>
  </si>
  <si>
    <t>Workers Comp - AmeriCorp</t>
  </si>
  <si>
    <t>Payroll Expenses - Fees</t>
  </si>
  <si>
    <t>Salaries &amp; Wages</t>
  </si>
  <si>
    <t>Directors</t>
  </si>
  <si>
    <t>Staff</t>
  </si>
  <si>
    <t>Assistants</t>
  </si>
  <si>
    <t>VP - Workforce</t>
  </si>
  <si>
    <t>Business Developer</t>
  </si>
  <si>
    <t>Career Coach</t>
  </si>
  <si>
    <t>Financial Coach</t>
  </si>
  <si>
    <t>Employee Benefits</t>
  </si>
  <si>
    <t>Health Insurance - Direct</t>
  </si>
  <si>
    <t>Life and Dental Insurance</t>
  </si>
  <si>
    <t>Employee Contrib - Disability</t>
  </si>
  <si>
    <t>Allocated W Comp</t>
  </si>
  <si>
    <t>Payroll Taxes, etc.</t>
  </si>
  <si>
    <t>Social Security</t>
  </si>
  <si>
    <t>Medicare</t>
  </si>
  <si>
    <t>Unemployment</t>
  </si>
  <si>
    <t>Payroll Service Fees</t>
  </si>
  <si>
    <t>Allocated Payroll Fees</t>
  </si>
  <si>
    <t>Other payroll expenses</t>
  </si>
  <si>
    <t>Fundraising fees</t>
  </si>
  <si>
    <t>Allocated IT consultants</t>
  </si>
  <si>
    <t>Accounting Fees</t>
  </si>
  <si>
    <t>Allocated Audit Fees</t>
  </si>
  <si>
    <t>Legal fees</t>
  </si>
  <si>
    <t>Instructors/Consultants/Subs</t>
  </si>
  <si>
    <t>Internships &amp; OJT</t>
  </si>
  <si>
    <t>Professional fees - other</t>
  </si>
  <si>
    <t>Temporary help - contract</t>
  </si>
  <si>
    <t>Alloc Supplies</t>
  </si>
  <si>
    <t>Gifts</t>
  </si>
  <si>
    <t>Donated Materials &amp; Supplies</t>
  </si>
  <si>
    <t>Telephone &amp; Telecommunications</t>
  </si>
  <si>
    <t>Allocated Cell Phone</t>
  </si>
  <si>
    <t>Optimum Services</t>
  </si>
  <si>
    <t>Allocated Telephone</t>
  </si>
  <si>
    <t>Postage &amp; Shipping</t>
  </si>
  <si>
    <t>Computer Software &amp; Hardware</t>
  </si>
  <si>
    <t>Printing &amp; Copying</t>
  </si>
  <si>
    <t>Books, Subscriptions, References</t>
  </si>
  <si>
    <t>Internet/Web/Hosting Fees</t>
  </si>
  <si>
    <t>Web Hosting Alloc</t>
  </si>
  <si>
    <t>Workstations</t>
  </si>
  <si>
    <t>Rent, Parking, Other Occupancy</t>
  </si>
  <si>
    <t>504 Utilities</t>
  </si>
  <si>
    <t>506 Utilities</t>
  </si>
  <si>
    <t>508 Utilities</t>
  </si>
  <si>
    <t>Allocated Water</t>
  </si>
  <si>
    <t>Equipment Rental, Repair &amp; Maintenance</t>
  </si>
  <si>
    <t>Building Repair &amp; Maintenance</t>
  </si>
  <si>
    <t>Permits</t>
  </si>
  <si>
    <t>Maintenance Supplies</t>
  </si>
  <si>
    <t>Mortgage Interest Expense</t>
  </si>
  <si>
    <t>Property Insurance</t>
  </si>
  <si>
    <t>General Liab</t>
  </si>
  <si>
    <t>Other</t>
  </si>
  <si>
    <t>Property Taxes</t>
  </si>
  <si>
    <t>Allocated Insurance</t>
  </si>
  <si>
    <t>W.I. Progress</t>
  </si>
  <si>
    <t>Thrift Store Renovations and Rehab at 506 Central Avenue</t>
  </si>
  <si>
    <t>Depreciation &amp; Amortization</t>
  </si>
  <si>
    <t>Donated Facilities</t>
  </si>
  <si>
    <t>Mortgage Expenses</t>
  </si>
  <si>
    <t>Security Equipment</t>
  </si>
  <si>
    <t>Meals</t>
  </si>
  <si>
    <t>Lodging</t>
  </si>
  <si>
    <t>Airfare</t>
  </si>
  <si>
    <t>Conferences, Conventions, Meetings</t>
  </si>
  <si>
    <t>Field Trips</t>
  </si>
  <si>
    <t>Need Based Costs</t>
  </si>
  <si>
    <t>Classroom Materials &amp; Supplies</t>
  </si>
  <si>
    <t>Job Developer</t>
  </si>
  <si>
    <t>Classroom Technology</t>
  </si>
  <si>
    <t>Community Service Project</t>
  </si>
  <si>
    <t>Tutoring</t>
  </si>
  <si>
    <t>Expungement Services</t>
  </si>
  <si>
    <t>Job Training</t>
  </si>
  <si>
    <t>GED &amp; ABE Classes</t>
  </si>
  <si>
    <t>Mentoring</t>
  </si>
  <si>
    <t>Food &amp; Related Supplies</t>
  </si>
  <si>
    <t>Subsidy/ Rental Assistance</t>
  </si>
  <si>
    <t>Client Incentives</t>
  </si>
  <si>
    <t>Client Stipends</t>
  </si>
  <si>
    <t>Food for Classes</t>
  </si>
  <si>
    <t>Background Check</t>
  </si>
  <si>
    <t>Housing Rehabilitation</t>
  </si>
  <si>
    <t>Employee Appreciation</t>
  </si>
  <si>
    <t>Interest Expense - General</t>
  </si>
  <si>
    <t>Insurance - Non-Employee Related</t>
  </si>
  <si>
    <t>Membership Dues - Organization</t>
  </si>
  <si>
    <t>Staff Development/Training</t>
  </si>
  <si>
    <t>Bank fees</t>
  </si>
  <si>
    <t>Processing fees</t>
  </si>
  <si>
    <t>Advertising/Marketing Expenses</t>
  </si>
  <si>
    <t>Uncollected Grant Revenue</t>
  </si>
  <si>
    <t>Licenses &amp; Fees</t>
  </si>
  <si>
    <t>Bad Debt Expense</t>
  </si>
  <si>
    <t>Construction Cost for Multi Family Homes</t>
  </si>
  <si>
    <t>Rehab of Existing Facility</t>
  </si>
  <si>
    <t>Property Improvements Model Block Program</t>
  </si>
  <si>
    <t>Holding Cost</t>
  </si>
  <si>
    <t>Interest Exp</t>
  </si>
  <si>
    <t>Security Systems</t>
  </si>
  <si>
    <t>Soft cost</t>
  </si>
  <si>
    <t>Pre Development Cost</t>
  </si>
  <si>
    <t>Computer and Related Equip</t>
  </si>
  <si>
    <t>Housing Counseling-Training</t>
  </si>
  <si>
    <t>Construction Cost</t>
  </si>
  <si>
    <t>Construction in Progress Adj</t>
  </si>
  <si>
    <t>Wells Fargo - Reg Found 2</t>
  </si>
  <si>
    <t>Verizon Foundation</t>
  </si>
  <si>
    <t>Prudential Capacity 2</t>
  </si>
  <si>
    <t>Non Profit Finance Fund</t>
  </si>
  <si>
    <t>ESG Rental Assistance 2017</t>
  </si>
  <si>
    <t>Executive Director</t>
  </si>
  <si>
    <t>Chief Admin Officer</t>
  </si>
  <si>
    <t>Director of Operations COO</t>
  </si>
  <si>
    <t>Director of Development</t>
  </si>
  <si>
    <t>Director of Finance</t>
  </si>
  <si>
    <t>Director of Real Estate</t>
  </si>
  <si>
    <t>Program Director - Education</t>
  </si>
  <si>
    <t>7221h</t>
  </si>
  <si>
    <t>Program Director - USJP</t>
  </si>
  <si>
    <t>Clerical</t>
  </si>
  <si>
    <t>Custodian</t>
  </si>
  <si>
    <t>Community Organizer</t>
  </si>
  <si>
    <t>Family Worker</t>
  </si>
  <si>
    <t>Food Worker</t>
  </si>
  <si>
    <t>Security Guard</t>
  </si>
  <si>
    <t>Teacher</t>
  </si>
  <si>
    <t>Truck Driver</t>
  </si>
  <si>
    <t>Program Coordinator</t>
  </si>
  <si>
    <t>Substitutes</t>
  </si>
  <si>
    <t>Housing Counselor</t>
  </si>
  <si>
    <t>Finance Assistance</t>
  </si>
  <si>
    <t>Workforce Trainer</t>
  </si>
  <si>
    <t>Wrap Around Coordinator</t>
  </si>
  <si>
    <t>Senior Case Manager</t>
  </si>
  <si>
    <t>Data Analyst</t>
  </si>
  <si>
    <t>Benefits Specialist</t>
  </si>
  <si>
    <t>IT – Desktop Assistance</t>
  </si>
  <si>
    <t>Youth Advocate Counselor</t>
  </si>
  <si>
    <t>Teacher Assistants</t>
  </si>
  <si>
    <t>EHS Caregiver</t>
  </si>
  <si>
    <t>Store Manager</t>
  </si>
  <si>
    <t>Thrift Store Operation Manager</t>
  </si>
  <si>
    <t>Food Worker Assistant</t>
  </si>
  <si>
    <t>Teacher Assistant</t>
  </si>
  <si>
    <t>Floating Teacher Assistant</t>
  </si>
  <si>
    <t>Housing Counselor Assistant</t>
  </si>
  <si>
    <t>Substitute Asst</t>
  </si>
  <si>
    <t>Site Coordinator IC</t>
  </si>
  <si>
    <t>Site Coordinator AA</t>
  </si>
  <si>
    <t>Payroll Coordinator</t>
  </si>
  <si>
    <t>Sr Site Coordinator</t>
  </si>
  <si>
    <t>Rental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</si>
</sst>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0\ _€"/>
    <numFmt numFmtId="167" formatCode="&quot;$&quot;* #,##0.00\ _€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singleAccounting"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7">
    <xf numFmtId="0" fontId="0" fillId="0" borderId="0" xfId="0"/>
    <xf numFmtId="43" fontId="0" fillId="0" borderId="0" xfId="1" applyFont="1"/>
    <xf numFmtId="164" fontId="0" fillId="0" borderId="0" xfId="1" applyNumberFormat="1" applyFont="1"/>
    <xf numFmtId="10" fontId="0" fillId="0" borderId="0" xfId="2" applyNumberFormat="1" applyFont="1"/>
    <xf numFmtId="1" fontId="2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164" fontId="4" fillId="0" borderId="0" xfId="1" applyNumberFormat="1" applyFont="1"/>
    <xf numFmtId="43" fontId="4" fillId="0" borderId="0" xfId="1" applyFont="1"/>
    <xf numFmtId="10" fontId="4" fillId="0" borderId="0" xfId="2" applyNumberFormat="1" applyFont="1"/>
    <xf numFmtId="1" fontId="5" fillId="0" borderId="0" xfId="1" applyNumberFormat="1" applyFont="1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7" fillId="2" borderId="3" xfId="1" applyNumberFormat="1" applyFont="1" applyFill="1" applyBorder="1"/>
    <xf numFmtId="1" fontId="7" fillId="2" borderId="4" xfId="1" applyNumberFormat="1" applyFont="1" applyFill="1" applyBorder="1"/>
    <xf numFmtId="1" fontId="7" fillId="2" borderId="5" xfId="1" applyNumberFormat="1" applyFont="1" applyFill="1" applyBorder="1"/>
    <xf numFmtId="1" fontId="7" fillId="2" borderId="0" xfId="1" applyNumberFormat="1" applyFont="1" applyFill="1" applyBorder="1"/>
    <xf numFmtId="1" fontId="7" fillId="3" borderId="8" xfId="1" applyNumberFormat="1" applyFont="1" applyFill="1" applyBorder="1"/>
    <xf numFmtId="1" fontId="7" fillId="3" borderId="2" xfId="1" applyNumberFormat="1" applyFont="1" applyFill="1" applyBorder="1"/>
    <xf numFmtId="0" fontId="0" fillId="4" borderId="0" xfId="0" applyFill="1"/>
    <xf numFmtId="164" fontId="0" fillId="0" borderId="0" xfId="1" applyNumberFormat="1" applyFont="1" applyFill="1"/>
    <xf numFmtId="43" fontId="0" fillId="0" borderId="0" xfId="1" applyFont="1" applyFill="1"/>
    <xf numFmtId="10" fontId="0" fillId="0" borderId="0" xfId="2" applyNumberFormat="1" applyFont="1" applyFill="1"/>
    <xf numFmtId="1" fontId="7" fillId="5" borderId="9" xfId="1" applyNumberFormat="1" applyFont="1" applyFill="1" applyBorder="1"/>
    <xf numFmtId="1" fontId="7" fillId="3" borderId="9" xfId="1" applyNumberFormat="1" applyFont="1" applyFill="1" applyBorder="1"/>
    <xf numFmtId="1" fontId="7" fillId="6" borderId="9" xfId="1" applyNumberFormat="1" applyFont="1" applyFill="1" applyBorder="1"/>
    <xf numFmtId="1" fontId="7" fillId="0" borderId="0" xfId="0" applyNumberFormat="1" applyFont="1"/>
    <xf numFmtId="0" fontId="7" fillId="0" borderId="0" xfId="0" applyFont="1"/>
    <xf numFmtId="10" fontId="0" fillId="5" borderId="3" xfId="2" applyNumberFormat="1" applyFont="1" applyFill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10" fontId="0" fillId="6" borderId="3" xfId="2" applyNumberFormat="1" applyFont="1" applyFill="1" applyBorder="1" applyAlignment="1">
      <alignment horizontal="center"/>
    </xf>
    <xf numFmtId="10" fontId="0" fillId="0" borderId="10" xfId="2" applyNumberFormat="1" applyFont="1" applyBorder="1" applyAlignment="1">
      <alignment horizontal="center"/>
    </xf>
    <xf numFmtId="10" fontId="0" fillId="3" borderId="10" xfId="2" applyNumberFormat="1" applyFont="1" applyFill="1" applyBorder="1" applyAlignment="1">
      <alignment horizontal="center"/>
    </xf>
    <xf numFmtId="165" fontId="0" fillId="4" borderId="11" xfId="1" applyNumberFormat="1" applyFont="1" applyFill="1" applyBorder="1"/>
    <xf numFmtId="0" fontId="3" fillId="0" borderId="0" xfId="0" applyFont="1"/>
    <xf numFmtId="164" fontId="2" fillId="0" borderId="0" xfId="1" applyNumberFormat="1" applyFont="1"/>
    <xf numFmtId="43" fontId="0" fillId="5" borderId="11" xfId="1" applyFont="1" applyFill="1" applyBorder="1"/>
    <xf numFmtId="43" fontId="0" fillId="0" borderId="6" xfId="1" applyFont="1" applyFill="1" applyBorder="1"/>
    <xf numFmtId="43" fontId="0" fillId="6" borderId="11" xfId="1" applyFont="1" applyFill="1" applyBorder="1"/>
    <xf numFmtId="43" fontId="0" fillId="4" borderId="11" xfId="1" applyFont="1" applyFill="1" applyBorder="1"/>
    <xf numFmtId="165" fontId="0" fillId="4" borderId="13" xfId="1" applyNumberFormat="1" applyFont="1" applyFill="1" applyBorder="1"/>
    <xf numFmtId="43" fontId="0" fillId="4" borderId="13" xfId="1" applyFont="1" applyFill="1" applyBorder="1"/>
    <xf numFmtId="43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1" fontId="8" fillId="0" borderId="0" xfId="0" applyNumberFormat="1" applyFont="1"/>
    <xf numFmtId="43" fontId="9" fillId="0" borderId="0" xfId="1" applyFont="1" applyAlignment="1">
      <alignment wrapText="1"/>
    </xf>
    <xf numFmtId="43" fontId="10" fillId="0" borderId="0" xfId="1" applyFont="1" applyAlignment="1">
      <alignment wrapText="1"/>
    </xf>
    <xf numFmtId="1" fontId="0" fillId="0" borderId="0" xfId="0" applyNumberFormat="1"/>
    <xf numFmtId="0" fontId="3" fillId="8" borderId="1" xfId="0" applyFont="1" applyFill="1" applyBorder="1"/>
    <xf numFmtId="0" fontId="3" fillId="8" borderId="8" xfId="0" applyFont="1" applyFill="1" applyBorder="1"/>
    <xf numFmtId="0" fontId="3" fillId="8" borderId="2" xfId="0" applyFont="1" applyFill="1" applyBorder="1"/>
    <xf numFmtId="0" fontId="3" fillId="9" borderId="6" xfId="0" applyFont="1" applyFill="1" applyBorder="1"/>
    <xf numFmtId="0" fontId="3" fillId="9" borderId="0" xfId="0" applyFont="1" applyFill="1"/>
    <xf numFmtId="0" fontId="3" fillId="9" borderId="7" xfId="0" applyFont="1" applyFill="1" applyBorder="1"/>
    <xf numFmtId="43" fontId="9" fillId="9" borderId="0" xfId="1" applyFont="1" applyFill="1" applyAlignment="1">
      <alignment wrapText="1"/>
    </xf>
    <xf numFmtId="0" fontId="3" fillId="8" borderId="6" xfId="0" applyFont="1" applyFill="1" applyBorder="1"/>
    <xf numFmtId="0" fontId="3" fillId="8" borderId="0" xfId="0" applyFont="1" applyFill="1"/>
    <xf numFmtId="0" fontId="3" fillId="8" borderId="7" xfId="0" applyFont="1" applyFill="1" applyBorder="1"/>
    <xf numFmtId="0" fontId="3" fillId="10" borderId="6" xfId="0" applyFont="1" applyFill="1" applyBorder="1"/>
    <xf numFmtId="0" fontId="3" fillId="10" borderId="0" xfId="0" applyFont="1" applyFill="1"/>
    <xf numFmtId="0" fontId="3" fillId="10" borderId="7" xfId="0" applyFont="1" applyFill="1" applyBorder="1"/>
    <xf numFmtId="43" fontId="9" fillId="10" borderId="0" xfId="1" applyFont="1" applyFill="1" applyAlignment="1">
      <alignment wrapText="1"/>
    </xf>
    <xf numFmtId="0" fontId="3" fillId="3" borderId="6" xfId="0" applyFont="1" applyFill="1" applyBorder="1"/>
    <xf numFmtId="0" fontId="3" fillId="3" borderId="0" xfId="0" applyFont="1" applyFill="1"/>
    <xf numFmtId="0" fontId="3" fillId="3" borderId="7" xfId="0" applyFont="1" applyFill="1" applyBorder="1"/>
    <xf numFmtId="43" fontId="9" fillId="3" borderId="0" xfId="1" applyFont="1" applyFill="1" applyAlignment="1">
      <alignment wrapText="1"/>
    </xf>
    <xf numFmtId="0" fontId="3" fillId="8" borderId="15" xfId="0" applyFont="1" applyFill="1" applyBorder="1"/>
    <xf numFmtId="0" fontId="3" fillId="8" borderId="16" xfId="0" applyFont="1" applyFill="1" applyBorder="1"/>
    <xf numFmtId="0" fontId="3" fillId="8" borderId="17" xfId="0" applyFont="1" applyFill="1" applyBorder="1"/>
    <xf numFmtId="0" fontId="3" fillId="11" borderId="1" xfId="0" applyFont="1" applyFill="1" applyBorder="1"/>
    <xf numFmtId="0" fontId="3" fillId="11" borderId="8" xfId="0" applyFont="1" applyFill="1" applyBorder="1"/>
    <xf numFmtId="0" fontId="3" fillId="11" borderId="2" xfId="0" applyFont="1" applyFill="1" applyBorder="1"/>
    <xf numFmtId="43" fontId="9" fillId="11" borderId="0" xfId="1" applyFont="1" applyFill="1" applyAlignment="1">
      <alignment wrapText="1"/>
    </xf>
    <xf numFmtId="0" fontId="3" fillId="7" borderId="6" xfId="0" applyFont="1" applyFill="1" applyBorder="1"/>
    <xf numFmtId="0" fontId="3" fillId="7" borderId="0" xfId="0" applyFont="1" applyFill="1"/>
    <xf numFmtId="0" fontId="3" fillId="7" borderId="7" xfId="0" applyFont="1" applyFill="1" applyBorder="1"/>
    <xf numFmtId="0" fontId="3" fillId="12" borderId="6" xfId="0" applyFont="1" applyFill="1" applyBorder="1"/>
    <xf numFmtId="0" fontId="3" fillId="12" borderId="0" xfId="0" applyFont="1" applyFill="1"/>
    <xf numFmtId="0" fontId="3" fillId="12" borderId="7" xfId="0" applyFont="1" applyFill="1" applyBorder="1"/>
    <xf numFmtId="43" fontId="9" fillId="12" borderId="0" xfId="1" applyFont="1" applyFill="1" applyAlignment="1">
      <alignment wrapText="1"/>
    </xf>
    <xf numFmtId="0" fontId="3" fillId="5" borderId="6" xfId="0" applyFont="1" applyFill="1" applyBorder="1"/>
    <xf numFmtId="0" fontId="3" fillId="5" borderId="0" xfId="0" applyFont="1" applyFill="1"/>
    <xf numFmtId="0" fontId="3" fillId="5" borderId="7" xfId="0" applyFont="1" applyFill="1" applyBorder="1"/>
    <xf numFmtId="43" fontId="9" fillId="5" borderId="0" xfId="1" applyFont="1" applyFill="1" applyAlignment="1">
      <alignment wrapText="1"/>
    </xf>
    <xf numFmtId="0" fontId="3" fillId="7" borderId="15" xfId="0" applyFont="1" applyFill="1" applyBorder="1"/>
    <xf numFmtId="0" fontId="3" fillId="7" borderId="16" xfId="0" applyFont="1" applyFill="1" applyBorder="1"/>
    <xf numFmtId="0" fontId="3" fillId="7" borderId="17" xfId="0" applyFont="1" applyFill="1" applyBorder="1"/>
    <xf numFmtId="8" fontId="0" fillId="0" borderId="0" xfId="0" applyNumberFormat="1"/>
    <xf numFmtId="43" fontId="0" fillId="0" borderId="0" xfId="0" applyNumberFormat="1"/>
    <xf numFmtId="165" fontId="2" fillId="0" borderId="0" xfId="1" applyNumberFormat="1" applyFont="1"/>
    <xf numFmtId="165" fontId="0" fillId="0" borderId="0" xfId="1" applyNumberFormat="1" applyFont="1"/>
    <xf numFmtId="2" fontId="2" fillId="0" borderId="0" xfId="0" applyNumberFormat="1" applyFont="1"/>
    <xf numFmtId="2" fontId="5" fillId="0" borderId="0" xfId="1" applyNumberFormat="1" applyFont="1" applyFill="1" applyAlignment="1">
      <alignment horizontal="center"/>
    </xf>
    <xf numFmtId="2" fontId="7" fillId="2" borderId="3" xfId="1" applyNumberFormat="1" applyFont="1" applyFill="1" applyBorder="1"/>
    <xf numFmtId="2" fontId="7" fillId="2" borderId="0" xfId="1" applyNumberFormat="1" applyFont="1" applyFill="1" applyBorder="1"/>
    <xf numFmtId="2" fontId="7" fillId="3" borderId="1" xfId="1" applyNumberFormat="1" applyFont="1" applyFill="1" applyBorder="1"/>
    <xf numFmtId="2" fontId="7" fillId="5" borderId="9" xfId="1" applyNumberFormat="1" applyFont="1" applyFill="1" applyBorder="1"/>
    <xf numFmtId="2" fontId="7" fillId="0" borderId="0" xfId="0" applyNumberFormat="1" applyFont="1"/>
    <xf numFmtId="1" fontId="7" fillId="2" borderId="9" xfId="1" applyNumberFormat="1" applyFont="1" applyFill="1" applyBorder="1"/>
    <xf numFmtId="165" fontId="4" fillId="0" borderId="0" xfId="1" applyNumberFormat="1" applyFont="1"/>
    <xf numFmtId="165" fontId="0" fillId="0" borderId="0" xfId="1" applyNumberFormat="1" applyFont="1" applyFill="1"/>
    <xf numFmtId="165" fontId="7" fillId="0" borderId="0" xfId="1" applyNumberFormat="1" applyFont="1" applyFill="1"/>
    <xf numFmtId="165" fontId="0" fillId="0" borderId="0" xfId="1" applyNumberFormat="1" applyFont="1" applyAlignment="1">
      <alignment horizontal="center"/>
    </xf>
    <xf numFmtId="43" fontId="0" fillId="3" borderId="12" xfId="1" applyFont="1" applyFill="1" applyBorder="1"/>
    <xf numFmtId="43" fontId="0" fillId="3" borderId="11" xfId="1" applyFont="1" applyFill="1" applyBorder="1"/>
    <xf numFmtId="0" fontId="0" fillId="0" borderId="0" xfId="0" applyAlignment="1">
      <alignment horizontal="center"/>
    </xf>
    <xf numFmtId="43" fontId="4" fillId="0" borderId="0" xfId="1" applyFont="1" applyAlignment="1">
      <alignment horizontal="center"/>
    </xf>
    <xf numFmtId="43" fontId="0" fillId="0" borderId="0" xfId="1" applyFont="1" applyFill="1" applyAlignment="1">
      <alignment horizontal="center"/>
    </xf>
    <xf numFmtId="0" fontId="7" fillId="0" borderId="0" xfId="0" applyFont="1" applyBorder="1"/>
    <xf numFmtId="0" fontId="0" fillId="0" borderId="12" xfId="0" applyBorder="1" applyAlignment="1">
      <alignment horizontal="center"/>
    </xf>
    <xf numFmtId="165" fontId="0" fillId="4" borderId="17" xfId="1" applyNumberFormat="1" applyFont="1" applyFill="1" applyBorder="1"/>
    <xf numFmtId="0" fontId="0" fillId="0" borderId="12" xfId="0" applyBorder="1"/>
    <xf numFmtId="0" fontId="0" fillId="0" borderId="11" xfId="0" applyBorder="1"/>
    <xf numFmtId="43" fontId="0" fillId="3" borderId="2" xfId="1" applyFont="1" applyFill="1" applyBorder="1" applyAlignment="1">
      <alignment horizontal="center"/>
    </xf>
    <xf numFmtId="0" fontId="0" fillId="0" borderId="1" xfId="0" applyBorder="1"/>
    <xf numFmtId="0" fontId="0" fillId="4" borderId="12" xfId="0" applyFill="1" applyBorder="1"/>
    <xf numFmtId="0" fontId="0" fillId="4" borderId="11" xfId="0" applyFill="1" applyBorder="1"/>
    <xf numFmtId="2" fontId="11" fillId="0" borderId="0" xfId="0" applyNumberFormat="1" applyFont="1"/>
    <xf numFmtId="1" fontId="11" fillId="0" borderId="0" xfId="0" applyNumberFormat="1" applyFont="1"/>
    <xf numFmtId="2" fontId="11" fillId="0" borderId="0" xfId="1" applyNumberFormat="1" applyFont="1"/>
    <xf numFmtId="37" fontId="11" fillId="0" borderId="0" xfId="0" applyNumberFormat="1" applyFont="1"/>
    <xf numFmtId="2" fontId="12" fillId="0" borderId="14" xfId="1" applyNumberFormat="1" applyFont="1" applyFill="1" applyBorder="1"/>
    <xf numFmtId="1" fontId="12" fillId="0" borderId="14" xfId="2" applyNumberFormat="1" applyFont="1" applyFill="1" applyBorder="1"/>
    <xf numFmtId="3" fontId="12" fillId="0" borderId="14" xfId="2" applyNumberFormat="1" applyFont="1" applyBorder="1"/>
    <xf numFmtId="0" fontId="12" fillId="0" borderId="6" xfId="0" applyFont="1" applyBorder="1"/>
    <xf numFmtId="0" fontId="12" fillId="6" borderId="6" xfId="0" applyFont="1" applyFill="1" applyBorder="1"/>
    <xf numFmtId="0" fontId="12" fillId="13" borderId="6" xfId="0" applyFont="1" applyFill="1" applyBorder="1"/>
    <xf numFmtId="0" fontId="12" fillId="3" borderId="6" xfId="0" applyFont="1" applyFill="1" applyBorder="1"/>
    <xf numFmtId="0" fontId="12" fillId="8" borderId="6" xfId="0" applyFont="1" applyFill="1" applyBorder="1"/>
    <xf numFmtId="0" fontId="12" fillId="0" borderId="11" xfId="0" applyFont="1" applyBorder="1"/>
    <xf numFmtId="0" fontId="12" fillId="0" borderId="13" xfId="0" applyFont="1" applyBorder="1"/>
    <xf numFmtId="0" fontId="12" fillId="0" borderId="1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37" fontId="11" fillId="14" borderId="0" xfId="0" applyNumberFormat="1" applyFont="1" applyFill="1"/>
    <xf numFmtId="43" fontId="0" fillId="14" borderId="6" xfId="1" applyFont="1" applyFill="1" applyBorder="1"/>
    <xf numFmtId="43" fontId="0" fillId="14" borderId="11" xfId="1" applyFont="1" applyFill="1" applyBorder="1"/>
    <xf numFmtId="165" fontId="0" fillId="4" borderId="12" xfId="1" applyNumberFormat="1" applyFont="1" applyFill="1" applyBorder="1"/>
    <xf numFmtId="43" fontId="0" fillId="4" borderId="12" xfId="1" applyFont="1" applyFill="1" applyBorder="1"/>
    <xf numFmtId="0" fontId="0" fillId="0" borderId="8" xfId="0" applyBorder="1"/>
    <xf numFmtId="164" fontId="0" fillId="0" borderId="8" xfId="1" applyNumberFormat="1" applyFont="1" applyBorder="1"/>
    <xf numFmtId="165" fontId="7" fillId="0" borderId="8" xfId="1" applyNumberFormat="1" applyFont="1" applyFill="1" applyBorder="1"/>
    <xf numFmtId="43" fontId="0" fillId="5" borderId="12" xfId="1" applyFont="1" applyFill="1" applyBorder="1"/>
    <xf numFmtId="43" fontId="0" fillId="0" borderId="1" xfId="1" applyFont="1" applyFill="1" applyBorder="1"/>
    <xf numFmtId="43" fontId="0" fillId="6" borderId="12" xfId="1" applyFont="1" applyFill="1" applyBorder="1"/>
    <xf numFmtId="43" fontId="0" fillId="0" borderId="8" xfId="1" applyFont="1" applyFill="1" applyBorder="1"/>
    <xf numFmtId="0" fontId="0" fillId="0" borderId="0" xfId="0" applyBorder="1"/>
    <xf numFmtId="164" fontId="0" fillId="0" borderId="0" xfId="1" applyNumberFormat="1" applyFont="1" applyBorder="1"/>
    <xf numFmtId="165" fontId="7" fillId="0" borderId="0" xfId="1" applyNumberFormat="1" applyFont="1" applyFill="1" applyBorder="1"/>
    <xf numFmtId="43" fontId="0" fillId="0" borderId="0" xfId="1" applyFont="1" applyFill="1" applyBorder="1"/>
    <xf numFmtId="0" fontId="0" fillId="0" borderId="16" xfId="0" applyBorder="1"/>
    <xf numFmtId="164" fontId="0" fillId="0" borderId="16" xfId="1" applyNumberFormat="1" applyFont="1" applyBorder="1"/>
    <xf numFmtId="165" fontId="7" fillId="0" borderId="16" xfId="1" applyNumberFormat="1" applyFont="1" applyFill="1" applyBorder="1"/>
    <xf numFmtId="43" fontId="0" fillId="5" borderId="13" xfId="1" applyFont="1" applyFill="1" applyBorder="1"/>
    <xf numFmtId="43" fontId="0" fillId="0" borderId="15" xfId="1" applyFont="1" applyFill="1" applyBorder="1"/>
    <xf numFmtId="43" fontId="0" fillId="6" borderId="13" xfId="1" applyFont="1" applyFill="1" applyBorder="1"/>
    <xf numFmtId="43" fontId="0" fillId="0" borderId="16" xfId="1" applyFont="1" applyFill="1" applyBorder="1"/>
    <xf numFmtId="43" fontId="0" fillId="3" borderId="13" xfId="1" applyFont="1" applyFill="1" applyBorder="1"/>
    <xf numFmtId="164" fontId="0" fillId="0" borderId="8" xfId="1" applyNumberFormat="1" applyFont="1" applyFill="1" applyBorder="1"/>
    <xf numFmtId="164" fontId="0" fillId="0" borderId="0" xfId="1" applyNumberFormat="1" applyFont="1" applyFill="1" applyBorder="1"/>
    <xf numFmtId="164" fontId="0" fillId="0" borderId="16" xfId="1" applyNumberFormat="1" applyFont="1" applyFill="1" applyBorder="1"/>
    <xf numFmtId="165" fontId="0" fillId="2" borderId="7" xfId="1" applyNumberFormat="1" applyFont="1" applyFill="1" applyBorder="1"/>
    <xf numFmtId="165" fontId="0" fillId="2" borderId="11" xfId="1" applyNumberFormat="1" applyFont="1" applyFill="1" applyBorder="1"/>
    <xf numFmtId="43" fontId="0" fillId="2" borderId="11" xfId="1" applyFont="1" applyFill="1" applyBorder="1"/>
    <xf numFmtId="0" fontId="3" fillId="0" borderId="16" xfId="0" applyFont="1" applyBorder="1"/>
    <xf numFmtId="165" fontId="0" fillId="0" borderId="16" xfId="1" applyNumberFormat="1" applyFont="1" applyFill="1" applyBorder="1"/>
    <xf numFmtId="165" fontId="0" fillId="0" borderId="18" xfId="1" applyNumberFormat="1" applyFont="1" applyFill="1" applyBorder="1"/>
    <xf numFmtId="43" fontId="0" fillId="0" borderId="18" xfId="1" applyFont="1" applyFill="1" applyBorder="1"/>
    <xf numFmtId="0" fontId="3" fillId="0" borderId="8" xfId="0" applyFont="1" applyBorder="1"/>
    <xf numFmtId="165" fontId="0" fillId="0" borderId="8" xfId="1" applyNumberFormat="1" applyFont="1" applyFill="1" applyBorder="1"/>
    <xf numFmtId="43" fontId="0" fillId="14" borderId="1" xfId="1" applyFont="1" applyFill="1" applyBorder="1"/>
    <xf numFmtId="43" fontId="0" fillId="14" borderId="12" xfId="1" applyFont="1" applyFill="1" applyBorder="1"/>
    <xf numFmtId="0" fontId="3" fillId="0" borderId="0" xfId="0" applyFont="1" applyBorder="1"/>
    <xf numFmtId="165" fontId="0" fillId="0" borderId="0" xfId="1" applyNumberFormat="1" applyFont="1" applyFill="1" applyBorder="1"/>
    <xf numFmtId="43" fontId="0" fillId="14" borderId="15" xfId="1" applyFont="1" applyFill="1" applyBorder="1"/>
    <xf numFmtId="43" fontId="0" fillId="14" borderId="13" xfId="1" applyFont="1" applyFill="1" applyBorder="1"/>
    <xf numFmtId="0" fontId="12" fillId="0" borderId="7" xfId="0" applyFont="1" applyBorder="1" applyAlignment="1">
      <alignment horizontal="center"/>
    </xf>
    <xf numFmtId="1" fontId="11" fillId="15" borderId="19" xfId="0" applyNumberFormat="1" applyFont="1" applyFill="1" applyBorder="1"/>
    <xf numFmtId="0" fontId="12" fillId="11" borderId="6" xfId="0" applyFont="1" applyFill="1" applyBorder="1"/>
    <xf numFmtId="165" fontId="0" fillId="11" borderId="11" xfId="1" applyNumberFormat="1" applyFont="1" applyFill="1" applyBorder="1"/>
    <xf numFmtId="43" fontId="0" fillId="11" borderId="11" xfId="1" applyFont="1" applyFill="1" applyBorder="1"/>
    <xf numFmtId="0" fontId="0" fillId="11" borderId="0" xfId="0" applyFill="1"/>
    <xf numFmtId="164" fontId="0" fillId="11" borderId="0" xfId="1" applyNumberFormat="1" applyFont="1" applyFill="1"/>
    <xf numFmtId="165" fontId="7" fillId="11" borderId="0" xfId="1" applyNumberFormat="1" applyFont="1" applyFill="1"/>
    <xf numFmtId="43" fontId="0" fillId="11" borderId="6" xfId="1" applyFont="1" applyFill="1" applyBorder="1"/>
    <xf numFmtId="43" fontId="0" fillId="11" borderId="0" xfId="1" applyFont="1" applyFill="1"/>
    <xf numFmtId="2" fontId="11" fillId="11" borderId="0" xfId="1" applyNumberFormat="1" applyFont="1" applyFill="1"/>
    <xf numFmtId="1" fontId="11" fillId="11" borderId="0" xfId="0" applyNumberFormat="1" applyFont="1" applyFill="1"/>
    <xf numFmtId="37" fontId="11" fillId="11" borderId="0" xfId="0" applyNumberFormat="1" applyFont="1" applyFill="1"/>
    <xf numFmtId="0" fontId="12" fillId="11" borderId="11" xfId="0" applyFont="1" applyFill="1" applyBorder="1" applyAlignment="1">
      <alignment horizontal="center"/>
    </xf>
    <xf numFmtId="0" fontId="12" fillId="15" borderId="11" xfId="0" applyFont="1" applyFill="1" applyBorder="1"/>
    <xf numFmtId="165" fontId="0" fillId="15" borderId="13" xfId="1" applyNumberFormat="1" applyFont="1" applyFill="1" applyBorder="1"/>
    <xf numFmtId="43" fontId="0" fillId="15" borderId="13" xfId="1" applyFont="1" applyFill="1" applyBorder="1"/>
    <xf numFmtId="0" fontId="3" fillId="15" borderId="16" xfId="0" applyFont="1" applyFill="1" applyBorder="1"/>
    <xf numFmtId="164" fontId="0" fillId="15" borderId="16" xfId="1" applyNumberFormat="1" applyFont="1" applyFill="1" applyBorder="1"/>
    <xf numFmtId="165" fontId="0" fillId="15" borderId="16" xfId="1" applyNumberFormat="1" applyFont="1" applyFill="1" applyBorder="1"/>
    <xf numFmtId="43" fontId="0" fillId="15" borderId="15" xfId="1" applyFont="1" applyFill="1" applyBorder="1"/>
    <xf numFmtId="43" fontId="0" fillId="15" borderId="16" xfId="1" applyFont="1" applyFill="1" applyBorder="1"/>
    <xf numFmtId="2" fontId="11" fillId="15" borderId="0" xfId="0" applyNumberFormat="1" applyFont="1" applyFill="1"/>
    <xf numFmtId="1" fontId="11" fillId="15" borderId="0" xfId="0" applyNumberFormat="1" applyFont="1" applyFill="1"/>
    <xf numFmtId="37" fontId="11" fillId="15" borderId="0" xfId="0" applyNumberFormat="1" applyFont="1" applyFill="1"/>
    <xf numFmtId="0" fontId="12" fillId="15" borderId="11" xfId="0" applyFont="1" applyFill="1" applyBorder="1" applyAlignment="1">
      <alignment horizontal="center"/>
    </xf>
    <xf numFmtId="37" fontId="11" fillId="4" borderId="5" xfId="0" applyNumberFormat="1" applyFont="1" applyFill="1" applyBorder="1"/>
    <xf numFmtId="37" fontId="11" fillId="4" borderId="4" xfId="0" applyNumberFormat="1" applyFont="1" applyFill="1" applyBorder="1"/>
    <xf numFmtId="37" fontId="11" fillId="4" borderId="10" xfId="0" applyNumberFormat="1" applyFont="1" applyFill="1" applyBorder="1"/>
    <xf numFmtId="0" fontId="12" fillId="0" borderId="17" xfId="0" applyFont="1" applyBorder="1"/>
    <xf numFmtId="0" fontId="12" fillId="0" borderId="7" xfId="0" applyFont="1" applyBorder="1"/>
    <xf numFmtId="0" fontId="3" fillId="9" borderId="0" xfId="0" applyFont="1" applyFill="1" applyBorder="1"/>
    <xf numFmtId="0" fontId="3" fillId="8" borderId="0" xfId="0" applyFont="1" applyFill="1" applyBorder="1"/>
    <xf numFmtId="0" fontId="3" fillId="10" borderId="0" xfId="0" applyFont="1" applyFill="1" applyBorder="1"/>
    <xf numFmtId="0" fontId="3" fillId="3" borderId="0" xfId="0" applyFont="1" applyFill="1" applyBorder="1"/>
    <xf numFmtId="0" fontId="3" fillId="7" borderId="0" xfId="0" applyFont="1" applyFill="1" applyBorder="1"/>
    <xf numFmtId="0" fontId="3" fillId="12" borderId="0" xfId="0" applyFont="1" applyFill="1" applyBorder="1"/>
    <xf numFmtId="0" fontId="3" fillId="5" borderId="0" xfId="0" applyFont="1" applyFill="1" applyBorder="1"/>
    <xf numFmtId="0" fontId="13" fillId="0" borderId="11" xfId="0" applyFont="1" applyBorder="1"/>
    <xf numFmtId="0" fontId="13" fillId="16" borderId="11" xfId="0" applyFont="1" applyFill="1" applyBorder="1"/>
    <xf numFmtId="0" fontId="13" fillId="6" borderId="11" xfId="0" applyFont="1" applyFill="1" applyBorder="1"/>
    <xf numFmtId="0" fontId="13" fillId="13" borderId="11" xfId="0" applyFont="1" applyFill="1" applyBorder="1"/>
    <xf numFmtId="0" fontId="13" fillId="3" borderId="11" xfId="0" applyFont="1" applyFill="1" applyBorder="1"/>
    <xf numFmtId="0" fontId="13" fillId="8" borderId="11" xfId="0" applyFont="1" applyFill="1" applyBorder="1"/>
    <xf numFmtId="0" fontId="13" fillId="0" borderId="13" xfId="0" applyFont="1" applyBorder="1"/>
    <xf numFmtId="0" fontId="0" fillId="0" borderId="0" xfId="0" applyFill="1"/>
    <xf numFmtId="0" fontId="16" fillId="0" borderId="20" xfId="0" applyFont="1" applyBorder="1" applyAlignment="1">
      <alignment horizontal="center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0" xfId="0" quotePrefix="1" applyFont="1" applyAlignment="1">
      <alignment horizontal="left" wrapText="1"/>
    </xf>
    <xf numFmtId="166" fontId="18" fillId="0" borderId="0" xfId="0" applyNumberFormat="1" applyFont="1" applyAlignment="1">
      <alignment horizontal="right" wrapText="1"/>
    </xf>
    <xf numFmtId="167" fontId="17" fillId="0" borderId="21" xfId="0" applyNumberFormat="1" applyFont="1" applyBorder="1" applyAlignment="1">
      <alignment horizontal="right" wrapText="1"/>
    </xf>
    <xf numFmtId="2" fontId="0" fillId="4" borderId="11" xfId="0" applyNumberFormat="1" applyFill="1" applyBorder="1"/>
    <xf numFmtId="2" fontId="0" fillId="4" borderId="11" xfId="1" applyNumberFormat="1" applyFont="1" applyFill="1" applyBorder="1"/>
    <xf numFmtId="2" fontId="0" fillId="11" borderId="11" xfId="1" applyNumberFormat="1" applyFont="1" applyFill="1" applyBorder="1"/>
    <xf numFmtId="2" fontId="0" fillId="4" borderId="12" xfId="1" applyNumberFormat="1" applyFont="1" applyFill="1" applyBorder="1"/>
    <xf numFmtId="2" fontId="0" fillId="4" borderId="13" xfId="1" applyNumberFormat="1" applyFont="1" applyFill="1" applyBorder="1"/>
    <xf numFmtId="2" fontId="7" fillId="2" borderId="4" xfId="1" applyNumberFormat="1" applyFont="1" applyFill="1" applyBorder="1"/>
    <xf numFmtId="2" fontId="7" fillId="2" borderId="5" xfId="1" applyNumberFormat="1" applyFont="1" applyFill="1" applyBorder="1"/>
    <xf numFmtId="0" fontId="0" fillId="0" borderId="0" xfId="0"/>
    <xf numFmtId="0" fontId="0" fillId="0" borderId="0" xfId="0"/>
    <xf numFmtId="0" fontId="8" fillId="0" borderId="0" xfId="0" applyFont="1"/>
    <xf numFmtId="0" fontId="7" fillId="17" borderId="6" xfId="0" applyFont="1" applyFill="1" applyBorder="1"/>
    <xf numFmtId="0" fontId="7" fillId="17" borderId="0" xfId="0" applyFont="1" applyFill="1"/>
    <xf numFmtId="0" fontId="7" fillId="17" borderId="7" xfId="0" applyFont="1" applyFill="1" applyBorder="1"/>
    <xf numFmtId="0" fontId="8" fillId="0" borderId="5" xfId="0" applyFont="1" applyBorder="1"/>
    <xf numFmtId="0" fontId="2" fillId="0" borderId="4" xfId="0" applyFont="1" applyBorder="1"/>
    <xf numFmtId="0" fontId="2" fillId="0" borderId="10" xfId="0" applyFont="1" applyBorder="1"/>
    <xf numFmtId="0" fontId="7" fillId="17" borderId="1" xfId="0" applyFont="1" applyFill="1" applyBorder="1"/>
    <xf numFmtId="0" fontId="7" fillId="17" borderId="8" xfId="0" applyFont="1" applyFill="1" applyBorder="1"/>
    <xf numFmtId="0" fontId="7" fillId="17" borderId="2" xfId="0" applyFont="1" applyFill="1" applyBorder="1"/>
    <xf numFmtId="0" fontId="14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/>
    <xf numFmtId="0" fontId="16" fillId="0" borderId="20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0" fillId="8" borderId="0" xfId="0" applyFill="1" applyAlignment="1"/>
    <xf numFmtId="0" fontId="0" fillId="18" borderId="0" xfId="0" applyFill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rbanleagueofessexcounty-my.sharepoint.com/personal/gward_ulec_org/Documents/Agency%20Budget%202018/2020/2020%20Agency%20Proposed%20Budgets.v5.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e 2019"/>
      <sheetName val="2020 Budget by Class"/>
      <sheetName val="Education "/>
      <sheetName val="WF NRevit"/>
      <sheetName val="AmeriCorp"/>
      <sheetName val="Real Estate (JC)"/>
      <sheetName val="Real Estate LR"/>
      <sheetName val="USJP"/>
      <sheetName val="Workforce"/>
      <sheetName val="FOC -Housing "/>
      <sheetName val="Admin"/>
      <sheetName val="Fundraising"/>
      <sheetName val="Salary Details"/>
      <sheetName val="Cost Alloc"/>
      <sheetName val="2019 Budget by Clas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6">
          <cell r="J46">
            <v>478369.06000000006</v>
          </cell>
          <cell r="K46">
            <v>58469.840000000004</v>
          </cell>
          <cell r="L46">
            <v>208746.58000000002</v>
          </cell>
          <cell r="M46">
            <v>224900.46</v>
          </cell>
          <cell r="N46">
            <v>136800.22</v>
          </cell>
          <cell r="O46">
            <v>71999.959999999992</v>
          </cell>
          <cell r="P46">
            <v>29400</v>
          </cell>
          <cell r="Q46">
            <v>109094.06</v>
          </cell>
          <cell r="R46">
            <v>250000.06</v>
          </cell>
          <cell r="S46">
            <v>80000.179999999993</v>
          </cell>
        </row>
        <row r="50">
          <cell r="K50">
            <v>2</v>
          </cell>
          <cell r="L50">
            <v>4</v>
          </cell>
          <cell r="S50">
            <v>1</v>
          </cell>
        </row>
      </sheetData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H80"/>
  <sheetViews>
    <sheetView topLeftCell="B1" workbookViewId="0">
      <selection activeCell="O6" sqref="O6"/>
    </sheetView>
  </sheetViews>
  <sheetFormatPr defaultRowHeight="14.5" x14ac:dyDescent="0.35"/>
  <cols>
    <col min="1" max="1" width="0" hidden="1" customWidth="1"/>
    <col min="2" max="2" width="4.54296875" style="14" customWidth="1"/>
    <col min="3" max="3" width="7.453125" style="14" customWidth="1"/>
    <col min="4" max="5" width="23" customWidth="1"/>
    <col min="6" max="6" width="10.453125" customWidth="1"/>
    <col min="7" max="7" width="11.54296875" customWidth="1"/>
    <col min="8" max="8" width="7.1796875" customWidth="1"/>
    <col min="9" max="9" width="12" style="2" customWidth="1"/>
    <col min="10" max="10" width="10.81640625" style="92" customWidth="1"/>
    <col min="11" max="11" width="7.81640625" style="3" customWidth="1"/>
    <col min="12" max="12" width="8.26953125" style="3" customWidth="1"/>
    <col min="13" max="13" width="10.81640625" style="1" customWidth="1"/>
    <col min="14" max="14" width="8.81640625" style="1" customWidth="1"/>
    <col min="15" max="15" width="11.26953125" style="3" customWidth="1"/>
    <col min="16" max="16" width="12.1796875" style="3" customWidth="1"/>
    <col min="17" max="17" width="11.26953125" style="93" customWidth="1"/>
    <col min="18" max="18" width="13.453125" style="4" customWidth="1"/>
    <col min="19" max="19" width="13.26953125" style="49" customWidth="1"/>
    <col min="20" max="20" width="15.7265625" style="49" customWidth="1"/>
    <col min="21" max="21" width="11.7265625" style="4" customWidth="1"/>
    <col min="22" max="22" width="11.7265625" customWidth="1"/>
    <col min="23" max="23" width="15.81640625" style="5" customWidth="1"/>
    <col min="24" max="24" width="11.54296875" customWidth="1"/>
    <col min="25" max="25" width="9.81640625" style="5" customWidth="1"/>
    <col min="26" max="26" width="12.453125" style="5" customWidth="1"/>
    <col min="27" max="27" width="12.7265625" customWidth="1"/>
    <col min="28" max="28" width="12" style="5" customWidth="1"/>
    <col min="29" max="29" width="12.1796875" style="5" customWidth="1"/>
    <col min="30" max="32" width="15.1796875" customWidth="1"/>
    <col min="33" max="33" width="14" customWidth="1"/>
    <col min="34" max="34" width="27" style="107" customWidth="1"/>
  </cols>
  <sheetData>
    <row r="1" spans="2:34" x14ac:dyDescent="0.35">
      <c r="B1" s="1" t="s">
        <v>68</v>
      </c>
      <c r="C1" s="1"/>
      <c r="Q1" s="93">
        <v>7251</v>
      </c>
      <c r="R1" s="4">
        <v>7252</v>
      </c>
      <c r="S1" s="4">
        <v>7253</v>
      </c>
      <c r="T1" s="4">
        <v>7254</v>
      </c>
      <c r="U1" s="4">
        <v>7260.1</v>
      </c>
      <c r="V1" s="4">
        <v>8140</v>
      </c>
      <c r="W1" s="5">
        <v>7515.5</v>
      </c>
      <c r="X1" s="5">
        <v>7521</v>
      </c>
      <c r="Y1" s="5">
        <v>8112</v>
      </c>
      <c r="Z1" s="5">
        <v>8135.5</v>
      </c>
      <c r="AA1" s="5">
        <v>8191</v>
      </c>
      <c r="AB1" s="5">
        <v>8210.5</v>
      </c>
      <c r="AC1" s="5">
        <v>8229.1</v>
      </c>
      <c r="AD1" s="5">
        <v>8239</v>
      </c>
      <c r="AE1" s="5">
        <v>8265</v>
      </c>
      <c r="AF1" s="5">
        <v>8266</v>
      </c>
      <c r="AG1" s="5">
        <v>7248</v>
      </c>
    </row>
    <row r="2" spans="2:34" x14ac:dyDescent="0.35">
      <c r="B2" s="1"/>
      <c r="C2" s="1"/>
      <c r="S2" s="4"/>
      <c r="T2" s="4"/>
      <c r="V2" s="4"/>
      <c r="X2" s="5"/>
      <c r="AA2" s="5"/>
      <c r="AD2" s="5"/>
      <c r="AE2" s="5"/>
      <c r="AF2" s="5"/>
      <c r="AG2" s="5"/>
    </row>
    <row r="3" spans="2:34" s="7" customFormat="1" ht="25.5" customHeight="1" thickBot="1" x14ac:dyDescent="0.5">
      <c r="B3" s="6"/>
      <c r="C3" s="6"/>
      <c r="I3" s="8"/>
      <c r="J3" s="101"/>
      <c r="K3" s="10"/>
      <c r="L3" s="10"/>
      <c r="M3" s="9"/>
      <c r="N3" s="9"/>
      <c r="O3" s="10"/>
      <c r="P3" s="10"/>
      <c r="Q3" s="94" t="s">
        <v>0</v>
      </c>
      <c r="R3" s="11" t="s">
        <v>1</v>
      </c>
      <c r="S3" s="11" t="s">
        <v>2</v>
      </c>
      <c r="T3" s="11" t="s">
        <v>3</v>
      </c>
      <c r="U3" s="11" t="s">
        <v>4</v>
      </c>
      <c r="V3" s="11" t="s">
        <v>5</v>
      </c>
      <c r="W3" s="12" t="s">
        <v>6</v>
      </c>
      <c r="X3" s="13" t="s">
        <v>7</v>
      </c>
      <c r="Y3" s="13" t="s">
        <v>8</v>
      </c>
      <c r="Z3" s="13" t="s">
        <v>9</v>
      </c>
      <c r="AA3" s="13" t="s">
        <v>10</v>
      </c>
      <c r="AB3" s="13" t="s">
        <v>11</v>
      </c>
      <c r="AC3" s="13" t="s">
        <v>12</v>
      </c>
      <c r="AD3" s="13" t="s">
        <v>13</v>
      </c>
      <c r="AE3" s="13" t="s">
        <v>14</v>
      </c>
      <c r="AF3" s="13" t="s">
        <v>15</v>
      </c>
      <c r="AG3" s="13" t="s">
        <v>87</v>
      </c>
      <c r="AH3" s="108"/>
    </row>
    <row r="4" spans="2:34" ht="15" thickBot="1" x14ac:dyDescent="0.4">
      <c r="Q4" s="95">
        <v>7986</v>
      </c>
      <c r="R4" s="15">
        <v>1867</v>
      </c>
      <c r="S4" s="15">
        <v>3707</v>
      </c>
      <c r="T4" s="15">
        <v>727</v>
      </c>
      <c r="U4" s="15">
        <v>1851</v>
      </c>
      <c r="V4" s="15"/>
      <c r="W4" s="16">
        <v>3006</v>
      </c>
      <c r="X4" s="17">
        <v>4900</v>
      </c>
      <c r="Y4" s="17">
        <v>2475</v>
      </c>
      <c r="Z4" s="15">
        <v>1055</v>
      </c>
      <c r="AA4" s="16">
        <v>312</v>
      </c>
      <c r="AB4" s="17">
        <v>1889</v>
      </c>
      <c r="AC4" s="17">
        <v>2386</v>
      </c>
      <c r="AD4" s="15">
        <v>1607</v>
      </c>
      <c r="AE4" s="16">
        <v>1974</v>
      </c>
      <c r="AF4" s="16">
        <v>4654</v>
      </c>
      <c r="AG4" s="16">
        <v>6787</v>
      </c>
      <c r="AH4" s="44"/>
    </row>
    <row r="5" spans="2:34" ht="15" thickBot="1" x14ac:dyDescent="0.4">
      <c r="Q5" s="96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44"/>
    </row>
    <row r="6" spans="2:34" x14ac:dyDescent="0.35">
      <c r="O6" s="3" t="s">
        <v>16</v>
      </c>
      <c r="Q6" s="9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0"/>
      <c r="AH6" s="44">
        <f>SUM(Q6:AG6)</f>
        <v>0</v>
      </c>
    </row>
    <row r="7" spans="2:34" ht="24.75" customHeight="1" x14ac:dyDescent="0.35">
      <c r="F7" s="21" t="s">
        <v>17</v>
      </c>
      <c r="I7" s="22"/>
      <c r="J7" s="102"/>
      <c r="K7" s="24"/>
      <c r="L7" s="24"/>
      <c r="M7" s="23"/>
      <c r="N7" s="23"/>
      <c r="O7" s="24"/>
      <c r="P7" s="24"/>
      <c r="Q7" s="98" t="s">
        <v>18</v>
      </c>
      <c r="R7" s="25" t="s">
        <v>18</v>
      </c>
      <c r="S7" s="25" t="s">
        <v>18</v>
      </c>
      <c r="T7" s="25" t="s">
        <v>18</v>
      </c>
      <c r="U7" s="25" t="s">
        <v>18</v>
      </c>
      <c r="V7" s="26" t="s">
        <v>19</v>
      </c>
      <c r="W7" s="26" t="s">
        <v>19</v>
      </c>
      <c r="X7" s="26" t="s">
        <v>19</v>
      </c>
      <c r="Y7" s="26" t="s">
        <v>19</v>
      </c>
      <c r="Z7" s="26" t="s">
        <v>19</v>
      </c>
      <c r="AA7" s="26" t="s">
        <v>19</v>
      </c>
      <c r="AB7" s="27" t="s">
        <v>20</v>
      </c>
      <c r="AC7" s="27" t="s">
        <v>20</v>
      </c>
      <c r="AD7" s="27" t="s">
        <v>20</v>
      </c>
      <c r="AE7" s="27" t="s">
        <v>20</v>
      </c>
      <c r="AF7" s="27" t="s">
        <v>20</v>
      </c>
      <c r="AG7" s="100" t="s">
        <v>18</v>
      </c>
      <c r="AH7" s="109"/>
    </row>
    <row r="8" spans="2:34" ht="15" thickBot="1" x14ac:dyDescent="0.4">
      <c r="E8" t="s">
        <v>95</v>
      </c>
      <c r="F8" s="21" t="s">
        <v>94</v>
      </c>
      <c r="J8" s="92" t="s">
        <v>21</v>
      </c>
      <c r="Q8" s="28">
        <v>1</v>
      </c>
      <c r="R8" s="28">
        <v>2</v>
      </c>
      <c r="S8" s="28">
        <v>3</v>
      </c>
      <c r="T8" s="28">
        <v>4</v>
      </c>
      <c r="U8" s="28">
        <v>5</v>
      </c>
      <c r="V8" s="28">
        <v>6</v>
      </c>
      <c r="W8" s="28">
        <v>7</v>
      </c>
      <c r="X8" s="28">
        <v>8</v>
      </c>
      <c r="Y8" s="28">
        <v>9</v>
      </c>
      <c r="Z8" s="28">
        <v>10</v>
      </c>
      <c r="AA8" s="28">
        <v>11</v>
      </c>
      <c r="AB8" s="28">
        <v>12</v>
      </c>
      <c r="AC8" s="28">
        <v>13</v>
      </c>
      <c r="AD8" s="28">
        <v>14</v>
      </c>
      <c r="AE8" s="28">
        <v>15</v>
      </c>
      <c r="AF8" s="28">
        <v>16</v>
      </c>
      <c r="AG8" s="28">
        <v>17</v>
      </c>
    </row>
    <row r="9" spans="2:34" ht="15" thickBot="1" x14ac:dyDescent="0.4">
      <c r="D9" s="116"/>
      <c r="E9" s="116"/>
      <c r="F9" s="117"/>
      <c r="G9" s="113"/>
      <c r="K9" s="30" t="s">
        <v>18</v>
      </c>
      <c r="L9" s="30" t="s">
        <v>18</v>
      </c>
      <c r="M9" s="31" t="s">
        <v>22</v>
      </c>
      <c r="N9" s="32" t="s">
        <v>22</v>
      </c>
      <c r="O9" s="33" t="s">
        <v>19</v>
      </c>
      <c r="P9" s="34" t="s">
        <v>19</v>
      </c>
      <c r="Q9" s="99"/>
      <c r="R9" s="28"/>
      <c r="S9" s="28"/>
      <c r="T9" s="28"/>
      <c r="U9" s="28"/>
      <c r="V9" s="28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110"/>
      <c r="AH9" s="111"/>
    </row>
    <row r="10" spans="2:34" ht="15" thickBot="1" x14ac:dyDescent="0.4">
      <c r="B10" s="14">
        <v>1</v>
      </c>
      <c r="C10" s="14" t="s">
        <v>88</v>
      </c>
      <c r="D10" s="126" t="s">
        <v>63</v>
      </c>
      <c r="E10" s="126"/>
      <c r="F10" s="118">
        <v>0</v>
      </c>
      <c r="G10" s="114"/>
      <c r="K10" s="38">
        <f t="shared" ref="K10:K34" si="0">F10/$F$44</f>
        <v>0</v>
      </c>
      <c r="L10" s="38">
        <f t="shared" ref="L10:L38" si="1">F10/$F$41</f>
        <v>0</v>
      </c>
      <c r="M10" s="39">
        <v>0</v>
      </c>
      <c r="N10" s="40">
        <f>M10/$M$41</f>
        <v>0</v>
      </c>
      <c r="O10" s="23">
        <v>0</v>
      </c>
      <c r="P10" s="115">
        <f>O10/O41</f>
        <v>0</v>
      </c>
      <c r="Q10" s="178">
        <v>0</v>
      </c>
      <c r="R10" s="178">
        <v>0</v>
      </c>
      <c r="S10" s="178">
        <v>0</v>
      </c>
      <c r="T10" s="178">
        <v>0</v>
      </c>
      <c r="U10" s="178">
        <v>0</v>
      </c>
      <c r="V10" s="178">
        <v>0</v>
      </c>
      <c r="W10" s="178">
        <v>0</v>
      </c>
      <c r="X10" s="178">
        <v>0</v>
      </c>
      <c r="Y10" s="178">
        <v>0</v>
      </c>
      <c r="Z10" s="178">
        <v>0</v>
      </c>
      <c r="AA10" s="178">
        <v>0</v>
      </c>
      <c r="AB10" s="178">
        <v>0</v>
      </c>
      <c r="AC10" s="178">
        <v>0</v>
      </c>
      <c r="AD10" s="178">
        <v>0</v>
      </c>
      <c r="AE10" s="178">
        <v>0</v>
      </c>
      <c r="AF10" s="178">
        <v>0</v>
      </c>
      <c r="AG10" s="178">
        <v>0</v>
      </c>
      <c r="AH10" s="177"/>
    </row>
    <row r="11" spans="2:34" x14ac:dyDescent="0.35">
      <c r="B11" s="14">
        <v>2</v>
      </c>
      <c r="C11" s="14">
        <v>111</v>
      </c>
      <c r="D11" s="126" t="s">
        <v>23</v>
      </c>
      <c r="E11" s="126"/>
      <c r="F11" s="35">
        <v>31259</v>
      </c>
      <c r="G11" s="41">
        <v>170000</v>
      </c>
      <c r="H11" s="36"/>
      <c r="I11" s="37"/>
      <c r="J11" s="103">
        <f>'[1]Salary Details'!J46</f>
        <v>478369.06000000006</v>
      </c>
      <c r="K11" s="38">
        <f t="shared" si="0"/>
        <v>0.23599713110112869</v>
      </c>
      <c r="L11" s="38">
        <f t="shared" si="1"/>
        <v>0.12372011287941455</v>
      </c>
      <c r="M11" s="39">
        <v>5000</v>
      </c>
      <c r="N11" s="40">
        <f>M11/$M$41</f>
        <v>0.3125</v>
      </c>
      <c r="O11" s="23">
        <v>12</v>
      </c>
      <c r="P11" s="105">
        <f t="shared" ref="P11:P39" si="2">O11/$O$41</f>
        <v>0.33333333333333331</v>
      </c>
      <c r="Q11" s="121">
        <f>K11*$Q$4</f>
        <v>1884.6730889736136</v>
      </c>
      <c r="R11" s="120">
        <f>K11*R$4</f>
        <v>440.60664376580723</v>
      </c>
      <c r="S11" s="120">
        <f>K11*S$4</f>
        <v>874.84136499188401</v>
      </c>
      <c r="T11" s="120">
        <f>K11*$T$4</f>
        <v>171.56991431052055</v>
      </c>
      <c r="U11" s="120">
        <f>K11*$U$4</f>
        <v>436.83068966818922</v>
      </c>
      <c r="V11" s="120">
        <f>P11*$V$4</f>
        <v>0</v>
      </c>
      <c r="W11" s="122">
        <f>$P11*$W$4</f>
        <v>1002</v>
      </c>
      <c r="X11" s="122">
        <f>$P11*$X$4</f>
        <v>1633.3333333333333</v>
      </c>
      <c r="Y11" s="122">
        <f>$P11*$Y$4</f>
        <v>825</v>
      </c>
      <c r="Z11" s="122">
        <f>$P11*$Z$4</f>
        <v>351.66666666666663</v>
      </c>
      <c r="AA11" s="122">
        <f>$P11*$AA$4</f>
        <v>104</v>
      </c>
      <c r="AB11" s="122">
        <f>$N11*AB$4</f>
        <v>590.3125</v>
      </c>
      <c r="AC11" s="122">
        <f t="shared" ref="AC11:AF34" si="3">$N11*AC$4</f>
        <v>745.625</v>
      </c>
      <c r="AD11" s="122">
        <f t="shared" si="3"/>
        <v>502.1875</v>
      </c>
      <c r="AE11" s="122">
        <f t="shared" si="3"/>
        <v>616.875</v>
      </c>
      <c r="AF11" s="122">
        <f t="shared" si="3"/>
        <v>1454.375</v>
      </c>
      <c r="AG11" s="120">
        <f>L11*$AG$4</f>
        <v>839.68840611258656</v>
      </c>
      <c r="AH11" s="133" t="str">
        <f>D11</f>
        <v>Abbott</v>
      </c>
    </row>
    <row r="12" spans="2:34" x14ac:dyDescent="0.35">
      <c r="B12" s="14">
        <v>3</v>
      </c>
      <c r="C12" s="14" t="s">
        <v>89</v>
      </c>
      <c r="D12" s="126" t="s">
        <v>69</v>
      </c>
      <c r="E12" s="126"/>
      <c r="F12" s="35">
        <v>1508</v>
      </c>
      <c r="G12" s="41"/>
      <c r="H12" s="36"/>
      <c r="I12" s="37"/>
      <c r="J12" s="103"/>
      <c r="K12" s="38">
        <f t="shared" si="0"/>
        <v>1.1384998678796573E-2</v>
      </c>
      <c r="L12" s="38">
        <f t="shared" si="1"/>
        <v>5.9685188336849274E-3</v>
      </c>
      <c r="M12" s="39"/>
      <c r="N12" s="40"/>
      <c r="O12" s="23">
        <v>1</v>
      </c>
      <c r="P12" s="106">
        <f t="shared" si="2"/>
        <v>2.7777777777777776E-2</v>
      </c>
      <c r="Q12" s="121">
        <f t="shared" ref="Q12:Q34" si="4">K12*$Q$4</f>
        <v>90.920599448869439</v>
      </c>
      <c r="R12" s="120">
        <f t="shared" ref="R12:R34" si="5">K12*$R$4</f>
        <v>21.255792533313201</v>
      </c>
      <c r="S12" s="120">
        <f t="shared" ref="S12:S34" si="6">K12*S$4</f>
        <v>42.204190102298895</v>
      </c>
      <c r="T12" s="120">
        <f t="shared" ref="T12:T34" si="7">K12*$T$4</f>
        <v>8.2768940394851089</v>
      </c>
      <c r="U12" s="120">
        <f t="shared" ref="U12:U34" si="8">K12*$U$4</f>
        <v>21.073632554452455</v>
      </c>
      <c r="V12" s="120">
        <f t="shared" ref="V12:V36" si="9">P12*$V$4</f>
        <v>0</v>
      </c>
      <c r="W12" s="122">
        <f t="shared" ref="W12:W38" si="10">P12*$W$4</f>
        <v>83.5</v>
      </c>
      <c r="X12" s="122">
        <f t="shared" ref="X12:X38" si="11">$P12*$X$4</f>
        <v>136.11111111111111</v>
      </c>
      <c r="Y12" s="122">
        <f t="shared" ref="Y12:Y38" si="12">$P12*$Y$4</f>
        <v>68.75</v>
      </c>
      <c r="Z12" s="122">
        <f t="shared" ref="Z12:Z38" si="13">$P12*$Z$4</f>
        <v>29.305555555555554</v>
      </c>
      <c r="AA12" s="122">
        <f t="shared" ref="AA12:AA38" si="14">$P12*$AA$4</f>
        <v>8.6666666666666661</v>
      </c>
      <c r="AB12" s="122">
        <f t="shared" ref="AB12:AB40" si="15">$N12*$AB$4</f>
        <v>0</v>
      </c>
      <c r="AC12" s="122">
        <f t="shared" si="3"/>
        <v>0</v>
      </c>
      <c r="AD12" s="122">
        <f t="shared" si="3"/>
        <v>0</v>
      </c>
      <c r="AE12" s="122">
        <f t="shared" si="3"/>
        <v>0</v>
      </c>
      <c r="AF12" s="122">
        <f t="shared" si="3"/>
        <v>0</v>
      </c>
      <c r="AG12" s="120">
        <f t="shared" ref="AG12:AG16" si="16">L12*$AG$4</f>
        <v>40.508337324219603</v>
      </c>
      <c r="AH12" s="133" t="str">
        <f t="shared" ref="AH12:AH40" si="17">D12</f>
        <v>Abbott - Other</v>
      </c>
    </row>
    <row r="13" spans="2:34" x14ac:dyDescent="0.35">
      <c r="B13" s="14">
        <v>4</v>
      </c>
      <c r="C13" s="14" t="s">
        <v>90</v>
      </c>
      <c r="D13" s="126" t="s">
        <v>91</v>
      </c>
      <c r="E13" s="126"/>
      <c r="F13" s="35">
        <v>1293</v>
      </c>
      <c r="G13" s="41"/>
      <c r="H13" s="36"/>
      <c r="I13" s="37"/>
      <c r="J13" s="103"/>
      <c r="K13" s="38">
        <f t="shared" si="0"/>
        <v>9.7618058963421534E-3</v>
      </c>
      <c r="L13" s="38">
        <f t="shared" si="1"/>
        <v>5.1175695304738799E-3</v>
      </c>
      <c r="M13" s="39"/>
      <c r="N13" s="40"/>
      <c r="O13" s="23">
        <v>1</v>
      </c>
      <c r="P13" s="106">
        <f t="shared" si="2"/>
        <v>2.7777777777777776E-2</v>
      </c>
      <c r="Q13" s="121">
        <f t="shared" ref="Q13" si="18">K13*$Q$4</f>
        <v>77.957781888188435</v>
      </c>
      <c r="R13" s="120">
        <f t="shared" ref="R13" si="19">K13*$R$4</f>
        <v>18.225291608470801</v>
      </c>
      <c r="S13" s="120">
        <f t="shared" ref="S13" si="20">K13*S$4</f>
        <v>36.187014457740361</v>
      </c>
      <c r="T13" s="120">
        <f t="shared" ref="T13" si="21">K13*$T$4</f>
        <v>7.0968328866407457</v>
      </c>
      <c r="U13" s="120">
        <f t="shared" ref="U13" si="22">K13*$U$4</f>
        <v>18.069102714129325</v>
      </c>
      <c r="V13" s="120">
        <f t="shared" ref="V13" si="23">P13*$V$4</f>
        <v>0</v>
      </c>
      <c r="W13" s="122">
        <f t="shared" ref="W13" si="24">P13*$W$4</f>
        <v>83.5</v>
      </c>
      <c r="X13" s="122">
        <f t="shared" si="11"/>
        <v>136.11111111111111</v>
      </c>
      <c r="Y13" s="122">
        <f t="shared" si="12"/>
        <v>68.75</v>
      </c>
      <c r="Z13" s="122">
        <f t="shared" si="13"/>
        <v>29.305555555555554</v>
      </c>
      <c r="AA13" s="122">
        <f t="shared" si="14"/>
        <v>8.6666666666666661</v>
      </c>
      <c r="AB13" s="122">
        <f t="shared" si="15"/>
        <v>0</v>
      </c>
      <c r="AC13" s="122">
        <f t="shared" si="3"/>
        <v>0</v>
      </c>
      <c r="AD13" s="122">
        <f t="shared" si="3"/>
        <v>0</v>
      </c>
      <c r="AE13" s="122">
        <f t="shared" si="3"/>
        <v>0</v>
      </c>
      <c r="AF13" s="122">
        <f t="shared" si="3"/>
        <v>0</v>
      </c>
      <c r="AG13" s="120">
        <f t="shared" ref="AG13" si="25">L13*$AG$4</f>
        <v>34.732944403326222</v>
      </c>
      <c r="AH13" s="133" t="str">
        <f t="shared" ref="AH13" si="26">D13</f>
        <v>Abbott - Fees</v>
      </c>
    </row>
    <row r="14" spans="2:34" x14ac:dyDescent="0.35">
      <c r="B14" s="14">
        <v>5</v>
      </c>
      <c r="C14" s="14">
        <v>112.1</v>
      </c>
      <c r="D14" s="126" t="s">
        <v>70</v>
      </c>
      <c r="E14" s="126"/>
      <c r="F14" s="35">
        <v>4484</v>
      </c>
      <c r="G14" s="41">
        <v>21000</v>
      </c>
      <c r="I14" s="2">
        <v>8</v>
      </c>
      <c r="J14" s="103">
        <f>'[1]Salary Details'!K46</f>
        <v>58469.840000000004</v>
      </c>
      <c r="K14" s="38">
        <f t="shared" si="0"/>
        <v>3.3853006681514475E-2</v>
      </c>
      <c r="L14" s="38">
        <f t="shared" si="1"/>
        <v>1.7747240351620168E-2</v>
      </c>
      <c r="M14" s="39">
        <v>500</v>
      </c>
      <c r="N14" s="40">
        <f>M14/$M$41</f>
        <v>3.125E-2</v>
      </c>
      <c r="O14" s="23">
        <f>'[1]Salary Details'!K50</f>
        <v>2</v>
      </c>
      <c r="P14" s="106">
        <f t="shared" si="2"/>
        <v>5.5555555555555552E-2</v>
      </c>
      <c r="Q14" s="121">
        <f t="shared" si="4"/>
        <v>270.35011135857462</v>
      </c>
      <c r="R14" s="120">
        <f t="shared" si="5"/>
        <v>63.203563474387522</v>
      </c>
      <c r="S14" s="120">
        <f t="shared" si="6"/>
        <v>125.49309576837416</v>
      </c>
      <c r="T14" s="120">
        <f t="shared" si="7"/>
        <v>24.611135857461022</v>
      </c>
      <c r="U14" s="120">
        <f t="shared" si="8"/>
        <v>62.661915367483296</v>
      </c>
      <c r="V14" s="120">
        <f t="shared" si="9"/>
        <v>0</v>
      </c>
      <c r="W14" s="122">
        <f t="shared" si="10"/>
        <v>167</v>
      </c>
      <c r="X14" s="122">
        <f t="shared" si="11"/>
        <v>272.22222222222223</v>
      </c>
      <c r="Y14" s="122">
        <f t="shared" si="12"/>
        <v>137.5</v>
      </c>
      <c r="Z14" s="122">
        <f t="shared" si="13"/>
        <v>58.611111111111107</v>
      </c>
      <c r="AA14" s="122">
        <f t="shared" si="14"/>
        <v>17.333333333333332</v>
      </c>
      <c r="AB14" s="122">
        <f t="shared" si="15"/>
        <v>59.03125</v>
      </c>
      <c r="AC14" s="122">
        <f t="shared" si="3"/>
        <v>74.5625</v>
      </c>
      <c r="AD14" s="122">
        <f t="shared" si="3"/>
        <v>50.21875</v>
      </c>
      <c r="AE14" s="122">
        <f t="shared" si="3"/>
        <v>61.6875</v>
      </c>
      <c r="AF14" s="122">
        <f t="shared" si="3"/>
        <v>145.4375</v>
      </c>
      <c r="AG14" s="120">
        <f t="shared" si="16"/>
        <v>120.45052026644608</v>
      </c>
      <c r="AH14" s="133" t="str">
        <f t="shared" si="17"/>
        <v>EHS - Toddlers</v>
      </c>
    </row>
    <row r="15" spans="2:34" ht="15" thickBot="1" x14ac:dyDescent="0.4">
      <c r="B15" s="14">
        <v>6</v>
      </c>
      <c r="C15" s="14">
        <v>451</v>
      </c>
      <c r="D15" s="179" t="s">
        <v>25</v>
      </c>
      <c r="E15" s="179"/>
      <c r="F15" s="180">
        <v>17825</v>
      </c>
      <c r="G15" s="181">
        <v>52000</v>
      </c>
      <c r="H15" s="182"/>
      <c r="I15" s="183">
        <v>1</v>
      </c>
      <c r="J15" s="184">
        <f>'[1]Salary Details'!L46</f>
        <v>208746.58000000002</v>
      </c>
      <c r="K15" s="181">
        <f t="shared" si="0"/>
        <v>0.13457400626627911</v>
      </c>
      <c r="L15" s="181">
        <f t="shared" si="1"/>
        <v>7.0549634091799623E-2</v>
      </c>
      <c r="M15" s="185">
        <v>1000</v>
      </c>
      <c r="N15" s="181">
        <f>M15/$M$41</f>
        <v>6.25E-2</v>
      </c>
      <c r="O15" s="186">
        <f>'[1]Salary Details'!L50</f>
        <v>4</v>
      </c>
      <c r="P15" s="181">
        <f t="shared" si="2"/>
        <v>0.1111111111111111</v>
      </c>
      <c r="Q15" s="187">
        <f t="shared" si="4"/>
        <v>1074.7080140425048</v>
      </c>
      <c r="R15" s="188">
        <f t="shared" si="5"/>
        <v>251.24966969914308</v>
      </c>
      <c r="S15" s="188">
        <f t="shared" si="6"/>
        <v>498.86584122909665</v>
      </c>
      <c r="T15" s="188">
        <f t="shared" si="7"/>
        <v>97.835302555584903</v>
      </c>
      <c r="U15" s="188">
        <f t="shared" si="8"/>
        <v>249.09648559888262</v>
      </c>
      <c r="V15" s="188">
        <f t="shared" si="9"/>
        <v>0</v>
      </c>
      <c r="W15" s="189">
        <f t="shared" si="10"/>
        <v>334</v>
      </c>
      <c r="X15" s="189">
        <f t="shared" si="11"/>
        <v>544.44444444444446</v>
      </c>
      <c r="Y15" s="189">
        <f t="shared" si="12"/>
        <v>275</v>
      </c>
      <c r="Z15" s="189">
        <f t="shared" si="13"/>
        <v>117.22222222222221</v>
      </c>
      <c r="AA15" s="189">
        <f t="shared" si="14"/>
        <v>34.666666666666664</v>
      </c>
      <c r="AB15" s="189">
        <f t="shared" si="15"/>
        <v>118.0625</v>
      </c>
      <c r="AC15" s="189">
        <f t="shared" si="3"/>
        <v>149.125</v>
      </c>
      <c r="AD15" s="189">
        <f t="shared" si="3"/>
        <v>100.4375</v>
      </c>
      <c r="AE15" s="189">
        <f t="shared" si="3"/>
        <v>123.375</v>
      </c>
      <c r="AF15" s="189">
        <f t="shared" si="3"/>
        <v>290.875</v>
      </c>
      <c r="AG15" s="188">
        <f t="shared" si="16"/>
        <v>478.82036658104403</v>
      </c>
      <c r="AH15" s="190" t="str">
        <f t="shared" si="17"/>
        <v>USJP - Staff</v>
      </c>
    </row>
    <row r="16" spans="2:34" x14ac:dyDescent="0.35">
      <c r="B16" s="14">
        <v>7</v>
      </c>
      <c r="C16" s="14">
        <v>467</v>
      </c>
      <c r="D16" s="127" t="s">
        <v>76</v>
      </c>
      <c r="E16" s="127"/>
      <c r="F16" s="138">
        <v>6312</v>
      </c>
      <c r="G16" s="139">
        <v>51000</v>
      </c>
      <c r="H16" s="140"/>
      <c r="I16" s="141">
        <v>1</v>
      </c>
      <c r="J16" s="142">
        <f>'[1]Salary Details'!M46</f>
        <v>224900.46</v>
      </c>
      <c r="K16" s="143">
        <f t="shared" si="0"/>
        <v>4.7653920199312971E-2</v>
      </c>
      <c r="L16" s="143">
        <f t="shared" si="1"/>
        <v>2.4982288380782001E-2</v>
      </c>
      <c r="M16" s="144">
        <v>750</v>
      </c>
      <c r="N16" s="145">
        <f>M16/$M$41</f>
        <v>4.6875E-2</v>
      </c>
      <c r="O16" s="146">
        <v>1</v>
      </c>
      <c r="P16" s="105">
        <f t="shared" si="2"/>
        <v>2.7777777777777776E-2</v>
      </c>
      <c r="Q16" s="121">
        <f t="shared" si="4"/>
        <v>380.56420671171338</v>
      </c>
      <c r="R16" s="120">
        <f t="shared" si="5"/>
        <v>88.969869012117314</v>
      </c>
      <c r="S16" s="120">
        <f t="shared" si="6"/>
        <v>176.6530821788532</v>
      </c>
      <c r="T16" s="120">
        <f t="shared" si="7"/>
        <v>34.644399984900531</v>
      </c>
      <c r="U16" s="120">
        <f t="shared" si="8"/>
        <v>88.207406288928311</v>
      </c>
      <c r="V16" s="120">
        <f t="shared" si="9"/>
        <v>0</v>
      </c>
      <c r="W16" s="122">
        <f t="shared" si="10"/>
        <v>83.5</v>
      </c>
      <c r="X16" s="122">
        <f t="shared" si="11"/>
        <v>136.11111111111111</v>
      </c>
      <c r="Y16" s="122">
        <f t="shared" si="12"/>
        <v>68.75</v>
      </c>
      <c r="Z16" s="122">
        <f t="shared" si="13"/>
        <v>29.305555555555554</v>
      </c>
      <c r="AA16" s="122">
        <f t="shared" si="14"/>
        <v>8.6666666666666661</v>
      </c>
      <c r="AB16" s="122">
        <f t="shared" si="15"/>
        <v>88.546875</v>
      </c>
      <c r="AC16" s="122">
        <f t="shared" si="3"/>
        <v>111.84375</v>
      </c>
      <c r="AD16" s="122">
        <f t="shared" si="3"/>
        <v>75.328125</v>
      </c>
      <c r="AE16" s="122">
        <f t="shared" si="3"/>
        <v>92.53125</v>
      </c>
      <c r="AF16" s="122">
        <f t="shared" si="3"/>
        <v>218.15625</v>
      </c>
      <c r="AG16" s="120">
        <f t="shared" si="16"/>
        <v>169.55479124036745</v>
      </c>
      <c r="AH16" s="133" t="str">
        <f t="shared" si="17"/>
        <v>Workforce UA</v>
      </c>
    </row>
    <row r="17" spans="2:34" x14ac:dyDescent="0.35">
      <c r="B17" s="14">
        <v>8</v>
      </c>
      <c r="C17" s="14">
        <v>454</v>
      </c>
      <c r="D17" s="127" t="s">
        <v>77</v>
      </c>
      <c r="E17" s="127"/>
      <c r="F17" s="35">
        <v>8236</v>
      </c>
      <c r="G17" s="41"/>
      <c r="H17" s="147"/>
      <c r="I17" s="148"/>
      <c r="J17" s="149"/>
      <c r="K17" s="38">
        <f t="shared" si="0"/>
        <v>6.2179608168812052E-2</v>
      </c>
      <c r="L17" s="38">
        <f t="shared" si="1"/>
        <v>3.2597295168586907E-2</v>
      </c>
      <c r="M17" s="39"/>
      <c r="N17" s="40"/>
      <c r="O17" s="150">
        <v>1</v>
      </c>
      <c r="P17" s="106">
        <f t="shared" si="2"/>
        <v>2.7777777777777776E-2</v>
      </c>
      <c r="Q17" s="121">
        <f t="shared" si="4"/>
        <v>496.56635083613304</v>
      </c>
      <c r="R17" s="120">
        <f t="shared" si="5"/>
        <v>116.08932845117211</v>
      </c>
      <c r="S17" s="120">
        <f t="shared" si="6"/>
        <v>230.49980748178626</v>
      </c>
      <c r="T17" s="120">
        <f t="shared" si="7"/>
        <v>45.204575138726362</v>
      </c>
      <c r="U17" s="120">
        <f t="shared" si="8"/>
        <v>115.09445472047111</v>
      </c>
      <c r="V17" s="120">
        <f t="shared" si="9"/>
        <v>0</v>
      </c>
      <c r="W17" s="122">
        <f t="shared" si="10"/>
        <v>83.5</v>
      </c>
      <c r="X17" s="122">
        <f t="shared" si="11"/>
        <v>136.11111111111111</v>
      </c>
      <c r="Y17" s="122">
        <f t="shared" si="12"/>
        <v>68.75</v>
      </c>
      <c r="Z17" s="122">
        <f t="shared" si="13"/>
        <v>29.305555555555554</v>
      </c>
      <c r="AA17" s="122">
        <f t="shared" si="14"/>
        <v>8.6666666666666661</v>
      </c>
      <c r="AB17" s="122">
        <f t="shared" si="15"/>
        <v>0</v>
      </c>
      <c r="AC17" s="122">
        <f t="shared" si="3"/>
        <v>0</v>
      </c>
      <c r="AD17" s="122">
        <f t="shared" si="3"/>
        <v>0</v>
      </c>
      <c r="AE17" s="122">
        <f t="shared" si="3"/>
        <v>0</v>
      </c>
      <c r="AF17" s="122">
        <f t="shared" si="3"/>
        <v>0</v>
      </c>
      <c r="AG17" s="120">
        <f t="shared" ref="AG17:AG40" si="27">L17*$AG$4</f>
        <v>221.23784230919932</v>
      </c>
      <c r="AH17" s="133" t="str">
        <f t="shared" si="17"/>
        <v>Pru -Workforce</v>
      </c>
    </row>
    <row r="18" spans="2:34" ht="15" thickBot="1" x14ac:dyDescent="0.4">
      <c r="B18" s="14">
        <v>9</v>
      </c>
      <c r="C18" s="14">
        <v>452</v>
      </c>
      <c r="D18" s="127" t="s">
        <v>39</v>
      </c>
      <c r="E18" s="127"/>
      <c r="F18" s="42">
        <v>4967</v>
      </c>
      <c r="G18" s="43"/>
      <c r="H18" s="151"/>
      <c r="I18" s="152"/>
      <c r="J18" s="153"/>
      <c r="K18" s="154">
        <f t="shared" si="0"/>
        <v>3.7499528141633008E-2</v>
      </c>
      <c r="L18" s="154">
        <f t="shared" si="1"/>
        <v>1.9658907856043125E-2</v>
      </c>
      <c r="M18" s="155"/>
      <c r="N18" s="156"/>
      <c r="O18" s="157">
        <v>1</v>
      </c>
      <c r="P18" s="158">
        <f t="shared" si="2"/>
        <v>2.7777777777777776E-2</v>
      </c>
      <c r="Q18" s="121">
        <f t="shared" si="4"/>
        <v>299.47123173908119</v>
      </c>
      <c r="R18" s="120">
        <f t="shared" si="5"/>
        <v>70.011619040428826</v>
      </c>
      <c r="S18" s="120">
        <f t="shared" si="6"/>
        <v>139.01075082103355</v>
      </c>
      <c r="T18" s="120">
        <f t="shared" si="7"/>
        <v>27.262156958967196</v>
      </c>
      <c r="U18" s="120">
        <f t="shared" si="8"/>
        <v>69.411626590162697</v>
      </c>
      <c r="V18" s="120">
        <f t="shared" si="9"/>
        <v>0</v>
      </c>
      <c r="W18" s="122">
        <f t="shared" si="10"/>
        <v>83.5</v>
      </c>
      <c r="X18" s="122">
        <f t="shared" si="11"/>
        <v>136.11111111111111</v>
      </c>
      <c r="Y18" s="122">
        <f t="shared" si="12"/>
        <v>68.75</v>
      </c>
      <c r="Z18" s="122">
        <f t="shared" si="13"/>
        <v>29.305555555555554</v>
      </c>
      <c r="AA18" s="122">
        <f t="shared" si="14"/>
        <v>8.6666666666666661</v>
      </c>
      <c r="AB18" s="122">
        <f t="shared" si="15"/>
        <v>0</v>
      </c>
      <c r="AC18" s="122">
        <f t="shared" si="3"/>
        <v>0</v>
      </c>
      <c r="AD18" s="122">
        <f t="shared" si="3"/>
        <v>0</v>
      </c>
      <c r="AE18" s="122">
        <f t="shared" si="3"/>
        <v>0</v>
      </c>
      <c r="AF18" s="122">
        <f t="shared" si="3"/>
        <v>0</v>
      </c>
      <c r="AG18" s="120">
        <f t="shared" si="27"/>
        <v>133.42500761896468</v>
      </c>
      <c r="AH18" s="133" t="str">
        <f t="shared" si="17"/>
        <v>PACE</v>
      </c>
    </row>
    <row r="19" spans="2:34" x14ac:dyDescent="0.35">
      <c r="B19" s="14">
        <v>10</v>
      </c>
      <c r="C19" s="14">
        <v>502</v>
      </c>
      <c r="D19" s="128" t="s">
        <v>78</v>
      </c>
      <c r="E19" s="128"/>
      <c r="F19" s="138">
        <v>1787</v>
      </c>
      <c r="G19" s="139">
        <v>25000</v>
      </c>
      <c r="H19" s="140"/>
      <c r="I19" s="141">
        <v>0</v>
      </c>
      <c r="J19" s="142">
        <f>'[1]Salary Details'!N46</f>
        <v>136800.22</v>
      </c>
      <c r="K19" s="143">
        <f t="shared" si="0"/>
        <v>1.3491374429051376E-2</v>
      </c>
      <c r="L19" s="143">
        <f t="shared" si="1"/>
        <v>7.0727739759913555E-3</v>
      </c>
      <c r="M19" s="144">
        <v>750</v>
      </c>
      <c r="N19" s="145">
        <f>M19/$M$41</f>
        <v>4.6875E-2</v>
      </c>
      <c r="O19" s="146">
        <v>1</v>
      </c>
      <c r="P19" s="105">
        <f t="shared" si="2"/>
        <v>2.7777777777777776E-2</v>
      </c>
      <c r="Q19" s="121">
        <f t="shared" si="4"/>
        <v>107.74211619040429</v>
      </c>
      <c r="R19" s="120">
        <f t="shared" si="5"/>
        <v>25.188396059038919</v>
      </c>
      <c r="S19" s="120">
        <f t="shared" si="6"/>
        <v>50.012525008493455</v>
      </c>
      <c r="T19" s="120">
        <f t="shared" si="7"/>
        <v>9.8082292099203503</v>
      </c>
      <c r="U19" s="120">
        <f t="shared" si="8"/>
        <v>24.972534068174099</v>
      </c>
      <c r="V19" s="120">
        <f t="shared" si="9"/>
        <v>0</v>
      </c>
      <c r="W19" s="122">
        <f t="shared" si="10"/>
        <v>83.5</v>
      </c>
      <c r="X19" s="122">
        <f t="shared" si="11"/>
        <v>136.11111111111111</v>
      </c>
      <c r="Y19" s="122">
        <f t="shared" si="12"/>
        <v>68.75</v>
      </c>
      <c r="Z19" s="122">
        <f t="shared" si="13"/>
        <v>29.305555555555554</v>
      </c>
      <c r="AA19" s="122">
        <f t="shared" si="14"/>
        <v>8.6666666666666661</v>
      </c>
      <c r="AB19" s="122">
        <f t="shared" si="15"/>
        <v>88.546875</v>
      </c>
      <c r="AC19" s="122">
        <f t="shared" si="3"/>
        <v>111.84375</v>
      </c>
      <c r="AD19" s="122">
        <f t="shared" si="3"/>
        <v>75.328125</v>
      </c>
      <c r="AE19" s="122">
        <f t="shared" si="3"/>
        <v>92.53125</v>
      </c>
      <c r="AF19" s="122">
        <f t="shared" si="3"/>
        <v>218.15625</v>
      </c>
      <c r="AG19" s="120">
        <f t="shared" si="27"/>
        <v>48.002916975053331</v>
      </c>
      <c r="AH19" s="133" t="str">
        <f t="shared" si="17"/>
        <v>Housing  ESG</v>
      </c>
    </row>
    <row r="20" spans="2:34" x14ac:dyDescent="0.35">
      <c r="B20" s="14">
        <v>11</v>
      </c>
      <c r="C20" s="14" t="s">
        <v>92</v>
      </c>
      <c r="D20" s="128" t="s">
        <v>85</v>
      </c>
      <c r="E20" s="128"/>
      <c r="F20" s="35">
        <v>900</v>
      </c>
      <c r="G20" s="41"/>
      <c r="H20" s="147"/>
      <c r="I20" s="148"/>
      <c r="J20" s="149"/>
      <c r="K20" s="38">
        <f t="shared" si="0"/>
        <v>6.7947604846929147E-3</v>
      </c>
      <c r="L20" s="38">
        <f t="shared" si="1"/>
        <v>3.5621133622788024E-3</v>
      </c>
      <c r="M20" s="39"/>
      <c r="N20" s="40"/>
      <c r="O20" s="150">
        <v>1</v>
      </c>
      <c r="P20" s="106">
        <f t="shared" si="2"/>
        <v>2.7777777777777776E-2</v>
      </c>
      <c r="Q20" s="121">
        <f t="shared" si="4"/>
        <v>54.262957230757614</v>
      </c>
      <c r="R20" s="120">
        <f t="shared" si="5"/>
        <v>12.685817824921672</v>
      </c>
      <c r="S20" s="120">
        <f t="shared" si="6"/>
        <v>25.188177116756634</v>
      </c>
      <c r="T20" s="120">
        <f t="shared" si="7"/>
        <v>4.9397908723717485</v>
      </c>
      <c r="U20" s="120">
        <f t="shared" si="8"/>
        <v>12.577101657166585</v>
      </c>
      <c r="V20" s="120">
        <f t="shared" si="9"/>
        <v>0</v>
      </c>
      <c r="W20" s="122">
        <f t="shared" si="10"/>
        <v>83.5</v>
      </c>
      <c r="X20" s="122">
        <f t="shared" si="11"/>
        <v>136.11111111111111</v>
      </c>
      <c r="Y20" s="122">
        <f t="shared" si="12"/>
        <v>68.75</v>
      </c>
      <c r="Z20" s="122">
        <f t="shared" si="13"/>
        <v>29.305555555555554</v>
      </c>
      <c r="AA20" s="122">
        <f t="shared" si="14"/>
        <v>8.6666666666666661</v>
      </c>
      <c r="AB20" s="122">
        <f t="shared" si="15"/>
        <v>0</v>
      </c>
      <c r="AC20" s="122">
        <f t="shared" si="3"/>
        <v>0</v>
      </c>
      <c r="AD20" s="122">
        <f t="shared" si="3"/>
        <v>0</v>
      </c>
      <c r="AE20" s="122">
        <f t="shared" si="3"/>
        <v>0</v>
      </c>
      <c r="AF20" s="122">
        <f t="shared" si="3"/>
        <v>0</v>
      </c>
      <c r="AG20" s="120">
        <f t="shared" si="27"/>
        <v>24.176063389786233</v>
      </c>
      <c r="AH20" s="133" t="str">
        <f t="shared" si="17"/>
        <v>NRTC 18 Housing</v>
      </c>
    </row>
    <row r="21" spans="2:34" x14ac:dyDescent="0.35">
      <c r="B21" s="14">
        <v>12</v>
      </c>
      <c r="C21" s="14">
        <v>341</v>
      </c>
      <c r="D21" s="128" t="s">
        <v>79</v>
      </c>
      <c r="E21" s="128"/>
      <c r="F21" s="35">
        <v>3832</v>
      </c>
      <c r="G21" s="41"/>
      <c r="H21" s="147"/>
      <c r="I21" s="148"/>
      <c r="J21" s="149"/>
      <c r="K21" s="38">
        <f t="shared" si="0"/>
        <v>2.8930580197048052E-2</v>
      </c>
      <c r="L21" s="38">
        <f t="shared" si="1"/>
        <v>1.5166687115835969E-2</v>
      </c>
      <c r="M21" s="39"/>
      <c r="N21" s="40"/>
      <c r="O21" s="150">
        <v>1</v>
      </c>
      <c r="P21" s="106">
        <f t="shared" si="2"/>
        <v>2.7777777777777776E-2</v>
      </c>
      <c r="Q21" s="121">
        <f t="shared" ref="Q21:Q28" si="28">K21*$Q$4</f>
        <v>231.03961345362575</v>
      </c>
      <c r="R21" s="120">
        <f t="shared" ref="R21:R28" si="29">K21*$R$4</f>
        <v>54.013393227888713</v>
      </c>
      <c r="S21" s="120">
        <f t="shared" ref="S21:S28" si="30">K21*S$4</f>
        <v>107.24566079045714</v>
      </c>
      <c r="T21" s="120">
        <f t="shared" ref="T21:T28" si="31">K21*$T$4</f>
        <v>21.032531803253935</v>
      </c>
      <c r="U21" s="120">
        <f t="shared" ref="U21:U28" si="32">K21*$U$4</f>
        <v>53.550503944735944</v>
      </c>
      <c r="V21" s="120">
        <f t="shared" si="9"/>
        <v>0</v>
      </c>
      <c r="W21" s="122">
        <f t="shared" si="10"/>
        <v>83.5</v>
      </c>
      <c r="X21" s="122">
        <f t="shared" si="11"/>
        <v>136.11111111111111</v>
      </c>
      <c r="Y21" s="122">
        <f t="shared" si="12"/>
        <v>68.75</v>
      </c>
      <c r="Z21" s="122">
        <f t="shared" si="13"/>
        <v>29.305555555555554</v>
      </c>
      <c r="AA21" s="122">
        <f t="shared" si="14"/>
        <v>8.6666666666666661</v>
      </c>
      <c r="AB21" s="122">
        <f t="shared" si="15"/>
        <v>0</v>
      </c>
      <c r="AC21" s="122">
        <f t="shared" si="3"/>
        <v>0</v>
      </c>
      <c r="AD21" s="122">
        <f t="shared" si="3"/>
        <v>0</v>
      </c>
      <c r="AE21" s="122">
        <f t="shared" si="3"/>
        <v>0</v>
      </c>
      <c r="AF21" s="122">
        <f t="shared" si="3"/>
        <v>0</v>
      </c>
      <c r="AG21" s="120">
        <f t="shared" si="27"/>
        <v>102.93630545517873</v>
      </c>
      <c r="AH21" s="133" t="str">
        <f t="shared" si="17"/>
        <v>NRTC20</v>
      </c>
    </row>
    <row r="22" spans="2:34" x14ac:dyDescent="0.35">
      <c r="B22" s="14">
        <v>13</v>
      </c>
      <c r="C22" s="14">
        <v>526</v>
      </c>
      <c r="D22" s="128" t="s">
        <v>80</v>
      </c>
      <c r="E22" s="128"/>
      <c r="F22" s="35">
        <v>2312</v>
      </c>
      <c r="G22" s="41"/>
      <c r="H22" s="147"/>
      <c r="I22" s="148"/>
      <c r="J22" s="149"/>
      <c r="K22" s="38">
        <f t="shared" si="0"/>
        <v>1.7454984711788909E-2</v>
      </c>
      <c r="L22" s="38">
        <f t="shared" si="1"/>
        <v>9.1506734373206569E-3</v>
      </c>
      <c r="M22" s="39"/>
      <c r="N22" s="40"/>
      <c r="O22" s="150">
        <v>1</v>
      </c>
      <c r="P22" s="106">
        <f t="shared" si="2"/>
        <v>2.7777777777777776E-2</v>
      </c>
      <c r="Q22" s="121">
        <f t="shared" si="28"/>
        <v>139.39550790834622</v>
      </c>
      <c r="R22" s="120">
        <f t="shared" si="29"/>
        <v>32.588456456909896</v>
      </c>
      <c r="S22" s="120">
        <f t="shared" si="30"/>
        <v>64.705628326601484</v>
      </c>
      <c r="T22" s="120">
        <f t="shared" si="31"/>
        <v>12.689773885470537</v>
      </c>
      <c r="U22" s="120">
        <f t="shared" si="32"/>
        <v>32.309176701521267</v>
      </c>
      <c r="V22" s="120">
        <f t="shared" si="9"/>
        <v>0</v>
      </c>
      <c r="W22" s="122">
        <f t="shared" si="10"/>
        <v>83.5</v>
      </c>
      <c r="X22" s="122">
        <f t="shared" si="11"/>
        <v>136.11111111111111</v>
      </c>
      <c r="Y22" s="122">
        <f t="shared" si="12"/>
        <v>68.75</v>
      </c>
      <c r="Z22" s="122">
        <f t="shared" si="13"/>
        <v>29.305555555555554</v>
      </c>
      <c r="AA22" s="122">
        <f t="shared" si="14"/>
        <v>8.6666666666666661</v>
      </c>
      <c r="AB22" s="122">
        <f t="shared" si="15"/>
        <v>0</v>
      </c>
      <c r="AC22" s="122">
        <f t="shared" si="3"/>
        <v>0</v>
      </c>
      <c r="AD22" s="122">
        <f t="shared" si="3"/>
        <v>0</v>
      </c>
      <c r="AE22" s="122">
        <f t="shared" si="3"/>
        <v>0</v>
      </c>
      <c r="AF22" s="122">
        <f t="shared" si="3"/>
        <v>0</v>
      </c>
      <c r="AG22" s="120">
        <f t="shared" si="27"/>
        <v>62.105620619095298</v>
      </c>
      <c r="AH22" s="133" t="str">
        <f t="shared" si="17"/>
        <v>CDBG</v>
      </c>
    </row>
    <row r="23" spans="2:34" ht="15" thickBot="1" x14ac:dyDescent="0.4">
      <c r="B23" s="14">
        <v>14</v>
      </c>
      <c r="C23" s="14">
        <v>515</v>
      </c>
      <c r="D23" s="128" t="s">
        <v>81</v>
      </c>
      <c r="E23" s="128"/>
      <c r="F23" s="42">
        <v>1584</v>
      </c>
      <c r="G23" s="43">
        <v>22000</v>
      </c>
      <c r="H23" s="151"/>
      <c r="I23" s="152">
        <v>1</v>
      </c>
      <c r="J23" s="153">
        <f>'[1]Salary Details'!O46</f>
        <v>71999.959999999992</v>
      </c>
      <c r="K23" s="154">
        <f t="shared" si="0"/>
        <v>1.1958778453059529E-2</v>
      </c>
      <c r="L23" s="154">
        <f t="shared" si="1"/>
        <v>6.2693195176106928E-3</v>
      </c>
      <c r="M23" s="155">
        <v>500</v>
      </c>
      <c r="N23" s="156">
        <f>M23/$M$41</f>
        <v>3.125E-2</v>
      </c>
      <c r="O23" s="157">
        <v>1</v>
      </c>
      <c r="P23" s="158">
        <f t="shared" si="2"/>
        <v>2.7777777777777776E-2</v>
      </c>
      <c r="Q23" s="121">
        <f t="shared" si="28"/>
        <v>95.502804726133391</v>
      </c>
      <c r="R23" s="120">
        <f t="shared" si="29"/>
        <v>22.327039371862142</v>
      </c>
      <c r="S23" s="120">
        <f t="shared" si="30"/>
        <v>44.331191725491671</v>
      </c>
      <c r="T23" s="120">
        <f t="shared" si="31"/>
        <v>8.6940319353742783</v>
      </c>
      <c r="U23" s="120">
        <f t="shared" si="32"/>
        <v>22.135698916613187</v>
      </c>
      <c r="V23" s="120">
        <f t="shared" si="9"/>
        <v>0</v>
      </c>
      <c r="W23" s="122">
        <f t="shared" si="10"/>
        <v>83.5</v>
      </c>
      <c r="X23" s="122">
        <f t="shared" si="11"/>
        <v>136.11111111111111</v>
      </c>
      <c r="Y23" s="122">
        <f t="shared" si="12"/>
        <v>68.75</v>
      </c>
      <c r="Z23" s="122">
        <f t="shared" si="13"/>
        <v>29.305555555555554</v>
      </c>
      <c r="AA23" s="122">
        <f t="shared" si="14"/>
        <v>8.6666666666666661</v>
      </c>
      <c r="AB23" s="122">
        <f t="shared" si="15"/>
        <v>59.03125</v>
      </c>
      <c r="AC23" s="122">
        <f t="shared" si="3"/>
        <v>74.5625</v>
      </c>
      <c r="AD23" s="122">
        <f t="shared" si="3"/>
        <v>50.21875</v>
      </c>
      <c r="AE23" s="122">
        <f t="shared" si="3"/>
        <v>61.6875</v>
      </c>
      <c r="AF23" s="122">
        <f t="shared" si="3"/>
        <v>145.4375</v>
      </c>
      <c r="AG23" s="120">
        <f t="shared" si="27"/>
        <v>42.549871566023775</v>
      </c>
      <c r="AH23" s="133" t="str">
        <f t="shared" si="17"/>
        <v>PARS</v>
      </c>
    </row>
    <row r="24" spans="2:34" x14ac:dyDescent="0.35">
      <c r="B24" s="14">
        <v>15</v>
      </c>
      <c r="C24" s="14">
        <v>560.1</v>
      </c>
      <c r="D24" s="129" t="s">
        <v>82</v>
      </c>
      <c r="E24" s="129"/>
      <c r="F24" s="138">
        <v>1310</v>
      </c>
      <c r="G24" s="139"/>
      <c r="H24" s="140"/>
      <c r="I24" s="141"/>
      <c r="J24" s="142"/>
      <c r="K24" s="143">
        <f t="shared" si="0"/>
        <v>9.8901513721641309E-3</v>
      </c>
      <c r="L24" s="143">
        <f t="shared" si="1"/>
        <v>5.1848538939835908E-3</v>
      </c>
      <c r="M24" s="144"/>
      <c r="N24" s="145"/>
      <c r="O24" s="146">
        <v>1</v>
      </c>
      <c r="P24" s="105">
        <f t="shared" si="2"/>
        <v>2.7777777777777776E-2</v>
      </c>
      <c r="Q24" s="121">
        <f t="shared" si="28"/>
        <v>78.982748858102752</v>
      </c>
      <c r="R24" s="120">
        <f t="shared" si="29"/>
        <v>18.464912611830432</v>
      </c>
      <c r="S24" s="120">
        <f t="shared" si="30"/>
        <v>36.662791136612434</v>
      </c>
      <c r="T24" s="120">
        <f t="shared" si="31"/>
        <v>7.1901400475633235</v>
      </c>
      <c r="U24" s="120">
        <f t="shared" si="32"/>
        <v>18.306670189875806</v>
      </c>
      <c r="V24" s="120">
        <f t="shared" si="9"/>
        <v>0</v>
      </c>
      <c r="W24" s="122">
        <f t="shared" si="10"/>
        <v>83.5</v>
      </c>
      <c r="X24" s="122">
        <f t="shared" si="11"/>
        <v>136.11111111111111</v>
      </c>
      <c r="Y24" s="122">
        <f t="shared" si="12"/>
        <v>68.75</v>
      </c>
      <c r="Z24" s="122">
        <f t="shared" si="13"/>
        <v>29.305555555555554</v>
      </c>
      <c r="AA24" s="122">
        <f t="shared" si="14"/>
        <v>8.6666666666666661</v>
      </c>
      <c r="AB24" s="122">
        <f t="shared" si="15"/>
        <v>0</v>
      </c>
      <c r="AC24" s="122">
        <f t="shared" si="3"/>
        <v>0</v>
      </c>
      <c r="AD24" s="122">
        <f t="shared" si="3"/>
        <v>0</v>
      </c>
      <c r="AE24" s="122">
        <f t="shared" si="3"/>
        <v>0</v>
      </c>
      <c r="AF24" s="122">
        <f t="shared" si="3"/>
        <v>0</v>
      </c>
      <c r="AG24" s="120">
        <f t="shared" si="27"/>
        <v>35.189603378466629</v>
      </c>
      <c r="AH24" s="133" t="str">
        <f t="shared" si="17"/>
        <v>Save UP2</v>
      </c>
    </row>
    <row r="25" spans="2:34" x14ac:dyDescent="0.35">
      <c r="B25" s="14">
        <v>16</v>
      </c>
      <c r="C25" s="14">
        <v>562</v>
      </c>
      <c r="D25" s="129" t="s">
        <v>83</v>
      </c>
      <c r="E25" s="129"/>
      <c r="F25" s="35">
        <v>7901</v>
      </c>
      <c r="G25" s="41"/>
      <c r="H25" s="147"/>
      <c r="I25" s="148"/>
      <c r="J25" s="149"/>
      <c r="K25" s="38">
        <f t="shared" si="0"/>
        <v>5.9650447321731907E-2</v>
      </c>
      <c r="L25" s="38">
        <f t="shared" si="1"/>
        <v>3.1271397417072022E-2</v>
      </c>
      <c r="M25" s="39"/>
      <c r="N25" s="40"/>
      <c r="O25" s="150">
        <v>1</v>
      </c>
      <c r="P25" s="106">
        <f t="shared" si="2"/>
        <v>2.7777777777777776E-2</v>
      </c>
      <c r="Q25" s="121">
        <f t="shared" si="28"/>
        <v>476.36847231135101</v>
      </c>
      <c r="R25" s="120">
        <f t="shared" si="29"/>
        <v>111.36738514967347</v>
      </c>
      <c r="S25" s="120">
        <f t="shared" si="30"/>
        <v>221.12420822166018</v>
      </c>
      <c r="T25" s="120">
        <f t="shared" si="31"/>
        <v>43.365875202899097</v>
      </c>
      <c r="U25" s="120">
        <f t="shared" si="32"/>
        <v>110.41297799252575</v>
      </c>
      <c r="V25" s="120">
        <f t="shared" si="9"/>
        <v>0</v>
      </c>
      <c r="W25" s="122">
        <f t="shared" si="10"/>
        <v>83.5</v>
      </c>
      <c r="X25" s="122">
        <f t="shared" si="11"/>
        <v>136.11111111111111</v>
      </c>
      <c r="Y25" s="122">
        <f t="shared" si="12"/>
        <v>68.75</v>
      </c>
      <c r="Z25" s="122">
        <f t="shared" si="13"/>
        <v>29.305555555555554</v>
      </c>
      <c r="AA25" s="122">
        <f t="shared" si="14"/>
        <v>8.6666666666666661</v>
      </c>
      <c r="AB25" s="122">
        <f t="shared" si="15"/>
        <v>0</v>
      </c>
      <c r="AC25" s="122">
        <f t="shared" si="3"/>
        <v>0</v>
      </c>
      <c r="AD25" s="122">
        <f t="shared" si="3"/>
        <v>0</v>
      </c>
      <c r="AE25" s="122">
        <f t="shared" si="3"/>
        <v>0</v>
      </c>
      <c r="AF25" s="122">
        <f t="shared" si="3"/>
        <v>0</v>
      </c>
      <c r="AG25" s="120">
        <f t="shared" si="27"/>
        <v>212.23897426966781</v>
      </c>
      <c r="AH25" s="133" t="str">
        <f t="shared" si="17"/>
        <v>LISC 2020</v>
      </c>
    </row>
    <row r="26" spans="2:34" x14ac:dyDescent="0.35">
      <c r="B26" s="14">
        <v>17</v>
      </c>
      <c r="C26" s="14">
        <v>563</v>
      </c>
      <c r="D26" s="129" t="s">
        <v>84</v>
      </c>
      <c r="E26" s="129"/>
      <c r="F26" s="35">
        <v>1154</v>
      </c>
      <c r="G26" s="41"/>
      <c r="H26" s="147"/>
      <c r="I26" s="148"/>
      <c r="J26" s="149"/>
      <c r="K26" s="38">
        <f t="shared" si="0"/>
        <v>8.712392888150693E-3</v>
      </c>
      <c r="L26" s="38">
        <f t="shared" si="1"/>
        <v>4.5674209111885977E-3</v>
      </c>
      <c r="M26" s="39"/>
      <c r="N26" s="40"/>
      <c r="O26" s="150">
        <v>1</v>
      </c>
      <c r="P26" s="106">
        <f t="shared" si="2"/>
        <v>2.7777777777777776E-2</v>
      </c>
      <c r="Q26" s="121">
        <f t="shared" si="28"/>
        <v>69.577169604771427</v>
      </c>
      <c r="R26" s="120">
        <f t="shared" si="29"/>
        <v>16.266037522177342</v>
      </c>
      <c r="S26" s="120">
        <f t="shared" si="30"/>
        <v>32.296840436374616</v>
      </c>
      <c r="T26" s="120">
        <f t="shared" si="31"/>
        <v>6.3339096296855537</v>
      </c>
      <c r="U26" s="120">
        <f t="shared" si="32"/>
        <v>16.126639235966934</v>
      </c>
      <c r="V26" s="120">
        <f t="shared" si="9"/>
        <v>0</v>
      </c>
      <c r="W26" s="122">
        <f t="shared" si="10"/>
        <v>83.5</v>
      </c>
      <c r="X26" s="122">
        <f t="shared" si="11"/>
        <v>136.11111111111111</v>
      </c>
      <c r="Y26" s="122">
        <f t="shared" si="12"/>
        <v>68.75</v>
      </c>
      <c r="Z26" s="122">
        <f t="shared" si="13"/>
        <v>29.305555555555554</v>
      </c>
      <c r="AA26" s="122">
        <f t="shared" si="14"/>
        <v>8.6666666666666661</v>
      </c>
      <c r="AB26" s="122">
        <f t="shared" si="15"/>
        <v>0</v>
      </c>
      <c r="AC26" s="122">
        <f t="shared" si="3"/>
        <v>0</v>
      </c>
      <c r="AD26" s="122">
        <f t="shared" si="3"/>
        <v>0</v>
      </c>
      <c r="AE26" s="122">
        <f t="shared" si="3"/>
        <v>0</v>
      </c>
      <c r="AF26" s="122">
        <f t="shared" si="3"/>
        <v>0</v>
      </c>
      <c r="AG26" s="120">
        <f t="shared" si="27"/>
        <v>30.999085724237013</v>
      </c>
      <c r="AH26" s="133" t="str">
        <f t="shared" si="17"/>
        <v>PRU -FOC</v>
      </c>
    </row>
    <row r="27" spans="2:34" ht="15" thickBot="1" x14ac:dyDescent="0.4">
      <c r="B27" s="14">
        <v>18</v>
      </c>
      <c r="C27" s="14" t="s">
        <v>93</v>
      </c>
      <c r="D27" s="129" t="s">
        <v>86</v>
      </c>
      <c r="E27" s="129"/>
      <c r="F27" s="42">
        <v>831</v>
      </c>
      <c r="G27" s="43"/>
      <c r="H27" s="151"/>
      <c r="I27" s="152"/>
      <c r="J27" s="153"/>
      <c r="K27" s="154">
        <f t="shared" si="0"/>
        <v>6.2738288475331248E-3</v>
      </c>
      <c r="L27" s="154">
        <f t="shared" si="1"/>
        <v>3.2890180045040945E-3</v>
      </c>
      <c r="M27" s="155"/>
      <c r="N27" s="156"/>
      <c r="O27" s="157">
        <v>0.5</v>
      </c>
      <c r="P27" s="158">
        <f t="shared" si="2"/>
        <v>1.3888888888888888E-2</v>
      </c>
      <c r="Q27" s="121">
        <f t="shared" si="28"/>
        <v>50.102797176399534</v>
      </c>
      <c r="R27" s="120">
        <f t="shared" si="29"/>
        <v>11.713238458344344</v>
      </c>
      <c r="S27" s="120">
        <f t="shared" si="30"/>
        <v>23.257083537805293</v>
      </c>
      <c r="T27" s="120">
        <f t="shared" si="31"/>
        <v>4.561073572156582</v>
      </c>
      <c r="U27" s="120">
        <f t="shared" si="32"/>
        <v>11.612857196783814</v>
      </c>
      <c r="V27" s="120">
        <f t="shared" ref="V27:V28" si="33">P27*$V$4</f>
        <v>0</v>
      </c>
      <c r="W27" s="122">
        <f t="shared" ref="W27:W28" si="34">P27*$W$4</f>
        <v>41.75</v>
      </c>
      <c r="X27" s="122">
        <f t="shared" si="11"/>
        <v>68.055555555555557</v>
      </c>
      <c r="Y27" s="122">
        <f t="shared" si="12"/>
        <v>34.375</v>
      </c>
      <c r="Z27" s="122">
        <f t="shared" si="13"/>
        <v>14.652777777777777</v>
      </c>
      <c r="AA27" s="122">
        <f t="shared" si="14"/>
        <v>4.333333333333333</v>
      </c>
      <c r="AB27" s="122">
        <f t="shared" si="15"/>
        <v>0</v>
      </c>
      <c r="AC27" s="122">
        <f t="shared" si="3"/>
        <v>0</v>
      </c>
      <c r="AD27" s="122">
        <f t="shared" si="3"/>
        <v>0</v>
      </c>
      <c r="AE27" s="122">
        <f t="shared" si="3"/>
        <v>0</v>
      </c>
      <c r="AF27" s="122">
        <f t="shared" si="3"/>
        <v>0</v>
      </c>
      <c r="AG27" s="120">
        <f t="shared" si="27"/>
        <v>22.32256519656929</v>
      </c>
      <c r="AH27" s="133" t="str">
        <f t="shared" si="17"/>
        <v>NRTC 18 FOC</v>
      </c>
    </row>
    <row r="28" spans="2:34" x14ac:dyDescent="0.35">
      <c r="B28" s="14">
        <v>19</v>
      </c>
      <c r="C28" s="14">
        <v>335</v>
      </c>
      <c r="D28" s="130" t="s">
        <v>75</v>
      </c>
      <c r="E28" s="130"/>
      <c r="F28" s="138">
        <v>3284</v>
      </c>
      <c r="G28" s="139">
        <v>23000</v>
      </c>
      <c r="H28" s="140"/>
      <c r="I28" s="141"/>
      <c r="J28" s="142">
        <f>'[1]Salary Details'!P46</f>
        <v>29400</v>
      </c>
      <c r="K28" s="143">
        <f t="shared" si="0"/>
        <v>2.4793326035257256E-2</v>
      </c>
      <c r="L28" s="143">
        <f t="shared" si="1"/>
        <v>1.2997755868581764E-2</v>
      </c>
      <c r="M28" s="144">
        <v>500</v>
      </c>
      <c r="N28" s="145">
        <f>M28/$M$41</f>
        <v>3.125E-2</v>
      </c>
      <c r="O28" s="146">
        <v>0.5</v>
      </c>
      <c r="P28" s="105">
        <f t="shared" si="2"/>
        <v>1.3888888888888888E-2</v>
      </c>
      <c r="Q28" s="121">
        <f t="shared" si="28"/>
        <v>197.99950171756444</v>
      </c>
      <c r="R28" s="120">
        <f t="shared" si="29"/>
        <v>46.289139707825299</v>
      </c>
      <c r="S28" s="120">
        <f t="shared" si="30"/>
        <v>91.908859612698649</v>
      </c>
      <c r="T28" s="120">
        <f t="shared" si="31"/>
        <v>18.024748027632025</v>
      </c>
      <c r="U28" s="120">
        <f t="shared" si="32"/>
        <v>45.892446491261182</v>
      </c>
      <c r="V28" s="120">
        <f t="shared" si="33"/>
        <v>0</v>
      </c>
      <c r="W28" s="122">
        <f t="shared" si="34"/>
        <v>41.75</v>
      </c>
      <c r="X28" s="122">
        <f t="shared" si="11"/>
        <v>68.055555555555557</v>
      </c>
      <c r="Y28" s="122">
        <f t="shared" si="12"/>
        <v>34.375</v>
      </c>
      <c r="Z28" s="122">
        <f t="shared" si="13"/>
        <v>14.652777777777777</v>
      </c>
      <c r="AA28" s="122">
        <f t="shared" si="14"/>
        <v>4.333333333333333</v>
      </c>
      <c r="AB28" s="122">
        <f t="shared" si="15"/>
        <v>59.03125</v>
      </c>
      <c r="AC28" s="122">
        <f t="shared" si="3"/>
        <v>74.5625</v>
      </c>
      <c r="AD28" s="122">
        <f t="shared" si="3"/>
        <v>50.21875</v>
      </c>
      <c r="AE28" s="122">
        <f t="shared" si="3"/>
        <v>61.6875</v>
      </c>
      <c r="AF28" s="122">
        <f t="shared" si="3"/>
        <v>145.4375</v>
      </c>
      <c r="AG28" s="120">
        <f t="shared" si="27"/>
        <v>88.215769080064433</v>
      </c>
      <c r="AH28" s="133" t="str">
        <f t="shared" si="17"/>
        <v>NRTC 19</v>
      </c>
    </row>
    <row r="29" spans="2:34" x14ac:dyDescent="0.35">
      <c r="B29" s="14">
        <v>20</v>
      </c>
      <c r="C29" s="14">
        <v>222</v>
      </c>
      <c r="D29" s="130" t="s">
        <v>57</v>
      </c>
      <c r="E29" s="130"/>
      <c r="F29" s="35">
        <v>4108</v>
      </c>
      <c r="G29" s="41"/>
      <c r="H29" s="147"/>
      <c r="I29" s="148"/>
      <c r="J29" s="149"/>
      <c r="K29" s="38">
        <f t="shared" si="0"/>
        <v>3.1014306745687215E-2</v>
      </c>
      <c r="L29" s="38">
        <f t="shared" si="1"/>
        <v>1.6259068546934801E-2</v>
      </c>
      <c r="M29" s="39"/>
      <c r="N29" s="40"/>
      <c r="O29" s="150">
        <v>0.5</v>
      </c>
      <c r="P29" s="106">
        <f t="shared" si="2"/>
        <v>1.3888888888888888E-2</v>
      </c>
      <c r="Q29" s="121">
        <f t="shared" si="4"/>
        <v>247.6802536710581</v>
      </c>
      <c r="R29" s="120">
        <f t="shared" si="5"/>
        <v>57.903710694198033</v>
      </c>
      <c r="S29" s="120">
        <f t="shared" si="6"/>
        <v>114.9700351062625</v>
      </c>
      <c r="T29" s="120">
        <f t="shared" si="7"/>
        <v>22.547401004114604</v>
      </c>
      <c r="U29" s="120">
        <f t="shared" si="8"/>
        <v>57.407481786267034</v>
      </c>
      <c r="V29" s="120">
        <f t="shared" si="9"/>
        <v>0</v>
      </c>
      <c r="W29" s="122">
        <f t="shared" si="10"/>
        <v>41.75</v>
      </c>
      <c r="X29" s="122">
        <f t="shared" si="11"/>
        <v>68.055555555555557</v>
      </c>
      <c r="Y29" s="122">
        <f t="shared" si="12"/>
        <v>34.375</v>
      </c>
      <c r="Z29" s="122">
        <f t="shared" si="13"/>
        <v>14.652777777777777</v>
      </c>
      <c r="AA29" s="122">
        <f t="shared" si="14"/>
        <v>4.333333333333333</v>
      </c>
      <c r="AB29" s="122">
        <f t="shared" si="15"/>
        <v>0</v>
      </c>
      <c r="AC29" s="122">
        <f t="shared" si="3"/>
        <v>0</v>
      </c>
      <c r="AD29" s="122">
        <f t="shared" si="3"/>
        <v>0</v>
      </c>
      <c r="AE29" s="122">
        <f t="shared" si="3"/>
        <v>0</v>
      </c>
      <c r="AF29" s="122">
        <f t="shared" si="3"/>
        <v>0</v>
      </c>
      <c r="AG29" s="120">
        <f t="shared" si="27"/>
        <v>110.3502982280465</v>
      </c>
      <c r="AH29" s="133" t="str">
        <f t="shared" si="17"/>
        <v>Coding</v>
      </c>
    </row>
    <row r="30" spans="2:34" ht="15" thickBot="1" x14ac:dyDescent="0.4">
      <c r="B30" s="14">
        <v>21</v>
      </c>
      <c r="C30" s="14">
        <v>368</v>
      </c>
      <c r="D30" s="130" t="s">
        <v>27</v>
      </c>
      <c r="E30" s="130"/>
      <c r="F30" s="42">
        <v>7961</v>
      </c>
      <c r="G30" s="43">
        <v>24000</v>
      </c>
      <c r="H30" s="151"/>
      <c r="I30" s="152">
        <v>0.5</v>
      </c>
      <c r="J30" s="153">
        <f>'[1]Salary Details'!Q46</f>
        <v>109094.06</v>
      </c>
      <c r="K30" s="154">
        <f t="shared" si="0"/>
        <v>6.0103431354044771E-2</v>
      </c>
      <c r="L30" s="154">
        <f t="shared" si="1"/>
        <v>3.1508871641223943E-2</v>
      </c>
      <c r="M30" s="155">
        <v>500</v>
      </c>
      <c r="N30" s="156">
        <f>M30/$M$41</f>
        <v>3.125E-2</v>
      </c>
      <c r="O30" s="157">
        <v>0.5</v>
      </c>
      <c r="P30" s="158">
        <f t="shared" si="2"/>
        <v>1.3888888888888888E-2</v>
      </c>
      <c r="Q30" s="121">
        <f t="shared" si="4"/>
        <v>479.98600279340155</v>
      </c>
      <c r="R30" s="120">
        <f t="shared" si="5"/>
        <v>112.21310633800159</v>
      </c>
      <c r="S30" s="120">
        <f t="shared" si="6"/>
        <v>222.80342002944397</v>
      </c>
      <c r="T30" s="120">
        <f t="shared" si="7"/>
        <v>43.69519459439055</v>
      </c>
      <c r="U30" s="120">
        <f t="shared" si="8"/>
        <v>111.25145143633688</v>
      </c>
      <c r="V30" s="120">
        <f t="shared" si="9"/>
        <v>0</v>
      </c>
      <c r="W30" s="122">
        <f t="shared" si="10"/>
        <v>41.75</v>
      </c>
      <c r="X30" s="122">
        <f t="shared" si="11"/>
        <v>68.055555555555557</v>
      </c>
      <c r="Y30" s="122">
        <f t="shared" si="12"/>
        <v>34.375</v>
      </c>
      <c r="Z30" s="122">
        <f t="shared" si="13"/>
        <v>14.652777777777777</v>
      </c>
      <c r="AA30" s="122">
        <f t="shared" si="14"/>
        <v>4.333333333333333</v>
      </c>
      <c r="AB30" s="122">
        <f t="shared" si="15"/>
        <v>59.03125</v>
      </c>
      <c r="AC30" s="122">
        <f t="shared" si="3"/>
        <v>74.5625</v>
      </c>
      <c r="AD30" s="122">
        <f t="shared" si="3"/>
        <v>50.21875</v>
      </c>
      <c r="AE30" s="122">
        <f t="shared" si="3"/>
        <v>61.6875</v>
      </c>
      <c r="AF30" s="122">
        <f t="shared" si="3"/>
        <v>145.4375</v>
      </c>
      <c r="AG30" s="120">
        <f t="shared" si="27"/>
        <v>213.8507118289869</v>
      </c>
      <c r="AH30" s="133" t="str">
        <f t="shared" si="17"/>
        <v>Neigh Revit</v>
      </c>
    </row>
    <row r="31" spans="2:34" x14ac:dyDescent="0.35">
      <c r="B31" s="14">
        <v>22</v>
      </c>
      <c r="C31" s="14">
        <v>610</v>
      </c>
      <c r="D31" s="126" t="s">
        <v>71</v>
      </c>
      <c r="E31" s="126"/>
      <c r="F31" s="138">
        <v>10731</v>
      </c>
      <c r="G31" s="139">
        <v>56000</v>
      </c>
      <c r="H31" s="140"/>
      <c r="I31" s="159"/>
      <c r="J31" s="142">
        <f>'[1]Salary Details'!R46</f>
        <v>250000.06</v>
      </c>
      <c r="K31" s="143">
        <f t="shared" si="0"/>
        <v>8.101619417915519E-2</v>
      </c>
      <c r="L31" s="143">
        <f t="shared" si="1"/>
        <v>4.2472264989570921E-2</v>
      </c>
      <c r="M31" s="144">
        <v>1750</v>
      </c>
      <c r="N31" s="145">
        <f>M31/$M$41</f>
        <v>0.109375</v>
      </c>
      <c r="O31" s="146">
        <v>1</v>
      </c>
      <c r="P31" s="105">
        <f t="shared" si="2"/>
        <v>2.7777777777777776E-2</v>
      </c>
      <c r="Q31" s="121">
        <f t="shared" si="4"/>
        <v>646.99532671473332</v>
      </c>
      <c r="R31" s="120">
        <f t="shared" si="5"/>
        <v>151.25723453248273</v>
      </c>
      <c r="S31" s="120">
        <f t="shared" si="6"/>
        <v>300.32703182212828</v>
      </c>
      <c r="T31" s="120">
        <f t="shared" si="7"/>
        <v>58.898773168245825</v>
      </c>
      <c r="U31" s="120">
        <f t="shared" si="8"/>
        <v>149.96097542561625</v>
      </c>
      <c r="V31" s="120">
        <f t="shared" si="9"/>
        <v>0</v>
      </c>
      <c r="W31" s="122">
        <f t="shared" si="10"/>
        <v>83.5</v>
      </c>
      <c r="X31" s="122">
        <f t="shared" si="11"/>
        <v>136.11111111111111</v>
      </c>
      <c r="Y31" s="122">
        <f t="shared" si="12"/>
        <v>68.75</v>
      </c>
      <c r="Z31" s="122">
        <f t="shared" si="13"/>
        <v>29.305555555555554</v>
      </c>
      <c r="AA31" s="122">
        <f t="shared" si="14"/>
        <v>8.6666666666666661</v>
      </c>
      <c r="AB31" s="122">
        <f t="shared" si="15"/>
        <v>206.609375</v>
      </c>
      <c r="AC31" s="122">
        <f t="shared" si="3"/>
        <v>260.96875</v>
      </c>
      <c r="AD31" s="122">
        <f t="shared" si="3"/>
        <v>175.765625</v>
      </c>
      <c r="AE31" s="122">
        <f t="shared" si="3"/>
        <v>215.90625</v>
      </c>
      <c r="AF31" s="122">
        <f t="shared" si="3"/>
        <v>509.03125</v>
      </c>
      <c r="AG31" s="120">
        <f t="shared" si="27"/>
        <v>288.25926248421786</v>
      </c>
      <c r="AH31" s="133" t="str">
        <f t="shared" si="17"/>
        <v>Admin- CEO</v>
      </c>
    </row>
    <row r="32" spans="2:34" x14ac:dyDescent="0.35">
      <c r="B32" s="14">
        <v>23</v>
      </c>
      <c r="C32" s="14">
        <v>620</v>
      </c>
      <c r="D32" s="126" t="s">
        <v>72</v>
      </c>
      <c r="E32" s="126"/>
      <c r="F32" s="35">
        <v>7685</v>
      </c>
      <c r="G32" s="41"/>
      <c r="H32" s="147"/>
      <c r="I32" s="160"/>
      <c r="J32" s="149"/>
      <c r="K32" s="38">
        <f t="shared" si="0"/>
        <v>5.8019704805405609E-2</v>
      </c>
      <c r="L32" s="38">
        <f t="shared" si="1"/>
        <v>3.0416490210125109E-2</v>
      </c>
      <c r="M32" s="39"/>
      <c r="N32" s="40"/>
      <c r="O32" s="150">
        <v>1</v>
      </c>
      <c r="P32" s="106">
        <f t="shared" si="2"/>
        <v>2.7777777777777776E-2</v>
      </c>
      <c r="Q32" s="121">
        <f t="shared" si="4"/>
        <v>463.3453625759692</v>
      </c>
      <c r="R32" s="120">
        <f t="shared" si="5"/>
        <v>108.32278887169227</v>
      </c>
      <c r="S32" s="120">
        <f t="shared" si="6"/>
        <v>215.07904571363858</v>
      </c>
      <c r="T32" s="120">
        <f t="shared" si="7"/>
        <v>42.180325393529877</v>
      </c>
      <c r="U32" s="120">
        <f t="shared" si="8"/>
        <v>107.39447359480579</v>
      </c>
      <c r="V32" s="120">
        <f t="shared" si="9"/>
        <v>0</v>
      </c>
      <c r="W32" s="122">
        <f t="shared" si="10"/>
        <v>83.5</v>
      </c>
      <c r="X32" s="122">
        <f t="shared" si="11"/>
        <v>136.11111111111111</v>
      </c>
      <c r="Y32" s="122">
        <f t="shared" si="12"/>
        <v>68.75</v>
      </c>
      <c r="Z32" s="122">
        <f t="shared" si="13"/>
        <v>29.305555555555554</v>
      </c>
      <c r="AA32" s="122">
        <f t="shared" si="14"/>
        <v>8.6666666666666661</v>
      </c>
      <c r="AB32" s="122">
        <f t="shared" si="15"/>
        <v>0</v>
      </c>
      <c r="AC32" s="122">
        <f t="shared" si="3"/>
        <v>0</v>
      </c>
      <c r="AD32" s="122">
        <f t="shared" si="3"/>
        <v>0</v>
      </c>
      <c r="AE32" s="122">
        <f t="shared" si="3"/>
        <v>0</v>
      </c>
      <c r="AF32" s="122">
        <f t="shared" si="3"/>
        <v>0</v>
      </c>
      <c r="AG32" s="120">
        <f t="shared" si="27"/>
        <v>206.4367190561191</v>
      </c>
      <c r="AH32" s="133" t="str">
        <f t="shared" si="17"/>
        <v>Admin- CFO</v>
      </c>
    </row>
    <row r="33" spans="2:34" x14ac:dyDescent="0.35">
      <c r="B33" s="14">
        <v>24</v>
      </c>
      <c r="C33" s="14">
        <v>630</v>
      </c>
      <c r="D33" s="126" t="s">
        <v>73</v>
      </c>
      <c r="E33" s="126"/>
      <c r="F33" s="35"/>
      <c r="G33" s="41"/>
      <c r="H33" s="147"/>
      <c r="I33" s="160"/>
      <c r="J33" s="149"/>
      <c r="K33" s="38">
        <f t="shared" si="0"/>
        <v>0</v>
      </c>
      <c r="L33" s="38">
        <f t="shared" si="1"/>
        <v>0</v>
      </c>
      <c r="M33" s="39"/>
      <c r="N33" s="40"/>
      <c r="O33" s="150"/>
      <c r="P33" s="106">
        <f t="shared" si="2"/>
        <v>0</v>
      </c>
      <c r="Q33" s="121">
        <f t="shared" si="4"/>
        <v>0</v>
      </c>
      <c r="R33" s="120">
        <f t="shared" si="5"/>
        <v>0</v>
      </c>
      <c r="S33" s="120">
        <f t="shared" si="6"/>
        <v>0</v>
      </c>
      <c r="T33" s="120">
        <f t="shared" si="7"/>
        <v>0</v>
      </c>
      <c r="U33" s="120">
        <f t="shared" si="8"/>
        <v>0</v>
      </c>
      <c r="V33" s="120">
        <f t="shared" si="9"/>
        <v>0</v>
      </c>
      <c r="W33" s="122">
        <f t="shared" si="10"/>
        <v>0</v>
      </c>
      <c r="X33" s="122">
        <f t="shared" si="11"/>
        <v>0</v>
      </c>
      <c r="Y33" s="122">
        <f t="shared" si="12"/>
        <v>0</v>
      </c>
      <c r="Z33" s="122">
        <f t="shared" si="13"/>
        <v>0</v>
      </c>
      <c r="AA33" s="122">
        <f t="shared" si="14"/>
        <v>0</v>
      </c>
      <c r="AB33" s="122">
        <f t="shared" si="15"/>
        <v>0</v>
      </c>
      <c r="AC33" s="122">
        <f t="shared" si="3"/>
        <v>0</v>
      </c>
      <c r="AD33" s="122">
        <f t="shared" si="3"/>
        <v>0</v>
      </c>
      <c r="AE33" s="122">
        <f t="shared" si="3"/>
        <v>0</v>
      </c>
      <c r="AF33" s="122">
        <f t="shared" si="3"/>
        <v>0</v>
      </c>
      <c r="AG33" s="120">
        <f t="shared" si="27"/>
        <v>0</v>
      </c>
      <c r="AH33" s="133" t="str">
        <f t="shared" si="17"/>
        <v>Admin- COO</v>
      </c>
    </row>
    <row r="34" spans="2:34" ht="15" thickBot="1" x14ac:dyDescent="0.4">
      <c r="B34" s="14">
        <v>25</v>
      </c>
      <c r="C34" s="14">
        <v>750</v>
      </c>
      <c r="D34" s="126" t="s">
        <v>74</v>
      </c>
      <c r="E34" s="126"/>
      <c r="F34" s="42">
        <v>1191</v>
      </c>
      <c r="G34" s="43"/>
      <c r="H34" s="151"/>
      <c r="I34" s="161"/>
      <c r="J34" s="153"/>
      <c r="K34" s="154">
        <f t="shared" si="0"/>
        <v>8.9917330414102901E-3</v>
      </c>
      <c r="L34" s="154">
        <f t="shared" si="1"/>
        <v>4.7138633494156158E-3</v>
      </c>
      <c r="M34" s="155"/>
      <c r="N34" s="156"/>
      <c r="O34" s="157"/>
      <c r="P34" s="158">
        <f t="shared" si="2"/>
        <v>0</v>
      </c>
      <c r="Q34" s="121">
        <f t="shared" si="4"/>
        <v>71.807980068702577</v>
      </c>
      <c r="R34" s="120">
        <f t="shared" si="5"/>
        <v>16.787565588313011</v>
      </c>
      <c r="S34" s="120">
        <f t="shared" si="6"/>
        <v>33.332354384507944</v>
      </c>
      <c r="T34" s="120">
        <f t="shared" si="7"/>
        <v>6.5369899211052811</v>
      </c>
      <c r="U34" s="120">
        <f t="shared" si="8"/>
        <v>16.643697859650448</v>
      </c>
      <c r="V34" s="120">
        <f t="shared" si="9"/>
        <v>0</v>
      </c>
      <c r="W34" s="122">
        <f t="shared" si="10"/>
        <v>0</v>
      </c>
      <c r="X34" s="122">
        <f t="shared" si="11"/>
        <v>0</v>
      </c>
      <c r="Y34" s="122">
        <f t="shared" si="12"/>
        <v>0</v>
      </c>
      <c r="Z34" s="122">
        <f t="shared" si="13"/>
        <v>0</v>
      </c>
      <c r="AA34" s="122">
        <f t="shared" si="14"/>
        <v>0</v>
      </c>
      <c r="AB34" s="122">
        <f t="shared" si="15"/>
        <v>0</v>
      </c>
      <c r="AC34" s="122">
        <f t="shared" si="3"/>
        <v>0</v>
      </c>
      <c r="AD34" s="122">
        <f t="shared" si="3"/>
        <v>0</v>
      </c>
      <c r="AE34" s="122">
        <f t="shared" si="3"/>
        <v>0</v>
      </c>
      <c r="AF34" s="122">
        <f t="shared" si="3"/>
        <v>0</v>
      </c>
      <c r="AG34" s="120">
        <f t="shared" si="27"/>
        <v>31.992990552483786</v>
      </c>
      <c r="AH34" s="133" t="str">
        <f t="shared" si="17"/>
        <v>Fundraising</v>
      </c>
    </row>
    <row r="35" spans="2:34" ht="15" thickBot="1" x14ac:dyDescent="0.4">
      <c r="B35" s="14">
        <v>26</v>
      </c>
      <c r="C35" s="14">
        <v>339</v>
      </c>
      <c r="D35" s="131" t="s">
        <v>28</v>
      </c>
      <c r="E35" s="131"/>
      <c r="F35" s="138">
        <v>6154</v>
      </c>
      <c r="G35" s="139">
        <v>19000</v>
      </c>
      <c r="H35" s="140"/>
      <c r="I35" s="159"/>
      <c r="J35" s="142">
        <f>'[1]Salary Details'!S46</f>
        <v>80000.179999999993</v>
      </c>
      <c r="K35" s="143"/>
      <c r="L35" s="143">
        <f t="shared" si="1"/>
        <v>2.435693959051528E-2</v>
      </c>
      <c r="M35" s="144">
        <v>500</v>
      </c>
      <c r="N35" s="145">
        <f t="shared" ref="N35:N40" si="35">M35/$M$41</f>
        <v>3.125E-2</v>
      </c>
      <c r="O35" s="146">
        <f>'[1]Salary Details'!S50</f>
        <v>1</v>
      </c>
      <c r="P35" s="105">
        <f t="shared" si="2"/>
        <v>2.7777777777777776E-2</v>
      </c>
      <c r="Q35" s="119"/>
      <c r="R35" s="120"/>
      <c r="S35" s="120"/>
      <c r="T35" s="120"/>
      <c r="U35" s="120"/>
      <c r="V35" s="120">
        <f t="shared" si="9"/>
        <v>0</v>
      </c>
      <c r="W35" s="122">
        <f t="shared" si="10"/>
        <v>83.5</v>
      </c>
      <c r="X35" s="122">
        <f t="shared" si="11"/>
        <v>136.11111111111111</v>
      </c>
      <c r="Y35" s="122">
        <f t="shared" si="12"/>
        <v>68.75</v>
      </c>
      <c r="Z35" s="122">
        <f t="shared" si="13"/>
        <v>29.305555555555554</v>
      </c>
      <c r="AA35" s="122">
        <f t="shared" si="14"/>
        <v>8.6666666666666661</v>
      </c>
      <c r="AB35" s="122">
        <f t="shared" si="15"/>
        <v>59.03125</v>
      </c>
      <c r="AC35" s="122">
        <f t="shared" ref="AC35:AF40" si="36">$N35*AC$4</f>
        <v>74.5625</v>
      </c>
      <c r="AD35" s="122">
        <f t="shared" si="36"/>
        <v>50.21875</v>
      </c>
      <c r="AE35" s="122">
        <f t="shared" si="36"/>
        <v>61.6875</v>
      </c>
      <c r="AF35" s="122">
        <f t="shared" si="36"/>
        <v>145.4375</v>
      </c>
      <c r="AG35" s="120">
        <f t="shared" si="27"/>
        <v>165.31054900082719</v>
      </c>
      <c r="AH35" s="133" t="str">
        <f t="shared" si="17"/>
        <v>Opport Corp</v>
      </c>
    </row>
    <row r="36" spans="2:34" ht="15" thickBot="1" x14ac:dyDescent="0.4">
      <c r="B36" s="14">
        <v>27</v>
      </c>
      <c r="C36" s="14">
        <v>451</v>
      </c>
      <c r="D36" s="191" t="s">
        <v>29</v>
      </c>
      <c r="E36" s="191"/>
      <c r="F36" s="192">
        <v>114050</v>
      </c>
      <c r="G36" s="193">
        <v>36000</v>
      </c>
      <c r="H36" s="194"/>
      <c r="I36" s="195">
        <v>0.5</v>
      </c>
      <c r="J36" s="196">
        <v>1000000</v>
      </c>
      <c r="K36" s="193"/>
      <c r="L36" s="193">
        <f t="shared" si="1"/>
        <v>0.45139892107544161</v>
      </c>
      <c r="M36" s="197">
        <v>500</v>
      </c>
      <c r="N36" s="193">
        <f t="shared" si="35"/>
        <v>3.125E-2</v>
      </c>
      <c r="O36" s="198">
        <f>'[1]Salary Details'!J60</f>
        <v>0</v>
      </c>
      <c r="P36" s="193">
        <f t="shared" si="2"/>
        <v>0</v>
      </c>
      <c r="Q36" s="199"/>
      <c r="R36" s="200"/>
      <c r="S36" s="200"/>
      <c r="T36" s="200"/>
      <c r="U36" s="200"/>
      <c r="V36" s="200">
        <f t="shared" si="9"/>
        <v>0</v>
      </c>
      <c r="W36" s="201">
        <f t="shared" si="10"/>
        <v>0</v>
      </c>
      <c r="X36" s="201">
        <f t="shared" si="11"/>
        <v>0</v>
      </c>
      <c r="Y36" s="201">
        <f t="shared" si="12"/>
        <v>0</v>
      </c>
      <c r="Z36" s="201">
        <f t="shared" si="13"/>
        <v>0</v>
      </c>
      <c r="AA36" s="201">
        <f t="shared" si="14"/>
        <v>0</v>
      </c>
      <c r="AB36" s="203">
        <f t="shared" si="15"/>
        <v>59.03125</v>
      </c>
      <c r="AC36" s="204">
        <f t="shared" si="36"/>
        <v>74.5625</v>
      </c>
      <c r="AD36" s="204">
        <f t="shared" si="36"/>
        <v>50.21875</v>
      </c>
      <c r="AE36" s="204">
        <f t="shared" si="36"/>
        <v>61.6875</v>
      </c>
      <c r="AF36" s="205">
        <f t="shared" si="36"/>
        <v>145.4375</v>
      </c>
      <c r="AG36" s="200">
        <f t="shared" si="27"/>
        <v>3063.6444773390222</v>
      </c>
      <c r="AH36" s="202" t="str">
        <f t="shared" si="17"/>
        <v>Participants</v>
      </c>
    </row>
    <row r="37" spans="2:34" x14ac:dyDescent="0.35">
      <c r="B37" s="14">
        <v>28</v>
      </c>
      <c r="D37" s="131" t="s">
        <v>30</v>
      </c>
      <c r="E37" s="131"/>
      <c r="F37" s="138"/>
      <c r="G37" s="139">
        <v>8000</v>
      </c>
      <c r="H37" s="169"/>
      <c r="I37" s="159"/>
      <c r="J37" s="170"/>
      <c r="K37" s="143"/>
      <c r="L37" s="143">
        <f t="shared" si="1"/>
        <v>0</v>
      </c>
      <c r="M37" s="171">
        <v>750</v>
      </c>
      <c r="N37" s="172">
        <f t="shared" si="35"/>
        <v>4.6875E-2</v>
      </c>
      <c r="O37" s="146"/>
      <c r="P37" s="105">
        <f t="shared" si="2"/>
        <v>0</v>
      </c>
      <c r="Q37" s="119"/>
      <c r="R37" s="120"/>
      <c r="S37" s="120"/>
      <c r="T37" s="120"/>
      <c r="U37" s="120"/>
      <c r="V37" s="120">
        <f t="shared" ref="V37" si="37">P37*$V$6</f>
        <v>0</v>
      </c>
      <c r="W37" s="122">
        <f t="shared" si="10"/>
        <v>0</v>
      </c>
      <c r="X37" s="122">
        <f t="shared" si="11"/>
        <v>0</v>
      </c>
      <c r="Y37" s="122">
        <f t="shared" si="12"/>
        <v>0</v>
      </c>
      <c r="Z37" s="122">
        <f t="shared" si="13"/>
        <v>0</v>
      </c>
      <c r="AA37" s="122">
        <f t="shared" si="14"/>
        <v>0</v>
      </c>
      <c r="AB37" s="135">
        <f t="shared" si="15"/>
        <v>88.546875</v>
      </c>
      <c r="AC37" s="135">
        <f t="shared" si="36"/>
        <v>111.84375</v>
      </c>
      <c r="AD37" s="135">
        <f t="shared" si="36"/>
        <v>75.328125</v>
      </c>
      <c r="AE37" s="135">
        <f t="shared" si="36"/>
        <v>92.53125</v>
      </c>
      <c r="AF37" s="135">
        <f t="shared" si="36"/>
        <v>218.15625</v>
      </c>
      <c r="AG37" s="120">
        <f t="shared" si="27"/>
        <v>0</v>
      </c>
      <c r="AH37" s="133" t="str">
        <f t="shared" si="17"/>
        <v>Training Space</v>
      </c>
    </row>
    <row r="38" spans="2:34" x14ac:dyDescent="0.35">
      <c r="B38" s="14">
        <v>29</v>
      </c>
      <c r="D38" s="131" t="s">
        <v>31</v>
      </c>
      <c r="E38" s="131"/>
      <c r="F38" s="35"/>
      <c r="G38" s="41">
        <v>13000</v>
      </c>
      <c r="H38" s="173"/>
      <c r="I38" s="160"/>
      <c r="J38" s="174"/>
      <c r="K38" s="38"/>
      <c r="L38" s="38">
        <f t="shared" si="1"/>
        <v>0</v>
      </c>
      <c r="M38" s="136">
        <v>1250</v>
      </c>
      <c r="N38" s="137">
        <f t="shared" si="35"/>
        <v>7.8125E-2</v>
      </c>
      <c r="O38" s="150"/>
      <c r="P38" s="106">
        <f t="shared" si="2"/>
        <v>0</v>
      </c>
      <c r="Q38" s="119"/>
      <c r="R38" s="120"/>
      <c r="S38" s="120"/>
      <c r="T38" s="120"/>
      <c r="U38" s="120"/>
      <c r="V38" s="120"/>
      <c r="W38" s="122">
        <f t="shared" si="10"/>
        <v>0</v>
      </c>
      <c r="X38" s="122">
        <f t="shared" si="11"/>
        <v>0</v>
      </c>
      <c r="Y38" s="122">
        <f t="shared" si="12"/>
        <v>0</v>
      </c>
      <c r="Z38" s="122">
        <f t="shared" si="13"/>
        <v>0</v>
      </c>
      <c r="AA38" s="122">
        <f t="shared" si="14"/>
        <v>0</v>
      </c>
      <c r="AB38" s="135">
        <f t="shared" si="15"/>
        <v>147.578125</v>
      </c>
      <c r="AC38" s="135">
        <f t="shared" si="36"/>
        <v>186.40625</v>
      </c>
      <c r="AD38" s="135">
        <f t="shared" si="36"/>
        <v>125.546875</v>
      </c>
      <c r="AE38" s="135">
        <f t="shared" si="36"/>
        <v>154.21875</v>
      </c>
      <c r="AF38" s="135">
        <f t="shared" si="36"/>
        <v>363.59375</v>
      </c>
      <c r="AG38" s="120">
        <f t="shared" si="27"/>
        <v>0</v>
      </c>
      <c r="AH38" s="133" t="str">
        <f t="shared" si="17"/>
        <v>Conference Rooms</v>
      </c>
    </row>
    <row r="39" spans="2:34" x14ac:dyDescent="0.35">
      <c r="D39" s="131" t="s">
        <v>32</v>
      </c>
      <c r="E39" s="131"/>
      <c r="F39" s="35"/>
      <c r="G39" s="41">
        <v>14000</v>
      </c>
      <c r="H39" s="173"/>
      <c r="I39" s="160"/>
      <c r="J39" s="174"/>
      <c r="K39" s="38"/>
      <c r="L39" s="38">
        <f>K39/$J$41</f>
        <v>0</v>
      </c>
      <c r="M39" s="136">
        <v>1250</v>
      </c>
      <c r="N39" s="137">
        <f t="shared" si="35"/>
        <v>7.8125E-2</v>
      </c>
      <c r="O39" s="150"/>
      <c r="P39" s="106">
        <f t="shared" si="2"/>
        <v>0</v>
      </c>
      <c r="Q39" s="119"/>
      <c r="R39" s="120"/>
      <c r="S39" s="120"/>
      <c r="T39" s="120"/>
      <c r="U39" s="120"/>
      <c r="V39" s="120"/>
      <c r="W39" s="122"/>
      <c r="X39" s="122"/>
      <c r="Y39" s="122"/>
      <c r="Z39" s="122"/>
      <c r="AA39" s="122"/>
      <c r="AB39" s="135">
        <f t="shared" si="15"/>
        <v>147.578125</v>
      </c>
      <c r="AC39" s="135">
        <f t="shared" si="36"/>
        <v>186.40625</v>
      </c>
      <c r="AD39" s="135">
        <f t="shared" si="36"/>
        <v>125.546875</v>
      </c>
      <c r="AE39" s="135">
        <f t="shared" si="36"/>
        <v>154.21875</v>
      </c>
      <c r="AF39" s="135">
        <f t="shared" si="36"/>
        <v>363.59375</v>
      </c>
      <c r="AG39" s="120">
        <f t="shared" si="27"/>
        <v>0</v>
      </c>
      <c r="AH39" s="133" t="str">
        <f t="shared" si="17"/>
        <v>Common Areas</v>
      </c>
    </row>
    <row r="40" spans="2:34" ht="15" thickBot="1" x14ac:dyDescent="0.4">
      <c r="D40" s="131" t="s">
        <v>33</v>
      </c>
      <c r="E40" s="131"/>
      <c r="F40" s="42"/>
      <c r="G40" s="43">
        <v>5000</v>
      </c>
      <c r="H40" s="165"/>
      <c r="I40" s="161"/>
      <c r="J40" s="166"/>
      <c r="K40" s="154"/>
      <c r="L40" s="154">
        <f>K40/$J$41</f>
        <v>0</v>
      </c>
      <c r="M40" s="175">
        <v>500</v>
      </c>
      <c r="N40" s="176">
        <f t="shared" si="35"/>
        <v>3.125E-2</v>
      </c>
      <c r="O40" s="157"/>
      <c r="P40" s="158"/>
      <c r="Q40" s="119"/>
      <c r="R40" s="120"/>
      <c r="S40" s="120"/>
      <c r="T40" s="120"/>
      <c r="U40" s="120"/>
      <c r="V40" s="120"/>
      <c r="W40" s="122"/>
      <c r="X40" s="122"/>
      <c r="Y40" s="122"/>
      <c r="Z40" s="122"/>
      <c r="AA40" s="122"/>
      <c r="AB40" s="135">
        <f t="shared" si="15"/>
        <v>59.03125</v>
      </c>
      <c r="AC40" s="135">
        <f t="shared" si="36"/>
        <v>74.5625</v>
      </c>
      <c r="AD40" s="135">
        <f t="shared" si="36"/>
        <v>50.21875</v>
      </c>
      <c r="AE40" s="135">
        <f t="shared" si="36"/>
        <v>61.6875</v>
      </c>
      <c r="AF40" s="135">
        <f t="shared" si="36"/>
        <v>145.4375</v>
      </c>
      <c r="AG40" s="120">
        <f t="shared" si="27"/>
        <v>0</v>
      </c>
      <c r="AH40" s="133" t="str">
        <f t="shared" si="17"/>
        <v>Kitchen Space</v>
      </c>
    </row>
    <row r="41" spans="2:34" ht="15" thickBot="1" x14ac:dyDescent="0.4">
      <c r="D41" s="132"/>
      <c r="E41" s="206"/>
      <c r="F41" s="112">
        <f>SUM(F10:F40)</f>
        <v>252659</v>
      </c>
      <c r="G41" s="43">
        <f>SUM(G11:G40)</f>
        <v>539000</v>
      </c>
      <c r="J41" s="167">
        <f>SUM(J11:J40)</f>
        <v>2647780.42</v>
      </c>
      <c r="K41" s="154">
        <f>SUM(K35:K40)</f>
        <v>0</v>
      </c>
      <c r="L41" s="154">
        <f>SUM(L11:L40)</f>
        <v>1</v>
      </c>
      <c r="M41" s="155">
        <f>SUM(M9:M40)</f>
        <v>16000</v>
      </c>
      <c r="N41" s="156">
        <f>SUM(N9:N40)</f>
        <v>1</v>
      </c>
      <c r="O41" s="168">
        <f>SUM(O9:O40)</f>
        <v>36</v>
      </c>
      <c r="P41" s="158">
        <f>SUM(P9:P40)</f>
        <v>1</v>
      </c>
      <c r="Q41" s="123">
        <f>SUM(Q11:Q34)</f>
        <v>7986.0000000000009</v>
      </c>
      <c r="R41" s="123">
        <f>SUM(R11:R34)</f>
        <v>1867</v>
      </c>
      <c r="S41" s="123">
        <f>SUM(S11:S34)</f>
        <v>3707.0000000000005</v>
      </c>
      <c r="T41" s="123">
        <f>SUM(T11:T34)</f>
        <v>726.99999999999977</v>
      </c>
      <c r="U41" s="123">
        <f>SUM(U11:U34)</f>
        <v>1850.9999999999998</v>
      </c>
      <c r="V41" s="124">
        <f t="shared" ref="V41:AA41" si="38">SUM(V11:V36)</f>
        <v>0</v>
      </c>
      <c r="W41" s="125">
        <f t="shared" si="38"/>
        <v>3006</v>
      </c>
      <c r="X41" s="125">
        <f t="shared" si="38"/>
        <v>4900.0000000000027</v>
      </c>
      <c r="Y41" s="125">
        <f t="shared" si="38"/>
        <v>2475</v>
      </c>
      <c r="Z41" s="125">
        <f t="shared" si="38"/>
        <v>1055</v>
      </c>
      <c r="AA41" s="125">
        <f t="shared" si="38"/>
        <v>311.99999999999994</v>
      </c>
      <c r="AB41" s="125">
        <f t="shared" ref="AB41:AG41" si="39">SUM(AB11:AB40)</f>
        <v>1889</v>
      </c>
      <c r="AC41" s="125">
        <f t="shared" si="39"/>
        <v>2386</v>
      </c>
      <c r="AD41" s="125">
        <f t="shared" si="39"/>
        <v>1607</v>
      </c>
      <c r="AE41" s="125">
        <f t="shared" si="39"/>
        <v>1974</v>
      </c>
      <c r="AF41" s="125">
        <f t="shared" si="39"/>
        <v>4654</v>
      </c>
      <c r="AG41" s="125">
        <f t="shared" si="39"/>
        <v>6786.9999999999991</v>
      </c>
      <c r="AH41" s="134"/>
    </row>
    <row r="42" spans="2:34" x14ac:dyDescent="0.35">
      <c r="F42" s="91"/>
      <c r="J42" s="104">
        <f>SUM(J11:J35)</f>
        <v>1647780.42</v>
      </c>
      <c r="K42" s="45"/>
      <c r="L42" s="45"/>
      <c r="M42" s="44"/>
      <c r="N42" s="44"/>
      <c r="O42" s="45"/>
      <c r="P42" s="45"/>
      <c r="Q42" s="46">
        <f t="shared" ref="Q42:AG42" si="40">Q4-Q41</f>
        <v>0</v>
      </c>
      <c r="R42" s="46">
        <f t="shared" si="40"/>
        <v>0</v>
      </c>
      <c r="S42" s="46">
        <f t="shared" si="40"/>
        <v>0</v>
      </c>
      <c r="T42" s="46">
        <f t="shared" si="40"/>
        <v>0</v>
      </c>
      <c r="U42" s="46">
        <f t="shared" si="40"/>
        <v>0</v>
      </c>
      <c r="V42" s="46">
        <f t="shared" si="40"/>
        <v>0</v>
      </c>
      <c r="W42" s="46">
        <f t="shared" si="40"/>
        <v>0</v>
      </c>
      <c r="X42" s="46">
        <f t="shared" si="40"/>
        <v>0</v>
      </c>
      <c r="Y42" s="46">
        <f t="shared" si="40"/>
        <v>0</v>
      </c>
      <c r="Z42" s="46">
        <f t="shared" si="40"/>
        <v>0</v>
      </c>
      <c r="AA42" s="46">
        <f t="shared" si="40"/>
        <v>0</v>
      </c>
      <c r="AB42" s="46">
        <f t="shared" si="40"/>
        <v>0</v>
      </c>
      <c r="AC42" s="46">
        <f t="shared" si="40"/>
        <v>0</v>
      </c>
      <c r="AD42" s="46">
        <f t="shared" si="40"/>
        <v>0</v>
      </c>
      <c r="AE42" s="46">
        <f t="shared" si="40"/>
        <v>0</v>
      </c>
      <c r="AF42" s="46">
        <f t="shared" si="40"/>
        <v>0</v>
      </c>
      <c r="AG42" s="46">
        <f t="shared" si="40"/>
        <v>0</v>
      </c>
    </row>
    <row r="43" spans="2:34" ht="15.5" x14ac:dyDescent="0.45">
      <c r="F43" s="91"/>
      <c r="Q43" s="94" t="s">
        <v>0</v>
      </c>
      <c r="R43" s="11" t="s">
        <v>1</v>
      </c>
      <c r="S43" s="11" t="s">
        <v>2</v>
      </c>
      <c r="T43" s="11" t="s">
        <v>3</v>
      </c>
      <c r="U43" s="11" t="s">
        <v>4</v>
      </c>
      <c r="V43" s="11" t="s">
        <v>5</v>
      </c>
      <c r="W43" s="12" t="s">
        <v>6</v>
      </c>
      <c r="X43" s="13" t="s">
        <v>7</v>
      </c>
      <c r="Y43" s="13" t="s">
        <v>8</v>
      </c>
      <c r="Z43" s="13" t="s">
        <v>9</v>
      </c>
      <c r="AA43" s="13" t="s">
        <v>10</v>
      </c>
      <c r="AB43" s="13" t="s">
        <v>11</v>
      </c>
      <c r="AC43" s="13" t="s">
        <v>12</v>
      </c>
      <c r="AD43" s="13" t="s">
        <v>13</v>
      </c>
      <c r="AE43" s="13" t="s">
        <v>14</v>
      </c>
      <c r="AF43" s="13" t="s">
        <v>15</v>
      </c>
      <c r="AG43" s="13" t="s">
        <v>87</v>
      </c>
    </row>
    <row r="44" spans="2:34" x14ac:dyDescent="0.35">
      <c r="B44" s="14">
        <v>26</v>
      </c>
      <c r="D44" s="131"/>
      <c r="E44" s="207"/>
      <c r="F44" s="162">
        <f>SUM(F11:F34)</f>
        <v>132455</v>
      </c>
      <c r="G44" s="163">
        <f>SUM(G11:G34)</f>
        <v>444000</v>
      </c>
      <c r="H44" s="163">
        <f>SUM(H11:H34)</f>
        <v>0</v>
      </c>
      <c r="I44" s="163"/>
      <c r="J44" s="163"/>
      <c r="K44" s="164">
        <f>SUM(K11:K34)</f>
        <v>0.99999999999999989</v>
      </c>
      <c r="L44" s="38"/>
      <c r="M44" s="39"/>
      <c r="N44" s="40"/>
      <c r="O44" s="23"/>
      <c r="P44" s="106">
        <f>O44/$O$41</f>
        <v>0</v>
      </c>
      <c r="Q44" s="98" t="s">
        <v>18</v>
      </c>
      <c r="R44" s="25" t="s">
        <v>18</v>
      </c>
      <c r="S44" s="25" t="s">
        <v>18</v>
      </c>
      <c r="T44" s="25" t="s">
        <v>18</v>
      </c>
      <c r="U44" s="25" t="s">
        <v>18</v>
      </c>
      <c r="V44" s="26" t="s">
        <v>19</v>
      </c>
      <c r="W44" s="26" t="s">
        <v>19</v>
      </c>
      <c r="X44" s="26" t="s">
        <v>19</v>
      </c>
      <c r="Y44" s="26" t="s">
        <v>19</v>
      </c>
      <c r="Z44" s="26" t="s">
        <v>19</v>
      </c>
      <c r="AA44" s="26" t="s">
        <v>19</v>
      </c>
      <c r="AB44" s="27" t="s">
        <v>20</v>
      </c>
      <c r="AC44" s="27" t="s">
        <v>20</v>
      </c>
      <c r="AD44" s="27" t="s">
        <v>20</v>
      </c>
      <c r="AE44" s="27" t="s">
        <v>20</v>
      </c>
      <c r="AF44" s="27" t="s">
        <v>20</v>
      </c>
      <c r="AG44" s="100" t="s">
        <v>18</v>
      </c>
      <c r="AH44" s="133"/>
    </row>
    <row r="46" spans="2:34" x14ac:dyDescent="0.35">
      <c r="D46" s="36" t="s">
        <v>34</v>
      </c>
      <c r="E46" s="36"/>
      <c r="F46" s="36" t="s">
        <v>35</v>
      </c>
      <c r="G46" s="36"/>
      <c r="H46" s="47">
        <v>14</v>
      </c>
      <c r="I46" s="48">
        <v>5500</v>
      </c>
    </row>
    <row r="47" spans="2:34" ht="15" thickBot="1" x14ac:dyDescent="0.4">
      <c r="D47" s="36"/>
      <c r="E47" s="36"/>
      <c r="F47" s="36"/>
      <c r="G47" s="36"/>
      <c r="H47" s="47"/>
      <c r="I47" s="47"/>
    </row>
    <row r="48" spans="2:34" x14ac:dyDescent="0.35">
      <c r="D48" s="50" t="s">
        <v>36</v>
      </c>
      <c r="E48" s="51"/>
      <c r="F48" s="51" t="s">
        <v>37</v>
      </c>
      <c r="G48" s="52" t="s">
        <v>38</v>
      </c>
      <c r="H48" s="47"/>
      <c r="I48" s="47">
        <v>0</v>
      </c>
    </row>
    <row r="49" spans="4:9" x14ac:dyDescent="0.35">
      <c r="D49" s="53" t="s">
        <v>39</v>
      </c>
      <c r="E49" s="208"/>
      <c r="F49" s="54" t="s">
        <v>37</v>
      </c>
      <c r="G49" s="55" t="s">
        <v>38</v>
      </c>
      <c r="H49" s="56">
        <v>2</v>
      </c>
      <c r="I49" s="56">
        <v>250</v>
      </c>
    </row>
    <row r="50" spans="4:9" x14ac:dyDescent="0.35">
      <c r="D50" s="53" t="s">
        <v>26</v>
      </c>
      <c r="E50" s="208"/>
      <c r="F50" s="54" t="s">
        <v>40</v>
      </c>
      <c r="G50" s="55" t="s">
        <v>38</v>
      </c>
      <c r="H50" s="56">
        <v>4</v>
      </c>
      <c r="I50" s="56">
        <v>1500</v>
      </c>
    </row>
    <row r="51" spans="4:9" x14ac:dyDescent="0.35">
      <c r="D51" s="57" t="s">
        <v>32</v>
      </c>
      <c r="E51" s="209"/>
      <c r="F51" s="58" t="s">
        <v>41</v>
      </c>
      <c r="G51" s="59" t="s">
        <v>38</v>
      </c>
      <c r="H51" s="47"/>
      <c r="I51" s="47">
        <v>250</v>
      </c>
    </row>
    <row r="52" spans="4:9" x14ac:dyDescent="0.35">
      <c r="D52" s="57"/>
      <c r="E52" s="209"/>
      <c r="F52" s="58"/>
      <c r="G52" s="59"/>
      <c r="H52" s="47"/>
      <c r="I52" s="47"/>
    </row>
    <row r="53" spans="4:9" x14ac:dyDescent="0.35">
      <c r="D53" s="57" t="s">
        <v>42</v>
      </c>
      <c r="E53" s="209"/>
      <c r="F53" s="58" t="s">
        <v>43</v>
      </c>
      <c r="G53" s="59" t="s">
        <v>44</v>
      </c>
      <c r="H53" s="47"/>
      <c r="I53" s="47">
        <v>750</v>
      </c>
    </row>
    <row r="54" spans="4:9" x14ac:dyDescent="0.35">
      <c r="D54" s="57" t="s">
        <v>45</v>
      </c>
      <c r="E54" s="209"/>
      <c r="F54" s="58" t="s">
        <v>43</v>
      </c>
      <c r="G54" s="59" t="s">
        <v>44</v>
      </c>
      <c r="H54" s="47"/>
      <c r="I54" s="47">
        <v>1250</v>
      </c>
    </row>
    <row r="55" spans="4:9" x14ac:dyDescent="0.35">
      <c r="D55" s="57"/>
      <c r="E55" s="209"/>
      <c r="F55" s="58"/>
      <c r="G55" s="59"/>
      <c r="H55" s="47"/>
      <c r="I55" s="47"/>
    </row>
    <row r="56" spans="4:9" x14ac:dyDescent="0.35">
      <c r="D56" s="57" t="s">
        <v>46</v>
      </c>
      <c r="E56" s="209"/>
      <c r="F56" s="58" t="s">
        <v>47</v>
      </c>
      <c r="G56" s="59" t="s">
        <v>48</v>
      </c>
      <c r="H56" s="47"/>
      <c r="I56" s="47">
        <v>0</v>
      </c>
    </row>
    <row r="57" spans="4:9" x14ac:dyDescent="0.35">
      <c r="D57" s="53" t="s">
        <v>49</v>
      </c>
      <c r="E57" s="208"/>
      <c r="F57" s="54" t="s">
        <v>47</v>
      </c>
      <c r="G57" s="55" t="s">
        <v>48</v>
      </c>
      <c r="H57" s="56">
        <v>1.5</v>
      </c>
      <c r="I57" s="56">
        <v>500</v>
      </c>
    </row>
    <row r="58" spans="4:9" x14ac:dyDescent="0.35">
      <c r="D58" s="60" t="s">
        <v>50</v>
      </c>
      <c r="E58" s="210"/>
      <c r="F58" s="61" t="s">
        <v>47</v>
      </c>
      <c r="G58" s="62" t="s">
        <v>48</v>
      </c>
      <c r="H58" s="63">
        <v>0.5</v>
      </c>
      <c r="I58" s="63">
        <v>250</v>
      </c>
    </row>
    <row r="59" spans="4:9" x14ac:dyDescent="0.35">
      <c r="D59" s="57" t="s">
        <v>51</v>
      </c>
      <c r="E59" s="209"/>
      <c r="F59" s="58" t="s">
        <v>47</v>
      </c>
      <c r="G59" s="59" t="s">
        <v>48</v>
      </c>
      <c r="H59" s="47">
        <v>1</v>
      </c>
      <c r="I59" s="47">
        <v>250</v>
      </c>
    </row>
    <row r="60" spans="4:9" x14ac:dyDescent="0.35">
      <c r="D60" s="57" t="s">
        <v>33</v>
      </c>
      <c r="E60" s="209"/>
      <c r="F60" s="58" t="s">
        <v>47</v>
      </c>
      <c r="G60" s="59" t="s">
        <v>48</v>
      </c>
      <c r="H60" s="47"/>
      <c r="I60" s="47">
        <v>500</v>
      </c>
    </row>
    <row r="61" spans="4:9" x14ac:dyDescent="0.35">
      <c r="D61" s="64" t="s">
        <v>52</v>
      </c>
      <c r="E61" s="211"/>
      <c r="F61" s="65" t="s">
        <v>47</v>
      </c>
      <c r="G61" s="66" t="s">
        <v>48</v>
      </c>
      <c r="H61" s="67">
        <v>1</v>
      </c>
      <c r="I61" s="67">
        <v>500</v>
      </c>
    </row>
    <row r="62" spans="4:9" x14ac:dyDescent="0.35">
      <c r="D62" s="57"/>
      <c r="E62" s="209"/>
      <c r="F62" s="58"/>
      <c r="G62" s="59"/>
      <c r="H62" s="47"/>
      <c r="I62" s="47">
        <v>0</v>
      </c>
    </row>
    <row r="63" spans="4:9" ht="15" thickBot="1" x14ac:dyDescent="0.4">
      <c r="D63" s="68"/>
      <c r="E63" s="69"/>
      <c r="F63" s="69"/>
      <c r="G63" s="70"/>
      <c r="H63" s="47"/>
      <c r="I63" s="47">
        <v>0</v>
      </c>
    </row>
    <row r="64" spans="4:9" ht="15" thickBot="1" x14ac:dyDescent="0.4">
      <c r="D64" s="36"/>
      <c r="E64" s="36"/>
      <c r="F64" s="36"/>
      <c r="G64" s="36"/>
      <c r="H64" s="47"/>
      <c r="I64" s="47"/>
    </row>
    <row r="65" spans="4:9" x14ac:dyDescent="0.35">
      <c r="D65" s="71" t="s">
        <v>53</v>
      </c>
      <c r="E65" s="72"/>
      <c r="F65" s="72" t="s">
        <v>41</v>
      </c>
      <c r="G65" s="73" t="s">
        <v>38</v>
      </c>
      <c r="H65" s="74">
        <v>5</v>
      </c>
      <c r="I65" s="74">
        <v>1000</v>
      </c>
    </row>
    <row r="66" spans="4:9" x14ac:dyDescent="0.35">
      <c r="D66" s="75" t="s">
        <v>32</v>
      </c>
      <c r="E66" s="212"/>
      <c r="F66" s="76" t="s">
        <v>54</v>
      </c>
      <c r="G66" s="77" t="s">
        <v>44</v>
      </c>
      <c r="H66" s="47"/>
      <c r="I66" s="47">
        <v>500</v>
      </c>
    </row>
    <row r="67" spans="4:9" x14ac:dyDescent="0.35">
      <c r="D67" s="78" t="s">
        <v>55</v>
      </c>
      <c r="E67" s="213"/>
      <c r="F67" s="79" t="s">
        <v>56</v>
      </c>
      <c r="G67" s="80" t="s">
        <v>38</v>
      </c>
      <c r="H67" s="81">
        <v>2</v>
      </c>
      <c r="I67" s="81">
        <v>750</v>
      </c>
    </row>
    <row r="68" spans="4:9" x14ac:dyDescent="0.35">
      <c r="D68" s="75"/>
      <c r="E68" s="212"/>
      <c r="F68" s="76"/>
      <c r="G68" s="77"/>
      <c r="H68" s="47"/>
      <c r="I68" s="47"/>
    </row>
    <row r="69" spans="4:9" x14ac:dyDescent="0.35">
      <c r="D69" s="82" t="s">
        <v>57</v>
      </c>
      <c r="E69" s="214"/>
      <c r="F69" s="83" t="s">
        <v>54</v>
      </c>
      <c r="G69" s="84" t="s">
        <v>44</v>
      </c>
      <c r="H69" s="85">
        <v>1</v>
      </c>
      <c r="I69" s="85">
        <v>250</v>
      </c>
    </row>
    <row r="70" spans="4:9" x14ac:dyDescent="0.35">
      <c r="D70" s="75" t="s">
        <v>58</v>
      </c>
      <c r="E70" s="212"/>
      <c r="F70" s="76" t="s">
        <v>54</v>
      </c>
      <c r="G70" s="77" t="s">
        <v>44</v>
      </c>
      <c r="H70" s="47"/>
      <c r="I70" s="47">
        <v>0</v>
      </c>
    </row>
    <row r="71" spans="4:9" x14ac:dyDescent="0.35">
      <c r="D71" s="75" t="s">
        <v>59</v>
      </c>
      <c r="E71" s="212"/>
      <c r="F71" s="76" t="s">
        <v>54</v>
      </c>
      <c r="G71" s="77" t="s">
        <v>44</v>
      </c>
      <c r="H71" s="47">
        <v>1</v>
      </c>
      <c r="I71" s="47">
        <v>1000</v>
      </c>
    </row>
    <row r="72" spans="4:9" x14ac:dyDescent="0.35">
      <c r="D72" s="75" t="s">
        <v>60</v>
      </c>
      <c r="E72" s="212"/>
      <c r="F72" s="76" t="s">
        <v>54</v>
      </c>
      <c r="G72" s="77" t="s">
        <v>44</v>
      </c>
      <c r="H72" s="47">
        <v>1</v>
      </c>
      <c r="I72" s="47">
        <v>500</v>
      </c>
    </row>
    <row r="73" spans="4:9" x14ac:dyDescent="0.35">
      <c r="D73" s="75" t="s">
        <v>32</v>
      </c>
      <c r="E73" s="212"/>
      <c r="F73" s="76" t="s">
        <v>54</v>
      </c>
      <c r="G73" s="77" t="s">
        <v>44</v>
      </c>
      <c r="H73" s="47"/>
      <c r="I73" s="47">
        <v>500</v>
      </c>
    </row>
    <row r="74" spans="4:9" x14ac:dyDescent="0.35">
      <c r="D74" s="75" t="s">
        <v>61</v>
      </c>
      <c r="E74" s="212"/>
      <c r="F74" s="76" t="s">
        <v>54</v>
      </c>
      <c r="G74" s="77" t="s">
        <v>44</v>
      </c>
      <c r="H74" s="47"/>
      <c r="I74" s="47">
        <v>0</v>
      </c>
    </row>
    <row r="75" spans="4:9" ht="15" thickBot="1" x14ac:dyDescent="0.4">
      <c r="D75" s="86" t="s">
        <v>62</v>
      </c>
      <c r="E75" s="87"/>
      <c r="F75" s="87" t="s">
        <v>54</v>
      </c>
      <c r="G75" s="88" t="s">
        <v>44</v>
      </c>
      <c r="H75" s="47"/>
      <c r="I75" s="47">
        <v>0</v>
      </c>
    </row>
    <row r="76" spans="4:9" x14ac:dyDescent="0.35">
      <c r="D76" s="36"/>
      <c r="E76" s="36"/>
      <c r="F76" s="36"/>
      <c r="G76" s="36"/>
      <c r="H76" s="47"/>
      <c r="I76" s="47"/>
    </row>
    <row r="77" spans="4:9" x14ac:dyDescent="0.35">
      <c r="D77" s="36" t="s">
        <v>63</v>
      </c>
      <c r="E77" s="36"/>
      <c r="F77" s="36" t="s">
        <v>64</v>
      </c>
      <c r="G77" s="36" t="s">
        <v>65</v>
      </c>
      <c r="H77" s="47"/>
      <c r="I77" s="47"/>
    </row>
    <row r="78" spans="4:9" x14ac:dyDescent="0.35">
      <c r="D78" s="36" t="s">
        <v>24</v>
      </c>
      <c r="E78" s="36"/>
      <c r="F78" s="36" t="s">
        <v>66</v>
      </c>
      <c r="G78" s="36"/>
      <c r="H78" s="47"/>
      <c r="I78" s="48"/>
    </row>
    <row r="79" spans="4:9" x14ac:dyDescent="0.35">
      <c r="H79" s="1"/>
      <c r="I79" s="89"/>
    </row>
    <row r="80" spans="4:9" x14ac:dyDescent="0.35">
      <c r="D80" t="s">
        <v>67</v>
      </c>
      <c r="H80" s="90">
        <f>SUM(H46:H79)</f>
        <v>34</v>
      </c>
      <c r="I80" s="90">
        <f>SUM(I46:I79)</f>
        <v>16000</v>
      </c>
    </row>
  </sheetData>
  <pageMargins left="0.25" right="0.25" top="0.75" bottom="0.75" header="0.3" footer="0.3"/>
  <pageSetup paperSize="5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AH80"/>
  <sheetViews>
    <sheetView topLeftCell="B1" workbookViewId="0">
      <selection activeCell="D37" sqref="D37"/>
    </sheetView>
  </sheetViews>
  <sheetFormatPr defaultRowHeight="14.5" x14ac:dyDescent="0.35"/>
  <cols>
    <col min="1" max="1" width="0" hidden="1" customWidth="1"/>
    <col min="2" max="2" width="4.54296875" style="14" customWidth="1"/>
    <col min="3" max="3" width="7.453125" style="14" customWidth="1"/>
    <col min="4" max="5" width="23" customWidth="1"/>
    <col min="6" max="6" width="10.453125" customWidth="1"/>
    <col min="7" max="7" width="11.54296875" customWidth="1"/>
    <col min="8" max="8" width="7.1796875" customWidth="1"/>
    <col min="9" max="9" width="12" style="2" customWidth="1"/>
    <col min="10" max="10" width="10.81640625" style="92" customWidth="1"/>
    <col min="11" max="11" width="7.81640625" style="3" customWidth="1"/>
    <col min="12" max="12" width="8.26953125" style="3" customWidth="1"/>
    <col min="13" max="13" width="10.81640625" style="1" customWidth="1"/>
    <col min="14" max="14" width="8.81640625" style="1" customWidth="1"/>
    <col min="15" max="15" width="11.26953125" style="3" customWidth="1"/>
    <col min="16" max="16" width="13.36328125" style="3" bestFit="1" customWidth="1"/>
    <col min="17" max="17" width="11.26953125" style="93" customWidth="1"/>
    <col min="18" max="18" width="13.453125" style="4" customWidth="1"/>
    <col min="19" max="19" width="13.26953125" style="49" customWidth="1"/>
    <col min="20" max="20" width="15.7265625" style="49" customWidth="1"/>
    <col min="21" max="21" width="11.7265625" style="4" customWidth="1"/>
    <col min="22" max="22" width="11.7265625" customWidth="1"/>
    <col min="23" max="23" width="15.81640625" style="5" customWidth="1"/>
    <col min="24" max="24" width="11.54296875" customWidth="1"/>
    <col min="25" max="25" width="9.81640625" style="5" customWidth="1"/>
    <col min="26" max="26" width="12.453125" style="5" customWidth="1"/>
    <col min="27" max="27" width="12.7265625" customWidth="1"/>
    <col min="28" max="28" width="12" style="5" customWidth="1"/>
    <col min="29" max="29" width="12.1796875" style="5" customWidth="1"/>
    <col min="30" max="32" width="15.1796875" customWidth="1"/>
    <col min="33" max="33" width="14" customWidth="1"/>
    <col min="34" max="34" width="27" style="107" customWidth="1"/>
  </cols>
  <sheetData>
    <row r="1" spans="2:34" x14ac:dyDescent="0.35">
      <c r="B1" s="1" t="s">
        <v>68</v>
      </c>
      <c r="C1" s="1"/>
      <c r="Q1" s="93">
        <v>7251</v>
      </c>
      <c r="R1" s="4">
        <v>7252</v>
      </c>
      <c r="S1" s="4">
        <v>7253</v>
      </c>
      <c r="T1" s="4">
        <v>7254</v>
      </c>
      <c r="U1" s="4">
        <v>7260.1</v>
      </c>
      <c r="V1" s="4">
        <v>8140</v>
      </c>
      <c r="W1" s="5">
        <v>7515.5</v>
      </c>
      <c r="X1" s="5">
        <v>7521</v>
      </c>
      <c r="Y1" s="5">
        <v>8112</v>
      </c>
      <c r="Z1" s="5">
        <v>8135.5</v>
      </c>
      <c r="AA1" s="5">
        <v>8191</v>
      </c>
      <c r="AB1" s="5">
        <v>8210.5</v>
      </c>
      <c r="AC1" s="5">
        <v>8229.1</v>
      </c>
      <c r="AD1" s="5">
        <v>8239</v>
      </c>
      <c r="AE1" s="5">
        <v>8265</v>
      </c>
      <c r="AF1" s="5">
        <v>8266</v>
      </c>
      <c r="AG1" s="5">
        <v>7248</v>
      </c>
    </row>
    <row r="2" spans="2:34" x14ac:dyDescent="0.35">
      <c r="B2" s="1"/>
      <c r="C2" s="1"/>
      <c r="S2" s="4"/>
      <c r="T2" s="4"/>
      <c r="V2" s="4"/>
      <c r="X2" s="5"/>
      <c r="AA2" s="5"/>
      <c r="AD2" s="5"/>
      <c r="AE2" s="5"/>
      <c r="AF2" s="5"/>
      <c r="AG2" s="5"/>
    </row>
    <row r="3" spans="2:34" s="7" customFormat="1" ht="25.5" customHeight="1" thickBot="1" x14ac:dyDescent="0.5">
      <c r="B3" s="6"/>
      <c r="C3" s="6"/>
      <c r="I3" s="8"/>
      <c r="J3" s="101"/>
      <c r="K3" s="10"/>
      <c r="L3" s="10"/>
      <c r="M3" s="9"/>
      <c r="N3" s="9"/>
      <c r="O3" s="10"/>
      <c r="P3" s="10"/>
      <c r="Q3" s="94" t="s">
        <v>0</v>
      </c>
      <c r="R3" s="11" t="s">
        <v>1</v>
      </c>
      <c r="S3" s="11" t="s">
        <v>2</v>
      </c>
      <c r="T3" s="11" t="s">
        <v>3</v>
      </c>
      <c r="U3" s="11" t="s">
        <v>4</v>
      </c>
      <c r="V3" s="11" t="s">
        <v>5</v>
      </c>
      <c r="W3" s="12" t="s">
        <v>6</v>
      </c>
      <c r="X3" s="13" t="s">
        <v>7</v>
      </c>
      <c r="Y3" s="13" t="s">
        <v>8</v>
      </c>
      <c r="Z3" s="13" t="s">
        <v>9</v>
      </c>
      <c r="AA3" s="13" t="s">
        <v>10</v>
      </c>
      <c r="AB3" s="13" t="s">
        <v>11</v>
      </c>
      <c r="AC3" s="13" t="s">
        <v>12</v>
      </c>
      <c r="AD3" s="13" t="s">
        <v>13</v>
      </c>
      <c r="AE3" s="13" t="s">
        <v>14</v>
      </c>
      <c r="AF3" s="13" t="s">
        <v>15</v>
      </c>
      <c r="AG3" s="13" t="s">
        <v>87</v>
      </c>
      <c r="AH3" s="108"/>
    </row>
    <row r="4" spans="2:34" ht="15" thickBot="1" x14ac:dyDescent="0.4">
      <c r="P4" s="3" t="s">
        <v>96</v>
      </c>
      <c r="Q4" s="95"/>
      <c r="R4" s="15"/>
      <c r="S4" s="15"/>
      <c r="T4" s="15"/>
      <c r="U4" s="15"/>
      <c r="V4" s="15"/>
      <c r="W4" s="16"/>
      <c r="X4" s="17"/>
      <c r="Y4" s="17"/>
      <c r="Z4" s="15"/>
      <c r="AA4" s="16"/>
      <c r="AB4" s="17"/>
      <c r="AC4" s="17"/>
      <c r="AD4" s="15"/>
      <c r="AE4" s="16"/>
      <c r="AF4" s="16"/>
      <c r="AG4" s="16"/>
      <c r="AH4" s="44"/>
    </row>
    <row r="5" spans="2:34" ht="15" thickBot="1" x14ac:dyDescent="0.4">
      <c r="Q5" s="96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44"/>
    </row>
    <row r="6" spans="2:34" x14ac:dyDescent="0.35">
      <c r="O6" s="3" t="s">
        <v>16</v>
      </c>
      <c r="Q6" s="9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0"/>
      <c r="AH6" s="44">
        <v>0</v>
      </c>
    </row>
    <row r="7" spans="2:34" ht="24.75" customHeight="1" x14ac:dyDescent="0.35">
      <c r="F7" s="21" t="s">
        <v>17</v>
      </c>
      <c r="I7" s="22"/>
      <c r="J7" s="102"/>
      <c r="K7" s="24"/>
      <c r="L7" s="24"/>
      <c r="M7" s="23"/>
      <c r="N7" s="23"/>
      <c r="O7" s="24"/>
      <c r="P7" s="24"/>
      <c r="Q7" s="98" t="s">
        <v>18</v>
      </c>
      <c r="R7" s="25" t="s">
        <v>18</v>
      </c>
      <c r="S7" s="25" t="s">
        <v>18</v>
      </c>
      <c r="T7" s="25" t="s">
        <v>18</v>
      </c>
      <c r="U7" s="25" t="s">
        <v>18</v>
      </c>
      <c r="V7" s="26" t="s">
        <v>19</v>
      </c>
      <c r="W7" s="26" t="s">
        <v>19</v>
      </c>
      <c r="X7" s="26" t="s">
        <v>19</v>
      </c>
      <c r="Y7" s="26" t="s">
        <v>19</v>
      </c>
      <c r="Z7" s="26" t="s">
        <v>19</v>
      </c>
      <c r="AA7" s="26" t="s">
        <v>19</v>
      </c>
      <c r="AB7" s="27" t="s">
        <v>20</v>
      </c>
      <c r="AC7" s="27" t="s">
        <v>20</v>
      </c>
      <c r="AD7" s="27" t="s">
        <v>20</v>
      </c>
      <c r="AE7" s="27" t="s">
        <v>20</v>
      </c>
      <c r="AF7" s="27" t="s">
        <v>20</v>
      </c>
      <c r="AG7" s="100" t="s">
        <v>18</v>
      </c>
      <c r="AH7" s="109"/>
    </row>
    <row r="8" spans="2:34" ht="15" thickBot="1" x14ac:dyDescent="0.4">
      <c r="E8" t="s">
        <v>95</v>
      </c>
      <c r="F8" s="21" t="s">
        <v>94</v>
      </c>
      <c r="J8" s="92" t="s">
        <v>21</v>
      </c>
      <c r="Q8" s="28">
        <v>1</v>
      </c>
      <c r="R8" s="28">
        <v>2</v>
      </c>
      <c r="S8" s="28">
        <v>3</v>
      </c>
      <c r="T8" s="28">
        <v>4</v>
      </c>
      <c r="U8" s="28">
        <v>5</v>
      </c>
      <c r="V8" s="28">
        <v>6</v>
      </c>
      <c r="W8" s="28">
        <v>7</v>
      </c>
      <c r="X8" s="28">
        <v>8</v>
      </c>
      <c r="Y8" s="28">
        <v>9</v>
      </c>
      <c r="Z8" s="28">
        <v>10</v>
      </c>
      <c r="AA8" s="28">
        <v>11</v>
      </c>
      <c r="AB8" s="28">
        <v>12</v>
      </c>
      <c r="AC8" s="28">
        <v>13</v>
      </c>
      <c r="AD8" s="28">
        <v>14</v>
      </c>
      <c r="AE8" s="28">
        <v>15</v>
      </c>
      <c r="AF8" s="28">
        <v>16</v>
      </c>
      <c r="AG8" s="28">
        <v>17</v>
      </c>
    </row>
    <row r="9" spans="2:34" ht="15" thickBot="1" x14ac:dyDescent="0.4">
      <c r="D9" s="116"/>
      <c r="E9" s="116"/>
      <c r="F9" s="117"/>
      <c r="G9" s="113"/>
      <c r="K9" s="30" t="s">
        <v>18</v>
      </c>
      <c r="L9" s="30" t="s">
        <v>18</v>
      </c>
      <c r="M9" s="31" t="s">
        <v>22</v>
      </c>
      <c r="N9" s="32" t="s">
        <v>22</v>
      </c>
      <c r="O9" s="33" t="s">
        <v>19</v>
      </c>
      <c r="P9" s="34" t="s">
        <v>19</v>
      </c>
      <c r="Q9" s="99"/>
      <c r="R9" s="28"/>
      <c r="S9" s="28"/>
      <c r="T9" s="28"/>
      <c r="U9" s="28"/>
      <c r="V9" s="28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110"/>
      <c r="AH9" s="111"/>
    </row>
    <row r="10" spans="2:34" ht="15" thickBot="1" x14ac:dyDescent="0.4">
      <c r="B10" s="14">
        <v>1</v>
      </c>
      <c r="C10" s="14" t="s">
        <v>88</v>
      </c>
      <c r="D10" s="126" t="s">
        <v>63</v>
      </c>
      <c r="E10" s="126"/>
      <c r="F10" s="118"/>
      <c r="G10" s="114"/>
      <c r="K10" s="38">
        <v>0</v>
      </c>
      <c r="L10" s="38">
        <v>0</v>
      </c>
      <c r="M10" s="39">
        <v>0</v>
      </c>
      <c r="N10" s="40">
        <v>0</v>
      </c>
      <c r="O10" s="23">
        <v>0</v>
      </c>
      <c r="P10" s="115">
        <v>0</v>
      </c>
      <c r="Q10" s="178">
        <v>0</v>
      </c>
      <c r="R10" s="178">
        <v>0</v>
      </c>
      <c r="S10" s="178">
        <v>0</v>
      </c>
      <c r="T10" s="178">
        <v>0</v>
      </c>
      <c r="U10" s="178">
        <v>0</v>
      </c>
      <c r="V10" s="178">
        <v>0</v>
      </c>
      <c r="W10" s="178">
        <v>0</v>
      </c>
      <c r="X10" s="178">
        <v>0</v>
      </c>
      <c r="Y10" s="178">
        <v>0</v>
      </c>
      <c r="Z10" s="178">
        <v>0</v>
      </c>
      <c r="AA10" s="178">
        <v>0</v>
      </c>
      <c r="AB10" s="178">
        <v>0</v>
      </c>
      <c r="AC10" s="178">
        <v>0</v>
      </c>
      <c r="AD10" s="178">
        <v>0</v>
      </c>
      <c r="AE10" s="178">
        <v>0</v>
      </c>
      <c r="AF10" s="178">
        <v>0</v>
      </c>
      <c r="AG10" s="178">
        <v>0</v>
      </c>
      <c r="AH10" s="177"/>
    </row>
    <row r="11" spans="2:34" x14ac:dyDescent="0.35">
      <c r="B11" s="14">
        <v>2</v>
      </c>
      <c r="C11" s="14">
        <v>111</v>
      </c>
      <c r="D11" s="126" t="s">
        <v>23</v>
      </c>
      <c r="E11" s="126"/>
      <c r="F11" s="35"/>
      <c r="G11" s="41">
        <v>170000</v>
      </c>
      <c r="H11" s="36"/>
      <c r="I11" s="37"/>
      <c r="J11" s="103">
        <v>478369.06000000006</v>
      </c>
      <c r="K11" s="38">
        <v>0.23599713110112869</v>
      </c>
      <c r="L11" s="38">
        <v>0.12372011287941455</v>
      </c>
      <c r="M11" s="39">
        <v>5000</v>
      </c>
      <c r="N11" s="40">
        <v>0.3125</v>
      </c>
      <c r="O11" s="23">
        <v>12</v>
      </c>
      <c r="P11" s="105">
        <v>0.33333333333333331</v>
      </c>
      <c r="Q11" s="121">
        <v>1884.6730889736136</v>
      </c>
      <c r="R11" s="120">
        <v>440.60664376580723</v>
      </c>
      <c r="S11" s="120">
        <v>874.84136499188401</v>
      </c>
      <c r="T11" s="120">
        <v>171.56991431052055</v>
      </c>
      <c r="U11" s="120">
        <v>436.83068966818922</v>
      </c>
      <c r="V11" s="120">
        <v>0</v>
      </c>
      <c r="W11" s="122">
        <v>1002</v>
      </c>
      <c r="X11" s="122">
        <v>1633.3333333333333</v>
      </c>
      <c r="Y11" s="122">
        <v>825</v>
      </c>
      <c r="Z11" s="122">
        <v>351.66666666666663</v>
      </c>
      <c r="AA11" s="122">
        <v>104</v>
      </c>
      <c r="AB11" s="122">
        <v>590.3125</v>
      </c>
      <c r="AC11" s="122">
        <v>745.625</v>
      </c>
      <c r="AD11" s="122">
        <v>502.1875</v>
      </c>
      <c r="AE11" s="122">
        <v>616.875</v>
      </c>
      <c r="AF11" s="122">
        <v>1454.375</v>
      </c>
      <c r="AG11" s="120">
        <v>839.68840611258656</v>
      </c>
      <c r="AH11" s="133" t="s">
        <v>23</v>
      </c>
    </row>
    <row r="12" spans="2:34" x14ac:dyDescent="0.35">
      <c r="B12" s="14">
        <v>3</v>
      </c>
      <c r="C12" s="14" t="s">
        <v>89</v>
      </c>
      <c r="D12" s="126" t="s">
        <v>69</v>
      </c>
      <c r="E12" s="126"/>
      <c r="F12" s="35"/>
      <c r="G12" s="41"/>
      <c r="H12" s="36"/>
      <c r="I12" s="37"/>
      <c r="J12" s="103"/>
      <c r="K12" s="38">
        <v>1.1384998678796573E-2</v>
      </c>
      <c r="L12" s="38">
        <v>5.9685188336849274E-3</v>
      </c>
      <c r="M12" s="39"/>
      <c r="N12" s="40"/>
      <c r="O12" s="23">
        <v>1</v>
      </c>
      <c r="P12" s="106">
        <v>2.7777777777777776E-2</v>
      </c>
      <c r="Q12" s="121">
        <v>90.920599448869439</v>
      </c>
      <c r="R12" s="120">
        <v>21.255792533313201</v>
      </c>
      <c r="S12" s="120">
        <v>42.204190102298895</v>
      </c>
      <c r="T12" s="120">
        <v>8.2768940394851089</v>
      </c>
      <c r="U12" s="120">
        <v>21.073632554452455</v>
      </c>
      <c r="V12" s="120">
        <v>0</v>
      </c>
      <c r="W12" s="122">
        <v>83.5</v>
      </c>
      <c r="X12" s="122">
        <v>136.11111111111111</v>
      </c>
      <c r="Y12" s="122">
        <v>68.75</v>
      </c>
      <c r="Z12" s="122">
        <v>29.305555555555554</v>
      </c>
      <c r="AA12" s="122">
        <v>8.6666666666666661</v>
      </c>
      <c r="AB12" s="122">
        <v>0</v>
      </c>
      <c r="AC12" s="122">
        <v>0</v>
      </c>
      <c r="AD12" s="122">
        <v>0</v>
      </c>
      <c r="AE12" s="122">
        <v>0</v>
      </c>
      <c r="AF12" s="122">
        <v>0</v>
      </c>
      <c r="AG12" s="120">
        <v>40.508337324219603</v>
      </c>
      <c r="AH12" s="133" t="s">
        <v>69</v>
      </c>
    </row>
    <row r="13" spans="2:34" x14ac:dyDescent="0.35">
      <c r="B13" s="14">
        <v>4</v>
      </c>
      <c r="C13" s="14" t="s">
        <v>90</v>
      </c>
      <c r="D13" s="126" t="s">
        <v>91</v>
      </c>
      <c r="E13" s="126"/>
      <c r="F13" s="35"/>
      <c r="G13" s="41"/>
      <c r="H13" s="36"/>
      <c r="I13" s="37"/>
      <c r="J13" s="103"/>
      <c r="K13" s="38">
        <v>9.7618058963421534E-3</v>
      </c>
      <c r="L13" s="38">
        <v>5.1175695304738799E-3</v>
      </c>
      <c r="M13" s="39"/>
      <c r="N13" s="40"/>
      <c r="O13" s="23">
        <v>1</v>
      </c>
      <c r="P13" s="106">
        <v>2.7777777777777776E-2</v>
      </c>
      <c r="Q13" s="121">
        <v>77.957781888188435</v>
      </c>
      <c r="R13" s="120">
        <v>18.225291608470801</v>
      </c>
      <c r="S13" s="120">
        <v>36.187014457740361</v>
      </c>
      <c r="T13" s="120">
        <v>7.0968328866407457</v>
      </c>
      <c r="U13" s="120">
        <v>18.069102714129325</v>
      </c>
      <c r="V13" s="120">
        <v>0</v>
      </c>
      <c r="W13" s="122">
        <v>83.5</v>
      </c>
      <c r="X13" s="122">
        <v>136.11111111111111</v>
      </c>
      <c r="Y13" s="122">
        <v>68.75</v>
      </c>
      <c r="Z13" s="122">
        <v>29.305555555555554</v>
      </c>
      <c r="AA13" s="122">
        <v>8.6666666666666661</v>
      </c>
      <c r="AB13" s="122">
        <v>0</v>
      </c>
      <c r="AC13" s="122">
        <v>0</v>
      </c>
      <c r="AD13" s="122">
        <v>0</v>
      </c>
      <c r="AE13" s="122">
        <v>0</v>
      </c>
      <c r="AF13" s="122">
        <v>0</v>
      </c>
      <c r="AG13" s="120">
        <v>34.732944403326222</v>
      </c>
      <c r="AH13" s="133" t="s">
        <v>91</v>
      </c>
    </row>
    <row r="14" spans="2:34" x14ac:dyDescent="0.35">
      <c r="B14" s="14">
        <v>5</v>
      </c>
      <c r="C14" s="14">
        <v>112.1</v>
      </c>
      <c r="D14" s="126" t="s">
        <v>70</v>
      </c>
      <c r="E14" s="126"/>
      <c r="F14" s="35"/>
      <c r="G14" s="41">
        <v>21000</v>
      </c>
      <c r="I14" s="2">
        <v>8</v>
      </c>
      <c r="J14" s="103">
        <v>58469.840000000004</v>
      </c>
      <c r="K14" s="38">
        <v>3.3853006681514475E-2</v>
      </c>
      <c r="L14" s="38">
        <v>1.7747240351620168E-2</v>
      </c>
      <c r="M14" s="39">
        <v>500</v>
      </c>
      <c r="N14" s="40">
        <v>3.125E-2</v>
      </c>
      <c r="O14" s="23">
        <v>2</v>
      </c>
      <c r="P14" s="106">
        <v>5.5555555555555552E-2</v>
      </c>
      <c r="Q14" s="121">
        <v>270.35011135857462</v>
      </c>
      <c r="R14" s="120">
        <v>63.203563474387522</v>
      </c>
      <c r="S14" s="120">
        <v>125.49309576837416</v>
      </c>
      <c r="T14" s="120">
        <v>24.611135857461022</v>
      </c>
      <c r="U14" s="120">
        <v>62.661915367483296</v>
      </c>
      <c r="V14" s="120">
        <v>0</v>
      </c>
      <c r="W14" s="122">
        <v>167</v>
      </c>
      <c r="X14" s="122">
        <v>272.22222222222223</v>
      </c>
      <c r="Y14" s="122">
        <v>137.5</v>
      </c>
      <c r="Z14" s="122">
        <v>58.611111111111107</v>
      </c>
      <c r="AA14" s="122">
        <v>17.333333333333332</v>
      </c>
      <c r="AB14" s="122">
        <v>59.03125</v>
      </c>
      <c r="AC14" s="122">
        <v>74.5625</v>
      </c>
      <c r="AD14" s="122">
        <v>50.21875</v>
      </c>
      <c r="AE14" s="122">
        <v>61.6875</v>
      </c>
      <c r="AF14" s="122">
        <v>145.4375</v>
      </c>
      <c r="AG14" s="120">
        <v>120.45052026644608</v>
      </c>
      <c r="AH14" s="133" t="s">
        <v>70</v>
      </c>
    </row>
    <row r="15" spans="2:34" ht="15" thickBot="1" x14ac:dyDescent="0.4">
      <c r="B15" s="14">
        <v>6</v>
      </c>
      <c r="C15" s="14">
        <v>451</v>
      </c>
      <c r="D15" s="179" t="s">
        <v>25</v>
      </c>
      <c r="E15" s="179"/>
      <c r="F15" s="180"/>
      <c r="G15" s="181">
        <v>52000</v>
      </c>
      <c r="H15" s="182"/>
      <c r="I15" s="183">
        <v>1</v>
      </c>
      <c r="J15" s="184">
        <v>208746.58000000002</v>
      </c>
      <c r="K15" s="181">
        <v>0.13457400626627911</v>
      </c>
      <c r="L15" s="181">
        <v>7.0549634091799623E-2</v>
      </c>
      <c r="M15" s="185">
        <v>1000</v>
      </c>
      <c r="N15" s="181">
        <v>6.25E-2</v>
      </c>
      <c r="O15" s="186">
        <v>4</v>
      </c>
      <c r="P15" s="181">
        <v>0.1111111111111111</v>
      </c>
      <c r="Q15" s="187">
        <v>1074.7080140425048</v>
      </c>
      <c r="R15" s="188">
        <v>251.24966969914308</v>
      </c>
      <c r="S15" s="188">
        <v>498.86584122909665</v>
      </c>
      <c r="T15" s="188">
        <v>97.835302555584903</v>
      </c>
      <c r="U15" s="188">
        <v>249.09648559888262</v>
      </c>
      <c r="V15" s="188">
        <v>0</v>
      </c>
      <c r="W15" s="189">
        <v>334</v>
      </c>
      <c r="X15" s="189">
        <v>544.44444444444446</v>
      </c>
      <c r="Y15" s="189">
        <v>275</v>
      </c>
      <c r="Z15" s="189">
        <v>117.22222222222221</v>
      </c>
      <c r="AA15" s="189">
        <v>34.666666666666664</v>
      </c>
      <c r="AB15" s="189">
        <v>118.0625</v>
      </c>
      <c r="AC15" s="189">
        <v>149.125</v>
      </c>
      <c r="AD15" s="189">
        <v>100.4375</v>
      </c>
      <c r="AE15" s="189">
        <v>123.375</v>
      </c>
      <c r="AF15" s="189">
        <v>290.875</v>
      </c>
      <c r="AG15" s="188">
        <v>478.82036658104403</v>
      </c>
      <c r="AH15" s="190" t="s">
        <v>25</v>
      </c>
    </row>
    <row r="16" spans="2:34" x14ac:dyDescent="0.35">
      <c r="B16" s="14">
        <v>7</v>
      </c>
      <c r="C16" s="14">
        <v>467</v>
      </c>
      <c r="D16" s="127" t="s">
        <v>76</v>
      </c>
      <c r="E16" s="127"/>
      <c r="F16" s="138"/>
      <c r="G16" s="139">
        <v>51000</v>
      </c>
      <c r="H16" s="140"/>
      <c r="I16" s="141">
        <v>1</v>
      </c>
      <c r="J16" s="142">
        <v>224900.46</v>
      </c>
      <c r="K16" s="143">
        <v>4.7653920199312971E-2</v>
      </c>
      <c r="L16" s="143">
        <v>2.4982288380782001E-2</v>
      </c>
      <c r="M16" s="144">
        <v>750</v>
      </c>
      <c r="N16" s="145">
        <v>4.6875E-2</v>
      </c>
      <c r="O16" s="146">
        <v>1</v>
      </c>
      <c r="P16" s="105">
        <v>2.7777777777777776E-2</v>
      </c>
      <c r="Q16" s="121">
        <v>380.56420671171338</v>
      </c>
      <c r="R16" s="120">
        <v>88.969869012117314</v>
      </c>
      <c r="S16" s="120">
        <v>176.6530821788532</v>
      </c>
      <c r="T16" s="120">
        <v>34.644399984900531</v>
      </c>
      <c r="U16" s="120">
        <v>88.207406288928311</v>
      </c>
      <c r="V16" s="120">
        <v>0</v>
      </c>
      <c r="W16" s="122">
        <v>83.5</v>
      </c>
      <c r="X16" s="122">
        <v>136.11111111111111</v>
      </c>
      <c r="Y16" s="122">
        <v>68.75</v>
      </c>
      <c r="Z16" s="122">
        <v>29.305555555555554</v>
      </c>
      <c r="AA16" s="122">
        <v>8.6666666666666661</v>
      </c>
      <c r="AB16" s="122">
        <v>88.546875</v>
      </c>
      <c r="AC16" s="122">
        <v>111.84375</v>
      </c>
      <c r="AD16" s="122">
        <v>75.328125</v>
      </c>
      <c r="AE16" s="122">
        <v>92.53125</v>
      </c>
      <c r="AF16" s="122">
        <v>218.15625</v>
      </c>
      <c r="AG16" s="120">
        <v>169.55479124036745</v>
      </c>
      <c r="AH16" s="133" t="s">
        <v>76</v>
      </c>
    </row>
    <row r="17" spans="2:34" x14ac:dyDescent="0.35">
      <c r="B17" s="14">
        <v>8</v>
      </c>
      <c r="C17" s="14">
        <v>454</v>
      </c>
      <c r="D17" s="127" t="s">
        <v>77</v>
      </c>
      <c r="E17" s="127"/>
      <c r="F17" s="35"/>
      <c r="G17" s="41"/>
      <c r="H17" s="147"/>
      <c r="I17" s="148"/>
      <c r="J17" s="149"/>
      <c r="K17" s="38">
        <v>6.2179608168812052E-2</v>
      </c>
      <c r="L17" s="38">
        <v>3.2597295168586907E-2</v>
      </c>
      <c r="M17" s="39"/>
      <c r="N17" s="40"/>
      <c r="O17" s="150">
        <v>1</v>
      </c>
      <c r="P17" s="106">
        <v>2.7777777777777776E-2</v>
      </c>
      <c r="Q17" s="121">
        <v>496.56635083613304</v>
      </c>
      <c r="R17" s="120">
        <v>116.08932845117211</v>
      </c>
      <c r="S17" s="120">
        <v>230.49980748178626</v>
      </c>
      <c r="T17" s="120">
        <v>45.204575138726362</v>
      </c>
      <c r="U17" s="120">
        <v>115.09445472047111</v>
      </c>
      <c r="V17" s="120">
        <v>0</v>
      </c>
      <c r="W17" s="122">
        <v>83.5</v>
      </c>
      <c r="X17" s="122">
        <v>136.11111111111111</v>
      </c>
      <c r="Y17" s="122">
        <v>68.75</v>
      </c>
      <c r="Z17" s="122">
        <v>29.305555555555554</v>
      </c>
      <c r="AA17" s="122">
        <v>8.6666666666666661</v>
      </c>
      <c r="AB17" s="122">
        <v>0</v>
      </c>
      <c r="AC17" s="122">
        <v>0</v>
      </c>
      <c r="AD17" s="122">
        <v>0</v>
      </c>
      <c r="AE17" s="122">
        <v>0</v>
      </c>
      <c r="AF17" s="122">
        <v>0</v>
      </c>
      <c r="AG17" s="120">
        <v>221.23784230919932</v>
      </c>
      <c r="AH17" s="133" t="s">
        <v>77</v>
      </c>
    </row>
    <row r="18" spans="2:34" ht="15" thickBot="1" x14ac:dyDescent="0.4">
      <c r="B18" s="14">
        <v>9</v>
      </c>
      <c r="C18" s="14">
        <v>452</v>
      </c>
      <c r="D18" s="127" t="s">
        <v>39</v>
      </c>
      <c r="E18" s="127"/>
      <c r="F18" s="42"/>
      <c r="G18" s="43"/>
      <c r="H18" s="151"/>
      <c r="I18" s="152"/>
      <c r="J18" s="153"/>
      <c r="K18" s="154">
        <v>3.7499528141633008E-2</v>
      </c>
      <c r="L18" s="154">
        <v>1.9658907856043125E-2</v>
      </c>
      <c r="M18" s="155"/>
      <c r="N18" s="156"/>
      <c r="O18" s="157">
        <v>1</v>
      </c>
      <c r="P18" s="158">
        <v>2.7777777777777776E-2</v>
      </c>
      <c r="Q18" s="121">
        <v>299.47123173908119</v>
      </c>
      <c r="R18" s="120">
        <v>70.011619040428826</v>
      </c>
      <c r="S18" s="120">
        <v>139.01075082103355</v>
      </c>
      <c r="T18" s="120">
        <v>27.262156958967196</v>
      </c>
      <c r="U18" s="120">
        <v>69.411626590162697</v>
      </c>
      <c r="V18" s="120">
        <v>0</v>
      </c>
      <c r="W18" s="122">
        <v>83.5</v>
      </c>
      <c r="X18" s="122">
        <v>136.11111111111111</v>
      </c>
      <c r="Y18" s="122">
        <v>68.75</v>
      </c>
      <c r="Z18" s="122">
        <v>29.305555555555554</v>
      </c>
      <c r="AA18" s="122">
        <v>8.6666666666666661</v>
      </c>
      <c r="AB18" s="122">
        <v>0</v>
      </c>
      <c r="AC18" s="122">
        <v>0</v>
      </c>
      <c r="AD18" s="122">
        <v>0</v>
      </c>
      <c r="AE18" s="122">
        <v>0</v>
      </c>
      <c r="AF18" s="122">
        <v>0</v>
      </c>
      <c r="AG18" s="120">
        <v>133.42500761896468</v>
      </c>
      <c r="AH18" s="133" t="s">
        <v>39</v>
      </c>
    </row>
    <row r="19" spans="2:34" x14ac:dyDescent="0.35">
      <c r="B19" s="14">
        <v>10</v>
      </c>
      <c r="C19" s="14">
        <v>502</v>
      </c>
      <c r="D19" s="128" t="s">
        <v>78</v>
      </c>
      <c r="E19" s="128"/>
      <c r="F19" s="138"/>
      <c r="G19" s="139">
        <v>25000</v>
      </c>
      <c r="H19" s="140"/>
      <c r="I19" s="141">
        <v>0</v>
      </c>
      <c r="J19" s="142">
        <v>136800.22</v>
      </c>
      <c r="K19" s="143">
        <v>1.3491374429051376E-2</v>
      </c>
      <c r="L19" s="143">
        <v>7.0727739759913555E-3</v>
      </c>
      <c r="M19" s="144">
        <v>750</v>
      </c>
      <c r="N19" s="145">
        <v>4.6875E-2</v>
      </c>
      <c r="O19" s="146">
        <v>1</v>
      </c>
      <c r="P19" s="105">
        <v>2.7777777777777776E-2</v>
      </c>
      <c r="Q19" s="121">
        <v>107.74211619040429</v>
      </c>
      <c r="R19" s="120">
        <v>25.188396059038919</v>
      </c>
      <c r="S19" s="120">
        <v>50.012525008493455</v>
      </c>
      <c r="T19" s="120">
        <v>9.8082292099203503</v>
      </c>
      <c r="U19" s="120">
        <v>24.972534068174099</v>
      </c>
      <c r="V19" s="120">
        <v>0</v>
      </c>
      <c r="W19" s="122">
        <v>83.5</v>
      </c>
      <c r="X19" s="122">
        <v>136.11111111111111</v>
      </c>
      <c r="Y19" s="122">
        <v>68.75</v>
      </c>
      <c r="Z19" s="122">
        <v>29.305555555555554</v>
      </c>
      <c r="AA19" s="122">
        <v>8.6666666666666661</v>
      </c>
      <c r="AB19" s="122">
        <v>88.546875</v>
      </c>
      <c r="AC19" s="122">
        <v>111.84375</v>
      </c>
      <c r="AD19" s="122">
        <v>75.328125</v>
      </c>
      <c r="AE19" s="122">
        <v>92.53125</v>
      </c>
      <c r="AF19" s="122">
        <v>218.15625</v>
      </c>
      <c r="AG19" s="120">
        <v>48.002916975053331</v>
      </c>
      <c r="AH19" s="133" t="s">
        <v>78</v>
      </c>
    </row>
    <row r="20" spans="2:34" x14ac:dyDescent="0.35">
      <c r="B20" s="14">
        <v>11</v>
      </c>
      <c r="C20" s="14" t="s">
        <v>92</v>
      </c>
      <c r="D20" s="128" t="s">
        <v>85</v>
      </c>
      <c r="E20" s="128"/>
      <c r="F20" s="35"/>
      <c r="G20" s="41"/>
      <c r="H20" s="147"/>
      <c r="I20" s="148"/>
      <c r="J20" s="149"/>
      <c r="K20" s="38">
        <v>6.7947604846929147E-3</v>
      </c>
      <c r="L20" s="38">
        <v>3.5621133622788024E-3</v>
      </c>
      <c r="M20" s="39"/>
      <c r="N20" s="40"/>
      <c r="O20" s="150">
        <v>1</v>
      </c>
      <c r="P20" s="106">
        <v>2.7777777777777776E-2</v>
      </c>
      <c r="Q20" s="121">
        <v>54.262957230757614</v>
      </c>
      <c r="R20" s="120">
        <v>12.685817824921672</v>
      </c>
      <c r="S20" s="120">
        <v>25.188177116756634</v>
      </c>
      <c r="T20" s="120">
        <v>4.9397908723717485</v>
      </c>
      <c r="U20" s="120">
        <v>12.577101657166585</v>
      </c>
      <c r="V20" s="120">
        <v>0</v>
      </c>
      <c r="W20" s="122">
        <v>83.5</v>
      </c>
      <c r="X20" s="122">
        <v>136.11111111111111</v>
      </c>
      <c r="Y20" s="122">
        <v>68.75</v>
      </c>
      <c r="Z20" s="122">
        <v>29.305555555555554</v>
      </c>
      <c r="AA20" s="122">
        <v>8.6666666666666661</v>
      </c>
      <c r="AB20" s="122">
        <v>0</v>
      </c>
      <c r="AC20" s="122">
        <v>0</v>
      </c>
      <c r="AD20" s="122">
        <v>0</v>
      </c>
      <c r="AE20" s="122">
        <v>0</v>
      </c>
      <c r="AF20" s="122">
        <v>0</v>
      </c>
      <c r="AG20" s="120">
        <v>24.176063389786233</v>
      </c>
      <c r="AH20" s="133" t="s">
        <v>85</v>
      </c>
    </row>
    <row r="21" spans="2:34" x14ac:dyDescent="0.35">
      <c r="B21" s="14">
        <v>12</v>
      </c>
      <c r="C21" s="14">
        <v>341</v>
      </c>
      <c r="D21" s="128" t="s">
        <v>79</v>
      </c>
      <c r="E21" s="128"/>
      <c r="F21" s="35"/>
      <c r="G21" s="41"/>
      <c r="H21" s="147"/>
      <c r="I21" s="148"/>
      <c r="J21" s="149"/>
      <c r="K21" s="38">
        <v>2.8930580197048052E-2</v>
      </c>
      <c r="L21" s="38">
        <v>1.5166687115835969E-2</v>
      </c>
      <c r="M21" s="39"/>
      <c r="N21" s="40"/>
      <c r="O21" s="150">
        <v>1</v>
      </c>
      <c r="P21" s="106">
        <v>2.7777777777777776E-2</v>
      </c>
      <c r="Q21" s="121">
        <v>231.03961345362575</v>
      </c>
      <c r="R21" s="120">
        <v>54.013393227888713</v>
      </c>
      <c r="S21" s="120">
        <v>107.24566079045714</v>
      </c>
      <c r="T21" s="120">
        <v>21.032531803253935</v>
      </c>
      <c r="U21" s="120">
        <v>53.550503944735944</v>
      </c>
      <c r="V21" s="120">
        <v>0</v>
      </c>
      <c r="W21" s="122">
        <v>83.5</v>
      </c>
      <c r="X21" s="122">
        <v>136.11111111111111</v>
      </c>
      <c r="Y21" s="122">
        <v>68.75</v>
      </c>
      <c r="Z21" s="122">
        <v>29.305555555555554</v>
      </c>
      <c r="AA21" s="122">
        <v>8.6666666666666661</v>
      </c>
      <c r="AB21" s="122">
        <v>0</v>
      </c>
      <c r="AC21" s="122">
        <v>0</v>
      </c>
      <c r="AD21" s="122">
        <v>0</v>
      </c>
      <c r="AE21" s="122">
        <v>0</v>
      </c>
      <c r="AF21" s="122">
        <v>0</v>
      </c>
      <c r="AG21" s="120">
        <v>102.93630545517873</v>
      </c>
      <c r="AH21" s="133" t="s">
        <v>79</v>
      </c>
    </row>
    <row r="22" spans="2:34" x14ac:dyDescent="0.35">
      <c r="B22" s="14">
        <v>13</v>
      </c>
      <c r="C22" s="14">
        <v>526</v>
      </c>
      <c r="D22" s="128" t="s">
        <v>80</v>
      </c>
      <c r="E22" s="128"/>
      <c r="F22" s="35"/>
      <c r="G22" s="41"/>
      <c r="H22" s="147"/>
      <c r="I22" s="148"/>
      <c r="J22" s="149"/>
      <c r="K22" s="38">
        <v>1.7454984711788909E-2</v>
      </c>
      <c r="L22" s="38">
        <v>9.1506734373206569E-3</v>
      </c>
      <c r="M22" s="39"/>
      <c r="N22" s="40"/>
      <c r="O22" s="150">
        <v>1</v>
      </c>
      <c r="P22" s="106">
        <v>2.7777777777777776E-2</v>
      </c>
      <c r="Q22" s="121">
        <v>139.39550790834622</v>
      </c>
      <c r="R22" s="120">
        <v>32.588456456909896</v>
      </c>
      <c r="S22" s="120">
        <v>64.705628326601484</v>
      </c>
      <c r="T22" s="120">
        <v>12.689773885470537</v>
      </c>
      <c r="U22" s="120">
        <v>32.309176701521267</v>
      </c>
      <c r="V22" s="120">
        <v>0</v>
      </c>
      <c r="W22" s="122">
        <v>83.5</v>
      </c>
      <c r="X22" s="122">
        <v>136.11111111111111</v>
      </c>
      <c r="Y22" s="122">
        <v>68.75</v>
      </c>
      <c r="Z22" s="122">
        <v>29.305555555555554</v>
      </c>
      <c r="AA22" s="122">
        <v>8.6666666666666661</v>
      </c>
      <c r="AB22" s="122">
        <v>0</v>
      </c>
      <c r="AC22" s="122">
        <v>0</v>
      </c>
      <c r="AD22" s="122">
        <v>0</v>
      </c>
      <c r="AE22" s="122">
        <v>0</v>
      </c>
      <c r="AF22" s="122">
        <v>0</v>
      </c>
      <c r="AG22" s="120">
        <v>62.105620619095298</v>
      </c>
      <c r="AH22" s="133" t="s">
        <v>80</v>
      </c>
    </row>
    <row r="23" spans="2:34" ht="15" thickBot="1" x14ac:dyDescent="0.4">
      <c r="B23" s="14">
        <v>14</v>
      </c>
      <c r="C23" s="14">
        <v>515</v>
      </c>
      <c r="D23" s="128" t="s">
        <v>81</v>
      </c>
      <c r="E23" s="128"/>
      <c r="F23" s="42"/>
      <c r="G23" s="43">
        <v>22000</v>
      </c>
      <c r="H23" s="151"/>
      <c r="I23" s="152">
        <v>1</v>
      </c>
      <c r="J23" s="153">
        <v>71999.959999999992</v>
      </c>
      <c r="K23" s="154">
        <v>1.1958778453059529E-2</v>
      </c>
      <c r="L23" s="154">
        <v>6.2693195176106928E-3</v>
      </c>
      <c r="M23" s="155">
        <v>500</v>
      </c>
      <c r="N23" s="156">
        <v>3.125E-2</v>
      </c>
      <c r="O23" s="157">
        <v>1</v>
      </c>
      <c r="P23" s="158">
        <v>2.7777777777777776E-2</v>
      </c>
      <c r="Q23" s="121">
        <v>95.502804726133391</v>
      </c>
      <c r="R23" s="120">
        <v>22.327039371862142</v>
      </c>
      <c r="S23" s="120">
        <v>44.331191725491671</v>
      </c>
      <c r="T23" s="120">
        <v>8.6940319353742783</v>
      </c>
      <c r="U23" s="120">
        <v>22.135698916613187</v>
      </c>
      <c r="V23" s="120">
        <v>0</v>
      </c>
      <c r="W23" s="122">
        <v>83.5</v>
      </c>
      <c r="X23" s="122">
        <v>136.11111111111111</v>
      </c>
      <c r="Y23" s="122">
        <v>68.75</v>
      </c>
      <c r="Z23" s="122">
        <v>29.305555555555554</v>
      </c>
      <c r="AA23" s="122">
        <v>8.6666666666666661</v>
      </c>
      <c r="AB23" s="122">
        <v>59.03125</v>
      </c>
      <c r="AC23" s="122">
        <v>74.5625</v>
      </c>
      <c r="AD23" s="122">
        <v>50.21875</v>
      </c>
      <c r="AE23" s="122">
        <v>61.6875</v>
      </c>
      <c r="AF23" s="122">
        <v>145.4375</v>
      </c>
      <c r="AG23" s="120">
        <v>42.549871566023775</v>
      </c>
      <c r="AH23" s="133" t="s">
        <v>81</v>
      </c>
    </row>
    <row r="24" spans="2:34" x14ac:dyDescent="0.35">
      <c r="B24" s="14">
        <v>15</v>
      </c>
      <c r="C24" s="14">
        <v>560.1</v>
      </c>
      <c r="D24" s="129" t="s">
        <v>82</v>
      </c>
      <c r="E24" s="129"/>
      <c r="F24" s="138"/>
      <c r="G24" s="139"/>
      <c r="H24" s="140"/>
      <c r="I24" s="141"/>
      <c r="J24" s="142"/>
      <c r="K24" s="143">
        <v>9.8901513721641309E-3</v>
      </c>
      <c r="L24" s="143">
        <v>5.1848538939835908E-3</v>
      </c>
      <c r="M24" s="144"/>
      <c r="N24" s="145"/>
      <c r="O24" s="146">
        <v>1</v>
      </c>
      <c r="P24" s="105">
        <v>2.7777777777777776E-2</v>
      </c>
      <c r="Q24" s="121">
        <v>78.982748858102752</v>
      </c>
      <c r="R24" s="120">
        <v>18.464912611830432</v>
      </c>
      <c r="S24" s="120">
        <v>36.662791136612434</v>
      </c>
      <c r="T24" s="120">
        <v>7.1901400475633235</v>
      </c>
      <c r="U24" s="120">
        <v>18.306670189875806</v>
      </c>
      <c r="V24" s="120">
        <v>0</v>
      </c>
      <c r="W24" s="122">
        <v>83.5</v>
      </c>
      <c r="X24" s="122">
        <v>136.11111111111111</v>
      </c>
      <c r="Y24" s="122">
        <v>68.75</v>
      </c>
      <c r="Z24" s="122">
        <v>29.305555555555554</v>
      </c>
      <c r="AA24" s="122">
        <v>8.6666666666666661</v>
      </c>
      <c r="AB24" s="122">
        <v>0</v>
      </c>
      <c r="AC24" s="122">
        <v>0</v>
      </c>
      <c r="AD24" s="122">
        <v>0</v>
      </c>
      <c r="AE24" s="122">
        <v>0</v>
      </c>
      <c r="AF24" s="122">
        <v>0</v>
      </c>
      <c r="AG24" s="120">
        <v>35.189603378466629</v>
      </c>
      <c r="AH24" s="133" t="s">
        <v>82</v>
      </c>
    </row>
    <row r="25" spans="2:34" x14ac:dyDescent="0.35">
      <c r="B25" s="14">
        <v>16</v>
      </c>
      <c r="C25" s="14">
        <v>562</v>
      </c>
      <c r="D25" s="129" t="s">
        <v>83</v>
      </c>
      <c r="E25" s="129"/>
      <c r="F25" s="35"/>
      <c r="G25" s="41"/>
      <c r="H25" s="147"/>
      <c r="I25" s="148"/>
      <c r="J25" s="149"/>
      <c r="K25" s="38">
        <v>5.9650447321731907E-2</v>
      </c>
      <c r="L25" s="38">
        <v>3.1271397417072022E-2</v>
      </c>
      <c r="M25" s="39"/>
      <c r="N25" s="40"/>
      <c r="O25" s="150">
        <v>1</v>
      </c>
      <c r="P25" s="106">
        <v>2.7777777777777776E-2</v>
      </c>
      <c r="Q25" s="121">
        <v>476.36847231135101</v>
      </c>
      <c r="R25" s="120">
        <v>111.36738514967347</v>
      </c>
      <c r="S25" s="120">
        <v>221.12420822166018</v>
      </c>
      <c r="T25" s="120">
        <v>43.365875202899097</v>
      </c>
      <c r="U25" s="120">
        <v>110.41297799252575</v>
      </c>
      <c r="V25" s="120">
        <v>0</v>
      </c>
      <c r="W25" s="122">
        <v>83.5</v>
      </c>
      <c r="X25" s="122">
        <v>136.11111111111111</v>
      </c>
      <c r="Y25" s="122">
        <v>68.75</v>
      </c>
      <c r="Z25" s="122">
        <v>29.305555555555554</v>
      </c>
      <c r="AA25" s="122">
        <v>8.6666666666666661</v>
      </c>
      <c r="AB25" s="122">
        <v>0</v>
      </c>
      <c r="AC25" s="122">
        <v>0</v>
      </c>
      <c r="AD25" s="122">
        <v>0</v>
      </c>
      <c r="AE25" s="122">
        <v>0</v>
      </c>
      <c r="AF25" s="122">
        <v>0</v>
      </c>
      <c r="AG25" s="120">
        <v>212.23897426966781</v>
      </c>
      <c r="AH25" s="133" t="s">
        <v>83</v>
      </c>
    </row>
    <row r="26" spans="2:34" x14ac:dyDescent="0.35">
      <c r="B26" s="14">
        <v>17</v>
      </c>
      <c r="C26" s="14">
        <v>563</v>
      </c>
      <c r="D26" s="129" t="s">
        <v>84</v>
      </c>
      <c r="E26" s="129"/>
      <c r="F26" s="35"/>
      <c r="G26" s="41"/>
      <c r="H26" s="147"/>
      <c r="I26" s="148"/>
      <c r="J26" s="149"/>
      <c r="K26" s="38">
        <v>8.712392888150693E-3</v>
      </c>
      <c r="L26" s="38">
        <v>4.5674209111885977E-3</v>
      </c>
      <c r="M26" s="39"/>
      <c r="N26" s="40"/>
      <c r="O26" s="150">
        <v>1</v>
      </c>
      <c r="P26" s="106">
        <v>2.7777777777777776E-2</v>
      </c>
      <c r="Q26" s="121">
        <v>69.577169604771427</v>
      </c>
      <c r="R26" s="120">
        <v>16.266037522177342</v>
      </c>
      <c r="S26" s="120">
        <v>32.296840436374616</v>
      </c>
      <c r="T26" s="120">
        <v>6.3339096296855537</v>
      </c>
      <c r="U26" s="120">
        <v>16.126639235966934</v>
      </c>
      <c r="V26" s="120">
        <v>0</v>
      </c>
      <c r="W26" s="122">
        <v>83.5</v>
      </c>
      <c r="X26" s="122">
        <v>136.11111111111111</v>
      </c>
      <c r="Y26" s="122">
        <v>68.75</v>
      </c>
      <c r="Z26" s="122">
        <v>29.305555555555554</v>
      </c>
      <c r="AA26" s="122">
        <v>8.6666666666666661</v>
      </c>
      <c r="AB26" s="122">
        <v>0</v>
      </c>
      <c r="AC26" s="122">
        <v>0</v>
      </c>
      <c r="AD26" s="122">
        <v>0</v>
      </c>
      <c r="AE26" s="122">
        <v>0</v>
      </c>
      <c r="AF26" s="122">
        <v>0</v>
      </c>
      <c r="AG26" s="120">
        <v>30.999085724237013</v>
      </c>
      <c r="AH26" s="133" t="s">
        <v>84</v>
      </c>
    </row>
    <row r="27" spans="2:34" ht="15" thickBot="1" x14ac:dyDescent="0.4">
      <c r="B27" s="14">
        <v>18</v>
      </c>
      <c r="C27" s="14" t="s">
        <v>93</v>
      </c>
      <c r="D27" s="129" t="s">
        <v>86</v>
      </c>
      <c r="E27" s="129"/>
      <c r="F27" s="42"/>
      <c r="G27" s="43"/>
      <c r="H27" s="151"/>
      <c r="I27" s="152"/>
      <c r="J27" s="153"/>
      <c r="K27" s="154">
        <v>6.2738288475331248E-3</v>
      </c>
      <c r="L27" s="154">
        <v>3.2890180045040945E-3</v>
      </c>
      <c r="M27" s="155"/>
      <c r="N27" s="156"/>
      <c r="O27" s="157">
        <v>0.5</v>
      </c>
      <c r="P27" s="158">
        <v>1.3888888888888888E-2</v>
      </c>
      <c r="Q27" s="121">
        <v>50.102797176399534</v>
      </c>
      <c r="R27" s="120">
        <v>11.713238458344344</v>
      </c>
      <c r="S27" s="120">
        <v>23.257083537805293</v>
      </c>
      <c r="T27" s="120">
        <v>4.561073572156582</v>
      </c>
      <c r="U27" s="120">
        <v>11.612857196783814</v>
      </c>
      <c r="V27" s="120">
        <v>0</v>
      </c>
      <c r="W27" s="122">
        <v>41.75</v>
      </c>
      <c r="X27" s="122">
        <v>68.055555555555557</v>
      </c>
      <c r="Y27" s="122">
        <v>34.375</v>
      </c>
      <c r="Z27" s="122">
        <v>14.652777777777777</v>
      </c>
      <c r="AA27" s="122">
        <v>4.333333333333333</v>
      </c>
      <c r="AB27" s="122">
        <v>0</v>
      </c>
      <c r="AC27" s="122">
        <v>0</v>
      </c>
      <c r="AD27" s="122">
        <v>0</v>
      </c>
      <c r="AE27" s="122">
        <v>0</v>
      </c>
      <c r="AF27" s="122">
        <v>0</v>
      </c>
      <c r="AG27" s="120">
        <v>22.32256519656929</v>
      </c>
      <c r="AH27" s="133" t="s">
        <v>86</v>
      </c>
    </row>
    <row r="28" spans="2:34" x14ac:dyDescent="0.35">
      <c r="B28" s="14">
        <v>19</v>
      </c>
      <c r="C28" s="14">
        <v>335</v>
      </c>
      <c r="D28" s="130" t="s">
        <v>75</v>
      </c>
      <c r="E28" s="130"/>
      <c r="F28" s="138"/>
      <c r="G28" s="139">
        <v>23000</v>
      </c>
      <c r="H28" s="140"/>
      <c r="I28" s="141"/>
      <c r="J28" s="142">
        <v>29400</v>
      </c>
      <c r="K28" s="143">
        <v>2.4793326035257256E-2</v>
      </c>
      <c r="L28" s="143">
        <v>1.2997755868581764E-2</v>
      </c>
      <c r="M28" s="144">
        <v>500</v>
      </c>
      <c r="N28" s="145">
        <v>3.125E-2</v>
      </c>
      <c r="O28" s="146">
        <v>0.5</v>
      </c>
      <c r="P28" s="105">
        <v>1.3888888888888888E-2</v>
      </c>
      <c r="Q28" s="121">
        <v>197.99950171756444</v>
      </c>
      <c r="R28" s="120">
        <v>46.289139707825299</v>
      </c>
      <c r="S28" s="120">
        <v>91.908859612698649</v>
      </c>
      <c r="T28" s="120">
        <v>18.024748027632025</v>
      </c>
      <c r="U28" s="120">
        <v>45.892446491261182</v>
      </c>
      <c r="V28" s="120">
        <v>0</v>
      </c>
      <c r="W28" s="122">
        <v>41.75</v>
      </c>
      <c r="X28" s="122">
        <v>68.055555555555557</v>
      </c>
      <c r="Y28" s="122">
        <v>34.375</v>
      </c>
      <c r="Z28" s="122">
        <v>14.652777777777777</v>
      </c>
      <c r="AA28" s="122">
        <v>4.333333333333333</v>
      </c>
      <c r="AB28" s="122">
        <v>59.03125</v>
      </c>
      <c r="AC28" s="122">
        <v>74.5625</v>
      </c>
      <c r="AD28" s="122">
        <v>50.21875</v>
      </c>
      <c r="AE28" s="122">
        <v>61.6875</v>
      </c>
      <c r="AF28" s="122">
        <v>145.4375</v>
      </c>
      <c r="AG28" s="120">
        <v>88.215769080064433</v>
      </c>
      <c r="AH28" s="133" t="s">
        <v>75</v>
      </c>
    </row>
    <row r="29" spans="2:34" x14ac:dyDescent="0.35">
      <c r="B29" s="14">
        <v>20</v>
      </c>
      <c r="C29" s="14">
        <v>222</v>
      </c>
      <c r="D29" s="130" t="s">
        <v>57</v>
      </c>
      <c r="E29" s="130"/>
      <c r="F29" s="35"/>
      <c r="G29" s="41"/>
      <c r="H29" s="147"/>
      <c r="I29" s="148"/>
      <c r="J29" s="149"/>
      <c r="K29" s="38">
        <v>3.1014306745687215E-2</v>
      </c>
      <c r="L29" s="38">
        <v>1.6259068546934801E-2</v>
      </c>
      <c r="M29" s="39"/>
      <c r="N29" s="40"/>
      <c r="O29" s="150">
        <v>0.5</v>
      </c>
      <c r="P29" s="106">
        <v>1.3888888888888888E-2</v>
      </c>
      <c r="Q29" s="121">
        <v>247.6802536710581</v>
      </c>
      <c r="R29" s="120">
        <v>57.903710694198033</v>
      </c>
      <c r="S29" s="120">
        <v>114.9700351062625</v>
      </c>
      <c r="T29" s="120">
        <v>22.547401004114604</v>
      </c>
      <c r="U29" s="120">
        <v>57.407481786267034</v>
      </c>
      <c r="V29" s="120">
        <v>0</v>
      </c>
      <c r="W29" s="122">
        <v>41.75</v>
      </c>
      <c r="X29" s="122">
        <v>68.055555555555557</v>
      </c>
      <c r="Y29" s="122">
        <v>34.375</v>
      </c>
      <c r="Z29" s="122">
        <v>14.652777777777777</v>
      </c>
      <c r="AA29" s="122">
        <v>4.333333333333333</v>
      </c>
      <c r="AB29" s="122">
        <v>0</v>
      </c>
      <c r="AC29" s="122">
        <v>0</v>
      </c>
      <c r="AD29" s="122">
        <v>0</v>
      </c>
      <c r="AE29" s="122">
        <v>0</v>
      </c>
      <c r="AF29" s="122">
        <v>0</v>
      </c>
      <c r="AG29" s="120">
        <v>110.3502982280465</v>
      </c>
      <c r="AH29" s="133" t="s">
        <v>57</v>
      </c>
    </row>
    <row r="30" spans="2:34" ht="15" thickBot="1" x14ac:dyDescent="0.4">
      <c r="B30" s="14">
        <v>21</v>
      </c>
      <c r="C30" s="14">
        <v>368</v>
      </c>
      <c r="D30" s="130" t="s">
        <v>27</v>
      </c>
      <c r="E30" s="130"/>
      <c r="F30" s="42"/>
      <c r="G30" s="43">
        <v>24000</v>
      </c>
      <c r="H30" s="151"/>
      <c r="I30" s="152">
        <v>0.5</v>
      </c>
      <c r="J30" s="153">
        <v>109094.06</v>
      </c>
      <c r="K30" s="154">
        <v>6.0103431354044771E-2</v>
      </c>
      <c r="L30" s="154">
        <v>3.1508871641223943E-2</v>
      </c>
      <c r="M30" s="155">
        <v>500</v>
      </c>
      <c r="N30" s="156">
        <v>3.125E-2</v>
      </c>
      <c r="O30" s="157">
        <v>0.5</v>
      </c>
      <c r="P30" s="158">
        <v>1.3888888888888888E-2</v>
      </c>
      <c r="Q30" s="121">
        <v>479.98600279340155</v>
      </c>
      <c r="R30" s="120">
        <v>112.21310633800159</v>
      </c>
      <c r="S30" s="120">
        <v>222.80342002944397</v>
      </c>
      <c r="T30" s="120">
        <v>43.69519459439055</v>
      </c>
      <c r="U30" s="120">
        <v>111.25145143633688</v>
      </c>
      <c r="V30" s="120">
        <v>0</v>
      </c>
      <c r="W30" s="122">
        <v>41.75</v>
      </c>
      <c r="X30" s="122">
        <v>68.055555555555557</v>
      </c>
      <c r="Y30" s="122">
        <v>34.375</v>
      </c>
      <c r="Z30" s="122">
        <v>14.652777777777777</v>
      </c>
      <c r="AA30" s="122">
        <v>4.333333333333333</v>
      </c>
      <c r="AB30" s="122">
        <v>59.03125</v>
      </c>
      <c r="AC30" s="122">
        <v>74.5625</v>
      </c>
      <c r="AD30" s="122">
        <v>50.21875</v>
      </c>
      <c r="AE30" s="122">
        <v>61.6875</v>
      </c>
      <c r="AF30" s="122">
        <v>145.4375</v>
      </c>
      <c r="AG30" s="120">
        <v>213.8507118289869</v>
      </c>
      <c r="AH30" s="133" t="s">
        <v>27</v>
      </c>
    </row>
    <row r="31" spans="2:34" x14ac:dyDescent="0.35">
      <c r="B31" s="14">
        <v>22</v>
      </c>
      <c r="C31" s="14">
        <v>610</v>
      </c>
      <c r="D31" s="126" t="s">
        <v>71</v>
      </c>
      <c r="E31" s="126"/>
      <c r="F31" s="138"/>
      <c r="G31" s="139">
        <v>56000</v>
      </c>
      <c r="H31" s="140"/>
      <c r="I31" s="159"/>
      <c r="J31" s="142">
        <v>250000.06</v>
      </c>
      <c r="K31" s="143">
        <v>8.101619417915519E-2</v>
      </c>
      <c r="L31" s="143">
        <v>4.2472264989570921E-2</v>
      </c>
      <c r="M31" s="144">
        <v>1750</v>
      </c>
      <c r="N31" s="145">
        <v>0.109375</v>
      </c>
      <c r="O31" s="146">
        <v>1</v>
      </c>
      <c r="P31" s="105">
        <v>2.7777777777777776E-2</v>
      </c>
      <c r="Q31" s="121">
        <v>646.99532671473332</v>
      </c>
      <c r="R31" s="120">
        <v>151.25723453248273</v>
      </c>
      <c r="S31" s="120">
        <v>300.32703182212828</v>
      </c>
      <c r="T31" s="120">
        <v>58.898773168245825</v>
      </c>
      <c r="U31" s="120">
        <v>149.96097542561625</v>
      </c>
      <c r="V31" s="120">
        <v>0</v>
      </c>
      <c r="W31" s="122">
        <v>83.5</v>
      </c>
      <c r="X31" s="122">
        <v>136.11111111111111</v>
      </c>
      <c r="Y31" s="122">
        <v>68.75</v>
      </c>
      <c r="Z31" s="122">
        <v>29.305555555555554</v>
      </c>
      <c r="AA31" s="122">
        <v>8.6666666666666661</v>
      </c>
      <c r="AB31" s="122">
        <v>206.609375</v>
      </c>
      <c r="AC31" s="122">
        <v>260.96875</v>
      </c>
      <c r="AD31" s="122">
        <v>175.765625</v>
      </c>
      <c r="AE31" s="122">
        <v>215.90625</v>
      </c>
      <c r="AF31" s="122">
        <v>509.03125</v>
      </c>
      <c r="AG31" s="120">
        <v>288.25926248421786</v>
      </c>
      <c r="AH31" s="133" t="s">
        <v>71</v>
      </c>
    </row>
    <row r="32" spans="2:34" x14ac:dyDescent="0.35">
      <c r="B32" s="14">
        <v>23</v>
      </c>
      <c r="C32" s="14">
        <v>620</v>
      </c>
      <c r="D32" s="126" t="s">
        <v>72</v>
      </c>
      <c r="E32" s="126"/>
      <c r="F32" s="35"/>
      <c r="G32" s="41"/>
      <c r="H32" s="147"/>
      <c r="I32" s="160"/>
      <c r="J32" s="149"/>
      <c r="K32" s="38">
        <v>5.8019704805405609E-2</v>
      </c>
      <c r="L32" s="38">
        <v>3.0416490210125109E-2</v>
      </c>
      <c r="M32" s="39"/>
      <c r="N32" s="40"/>
      <c r="O32" s="150">
        <v>1</v>
      </c>
      <c r="P32" s="106">
        <v>2.7777777777777776E-2</v>
      </c>
      <c r="Q32" s="121">
        <v>463.3453625759692</v>
      </c>
      <c r="R32" s="120">
        <v>108.32278887169227</v>
      </c>
      <c r="S32" s="120">
        <v>215.07904571363858</v>
      </c>
      <c r="T32" s="120">
        <v>42.180325393529877</v>
      </c>
      <c r="U32" s="120">
        <v>107.39447359480579</v>
      </c>
      <c r="V32" s="120">
        <v>0</v>
      </c>
      <c r="W32" s="122">
        <v>83.5</v>
      </c>
      <c r="X32" s="122">
        <v>136.11111111111111</v>
      </c>
      <c r="Y32" s="122">
        <v>68.75</v>
      </c>
      <c r="Z32" s="122">
        <v>29.305555555555554</v>
      </c>
      <c r="AA32" s="122">
        <v>8.6666666666666661</v>
      </c>
      <c r="AB32" s="122">
        <v>0</v>
      </c>
      <c r="AC32" s="122">
        <v>0</v>
      </c>
      <c r="AD32" s="122">
        <v>0</v>
      </c>
      <c r="AE32" s="122">
        <v>0</v>
      </c>
      <c r="AF32" s="122">
        <v>0</v>
      </c>
      <c r="AG32" s="120">
        <v>206.4367190561191</v>
      </c>
      <c r="AH32" s="133" t="s">
        <v>72</v>
      </c>
    </row>
    <row r="33" spans="2:34" x14ac:dyDescent="0.35">
      <c r="B33" s="14">
        <v>24</v>
      </c>
      <c r="C33" s="14">
        <v>630</v>
      </c>
      <c r="D33" s="126" t="s">
        <v>73</v>
      </c>
      <c r="E33" s="126"/>
      <c r="F33" s="35"/>
      <c r="G33" s="41"/>
      <c r="H33" s="147"/>
      <c r="I33" s="160"/>
      <c r="J33" s="149"/>
      <c r="K33" s="38">
        <v>0</v>
      </c>
      <c r="L33" s="38">
        <v>0</v>
      </c>
      <c r="M33" s="39"/>
      <c r="N33" s="40"/>
      <c r="O33" s="150"/>
      <c r="P33" s="106">
        <v>0</v>
      </c>
      <c r="Q33" s="121">
        <v>0</v>
      </c>
      <c r="R33" s="120">
        <v>0</v>
      </c>
      <c r="S33" s="120">
        <v>0</v>
      </c>
      <c r="T33" s="120">
        <v>0</v>
      </c>
      <c r="U33" s="120">
        <v>0</v>
      </c>
      <c r="V33" s="120">
        <v>0</v>
      </c>
      <c r="W33" s="122">
        <v>0</v>
      </c>
      <c r="X33" s="122">
        <v>0</v>
      </c>
      <c r="Y33" s="122">
        <v>0</v>
      </c>
      <c r="Z33" s="122">
        <v>0</v>
      </c>
      <c r="AA33" s="122">
        <v>0</v>
      </c>
      <c r="AB33" s="122">
        <v>0</v>
      </c>
      <c r="AC33" s="122">
        <v>0</v>
      </c>
      <c r="AD33" s="122">
        <v>0</v>
      </c>
      <c r="AE33" s="122">
        <v>0</v>
      </c>
      <c r="AF33" s="122">
        <v>0</v>
      </c>
      <c r="AG33" s="120">
        <v>0</v>
      </c>
      <c r="AH33" s="133" t="s">
        <v>73</v>
      </c>
    </row>
    <row r="34" spans="2:34" ht="15" thickBot="1" x14ac:dyDescent="0.4">
      <c r="B34" s="14">
        <v>25</v>
      </c>
      <c r="C34" s="14">
        <v>750</v>
      </c>
      <c r="D34" s="126" t="s">
        <v>74</v>
      </c>
      <c r="E34" s="126"/>
      <c r="F34" s="42"/>
      <c r="G34" s="43"/>
      <c r="H34" s="151"/>
      <c r="I34" s="161"/>
      <c r="J34" s="153"/>
      <c r="K34" s="154">
        <v>8.9917330414102901E-3</v>
      </c>
      <c r="L34" s="154">
        <v>4.7138633494156158E-3</v>
      </c>
      <c r="M34" s="155"/>
      <c r="N34" s="156"/>
      <c r="O34" s="157"/>
      <c r="P34" s="158">
        <v>0</v>
      </c>
      <c r="Q34" s="121">
        <v>71.807980068702577</v>
      </c>
      <c r="R34" s="120">
        <v>16.787565588313011</v>
      </c>
      <c r="S34" s="120">
        <v>33.332354384507944</v>
      </c>
      <c r="T34" s="120">
        <v>6.5369899211052811</v>
      </c>
      <c r="U34" s="120">
        <v>16.643697859650448</v>
      </c>
      <c r="V34" s="120">
        <v>0</v>
      </c>
      <c r="W34" s="122">
        <v>0</v>
      </c>
      <c r="X34" s="122">
        <v>0</v>
      </c>
      <c r="Y34" s="122">
        <v>0</v>
      </c>
      <c r="Z34" s="122">
        <v>0</v>
      </c>
      <c r="AA34" s="122">
        <v>0</v>
      </c>
      <c r="AB34" s="122">
        <v>0</v>
      </c>
      <c r="AC34" s="122">
        <v>0</v>
      </c>
      <c r="AD34" s="122">
        <v>0</v>
      </c>
      <c r="AE34" s="122">
        <v>0</v>
      </c>
      <c r="AF34" s="122">
        <v>0</v>
      </c>
      <c r="AG34" s="120">
        <v>31.992990552483786</v>
      </c>
      <c r="AH34" s="133" t="s">
        <v>74</v>
      </c>
    </row>
    <row r="35" spans="2:34" ht="15" thickBot="1" x14ac:dyDescent="0.4">
      <c r="B35" s="14">
        <v>26</v>
      </c>
      <c r="C35" s="14">
        <v>339</v>
      </c>
      <c r="D35" s="131" t="s">
        <v>28</v>
      </c>
      <c r="E35" s="131"/>
      <c r="F35" s="138"/>
      <c r="G35" s="139">
        <v>19000</v>
      </c>
      <c r="H35" s="140"/>
      <c r="I35" s="159"/>
      <c r="J35" s="142">
        <v>80000.179999999993</v>
      </c>
      <c r="K35" s="143"/>
      <c r="L35" s="143">
        <v>2.435693959051528E-2</v>
      </c>
      <c r="M35" s="144">
        <v>500</v>
      </c>
      <c r="N35" s="145">
        <v>3.125E-2</v>
      </c>
      <c r="O35" s="146">
        <v>1</v>
      </c>
      <c r="P35" s="105">
        <v>2.7777777777777776E-2</v>
      </c>
      <c r="Q35" s="119"/>
      <c r="R35" s="120"/>
      <c r="S35" s="120"/>
      <c r="T35" s="120"/>
      <c r="U35" s="120"/>
      <c r="V35" s="120">
        <v>0</v>
      </c>
      <c r="W35" s="122">
        <v>83.5</v>
      </c>
      <c r="X35" s="122">
        <v>136.11111111111111</v>
      </c>
      <c r="Y35" s="122">
        <v>68.75</v>
      </c>
      <c r="Z35" s="122">
        <v>29.305555555555554</v>
      </c>
      <c r="AA35" s="122">
        <v>8.6666666666666661</v>
      </c>
      <c r="AB35" s="122">
        <v>59.03125</v>
      </c>
      <c r="AC35" s="122">
        <v>74.5625</v>
      </c>
      <c r="AD35" s="122">
        <v>50.21875</v>
      </c>
      <c r="AE35" s="122">
        <v>61.6875</v>
      </c>
      <c r="AF35" s="122">
        <v>145.4375</v>
      </c>
      <c r="AG35" s="120">
        <v>165.31054900082719</v>
      </c>
      <c r="AH35" s="133" t="s">
        <v>28</v>
      </c>
    </row>
    <row r="36" spans="2:34" ht="15" thickBot="1" x14ac:dyDescent="0.4">
      <c r="B36" s="14">
        <v>27</v>
      </c>
      <c r="C36" s="14">
        <v>451</v>
      </c>
      <c r="D36" s="191" t="s">
        <v>29</v>
      </c>
      <c r="E36" s="191"/>
      <c r="F36" s="192"/>
      <c r="G36" s="193">
        <v>36000</v>
      </c>
      <c r="H36" s="194"/>
      <c r="I36" s="195">
        <v>0.5</v>
      </c>
      <c r="J36" s="196">
        <v>1000000</v>
      </c>
      <c r="K36" s="193"/>
      <c r="L36" s="193">
        <v>0.45139892107544161</v>
      </c>
      <c r="M36" s="197">
        <v>500</v>
      </c>
      <c r="N36" s="193">
        <v>3.125E-2</v>
      </c>
      <c r="O36" s="198">
        <v>0</v>
      </c>
      <c r="P36" s="193">
        <v>0</v>
      </c>
      <c r="Q36" s="199"/>
      <c r="R36" s="200"/>
      <c r="S36" s="200"/>
      <c r="T36" s="200"/>
      <c r="U36" s="200"/>
      <c r="V36" s="200">
        <v>0</v>
      </c>
      <c r="W36" s="201">
        <v>0</v>
      </c>
      <c r="X36" s="201">
        <v>0</v>
      </c>
      <c r="Y36" s="201">
        <v>0</v>
      </c>
      <c r="Z36" s="201">
        <v>0</v>
      </c>
      <c r="AA36" s="201">
        <v>0</v>
      </c>
      <c r="AB36" s="203">
        <v>59.03125</v>
      </c>
      <c r="AC36" s="204">
        <v>74.5625</v>
      </c>
      <c r="AD36" s="204">
        <v>50.21875</v>
      </c>
      <c r="AE36" s="204">
        <v>61.6875</v>
      </c>
      <c r="AF36" s="205">
        <v>145.4375</v>
      </c>
      <c r="AG36" s="200">
        <v>3063.6444773390222</v>
      </c>
      <c r="AH36" s="202" t="s">
        <v>29</v>
      </c>
    </row>
    <row r="37" spans="2:34" x14ac:dyDescent="0.35">
      <c r="B37" s="14">
        <v>28</v>
      </c>
      <c r="D37" s="131" t="s">
        <v>30</v>
      </c>
      <c r="E37" s="131"/>
      <c r="F37" s="138"/>
      <c r="G37" s="139">
        <v>8000</v>
      </c>
      <c r="H37" s="169"/>
      <c r="I37" s="159"/>
      <c r="J37" s="170"/>
      <c r="K37" s="143"/>
      <c r="L37" s="143">
        <v>0</v>
      </c>
      <c r="M37" s="171">
        <v>750</v>
      </c>
      <c r="N37" s="172">
        <v>4.6875E-2</v>
      </c>
      <c r="O37" s="146"/>
      <c r="P37" s="105">
        <v>0</v>
      </c>
      <c r="Q37" s="119"/>
      <c r="R37" s="120"/>
      <c r="S37" s="120"/>
      <c r="T37" s="120"/>
      <c r="U37" s="120"/>
      <c r="V37" s="120">
        <v>0</v>
      </c>
      <c r="W37" s="122">
        <v>0</v>
      </c>
      <c r="X37" s="122">
        <v>0</v>
      </c>
      <c r="Y37" s="122">
        <v>0</v>
      </c>
      <c r="Z37" s="122">
        <v>0</v>
      </c>
      <c r="AA37" s="122">
        <v>0</v>
      </c>
      <c r="AB37" s="135">
        <v>88.546875</v>
      </c>
      <c r="AC37" s="135">
        <v>111.84375</v>
      </c>
      <c r="AD37" s="135">
        <v>75.328125</v>
      </c>
      <c r="AE37" s="135">
        <v>92.53125</v>
      </c>
      <c r="AF37" s="135">
        <v>218.15625</v>
      </c>
      <c r="AG37" s="120">
        <v>0</v>
      </c>
      <c r="AH37" s="133" t="s">
        <v>30</v>
      </c>
    </row>
    <row r="38" spans="2:34" x14ac:dyDescent="0.35">
      <c r="B38" s="14">
        <v>29</v>
      </c>
      <c r="D38" s="131" t="s">
        <v>31</v>
      </c>
      <c r="E38" s="131"/>
      <c r="F38" s="35"/>
      <c r="G38" s="41">
        <v>13000</v>
      </c>
      <c r="H38" s="173"/>
      <c r="I38" s="160"/>
      <c r="J38" s="174"/>
      <c r="K38" s="38"/>
      <c r="L38" s="38">
        <v>0</v>
      </c>
      <c r="M38" s="136">
        <v>1250</v>
      </c>
      <c r="N38" s="137">
        <v>7.8125E-2</v>
      </c>
      <c r="O38" s="150"/>
      <c r="P38" s="106">
        <v>0</v>
      </c>
      <c r="Q38" s="119"/>
      <c r="R38" s="120"/>
      <c r="S38" s="120"/>
      <c r="T38" s="120"/>
      <c r="U38" s="120"/>
      <c r="V38" s="120"/>
      <c r="W38" s="122">
        <v>0</v>
      </c>
      <c r="X38" s="122">
        <v>0</v>
      </c>
      <c r="Y38" s="122">
        <v>0</v>
      </c>
      <c r="Z38" s="122">
        <v>0</v>
      </c>
      <c r="AA38" s="122">
        <v>0</v>
      </c>
      <c r="AB38" s="135">
        <v>147.578125</v>
      </c>
      <c r="AC38" s="135">
        <v>186.40625</v>
      </c>
      <c r="AD38" s="135">
        <v>125.546875</v>
      </c>
      <c r="AE38" s="135">
        <v>154.21875</v>
      </c>
      <c r="AF38" s="135">
        <v>363.59375</v>
      </c>
      <c r="AG38" s="120">
        <v>0</v>
      </c>
      <c r="AH38" s="133" t="s">
        <v>31</v>
      </c>
    </row>
    <row r="39" spans="2:34" x14ac:dyDescent="0.35">
      <c r="D39" s="131" t="s">
        <v>32</v>
      </c>
      <c r="E39" s="131"/>
      <c r="F39" s="35"/>
      <c r="G39" s="41">
        <v>14000</v>
      </c>
      <c r="H39" s="173"/>
      <c r="I39" s="160"/>
      <c r="J39" s="174"/>
      <c r="K39" s="38"/>
      <c r="L39" s="38">
        <v>0</v>
      </c>
      <c r="M39" s="136">
        <v>1250</v>
      </c>
      <c r="N39" s="137">
        <v>7.8125E-2</v>
      </c>
      <c r="O39" s="150"/>
      <c r="P39" s="106">
        <v>0</v>
      </c>
      <c r="Q39" s="119"/>
      <c r="R39" s="120"/>
      <c r="S39" s="120"/>
      <c r="T39" s="120"/>
      <c r="U39" s="120"/>
      <c r="V39" s="120"/>
      <c r="W39" s="122"/>
      <c r="X39" s="122"/>
      <c r="Y39" s="122"/>
      <c r="Z39" s="122"/>
      <c r="AA39" s="122"/>
      <c r="AB39" s="135">
        <v>147.578125</v>
      </c>
      <c r="AC39" s="135">
        <v>186.40625</v>
      </c>
      <c r="AD39" s="135">
        <v>125.546875</v>
      </c>
      <c r="AE39" s="135">
        <v>154.21875</v>
      </c>
      <c r="AF39" s="135">
        <v>363.59375</v>
      </c>
      <c r="AG39" s="120">
        <v>0</v>
      </c>
      <c r="AH39" s="133" t="s">
        <v>32</v>
      </c>
    </row>
    <row r="40" spans="2:34" ht="15" thickBot="1" x14ac:dyDescent="0.4">
      <c r="D40" s="131" t="s">
        <v>33</v>
      </c>
      <c r="E40" s="131"/>
      <c r="F40" s="42"/>
      <c r="G40" s="43">
        <v>5000</v>
      </c>
      <c r="H40" s="165"/>
      <c r="I40" s="161"/>
      <c r="J40" s="166"/>
      <c r="K40" s="154"/>
      <c r="L40" s="154">
        <v>0</v>
      </c>
      <c r="M40" s="175">
        <v>500</v>
      </c>
      <c r="N40" s="176">
        <v>3.125E-2</v>
      </c>
      <c r="O40" s="157"/>
      <c r="P40" s="158"/>
      <c r="Q40" s="119"/>
      <c r="R40" s="120"/>
      <c r="S40" s="120"/>
      <c r="T40" s="120"/>
      <c r="U40" s="120"/>
      <c r="V40" s="120"/>
      <c r="W40" s="122"/>
      <c r="X40" s="122"/>
      <c r="Y40" s="122"/>
      <c r="Z40" s="122"/>
      <c r="AA40" s="122"/>
      <c r="AB40" s="135">
        <v>59.03125</v>
      </c>
      <c r="AC40" s="135">
        <v>74.5625</v>
      </c>
      <c r="AD40" s="135">
        <v>50.21875</v>
      </c>
      <c r="AE40" s="135">
        <v>61.6875</v>
      </c>
      <c r="AF40" s="135">
        <v>145.4375</v>
      </c>
      <c r="AG40" s="120">
        <v>0</v>
      </c>
      <c r="AH40" s="133" t="s">
        <v>33</v>
      </c>
    </row>
    <row r="41" spans="2:34" ht="15" thickBot="1" x14ac:dyDescent="0.4">
      <c r="D41" s="132"/>
      <c r="E41" s="206"/>
      <c r="F41" s="112">
        <v>252659</v>
      </c>
      <c r="G41" s="43">
        <v>539000</v>
      </c>
      <c r="J41" s="167">
        <v>2647780.42</v>
      </c>
      <c r="K41" s="154">
        <v>0</v>
      </c>
      <c r="L41" s="154">
        <v>1</v>
      </c>
      <c r="M41" s="155">
        <v>16000</v>
      </c>
      <c r="N41" s="156">
        <v>1</v>
      </c>
      <c r="O41" s="168">
        <v>36</v>
      </c>
      <c r="P41" s="158">
        <v>1</v>
      </c>
      <c r="Q41" s="123">
        <v>7986.0000000000009</v>
      </c>
      <c r="R41" s="123">
        <v>1867</v>
      </c>
      <c r="S41" s="123">
        <v>3707.0000000000005</v>
      </c>
      <c r="T41" s="123">
        <v>726.99999999999977</v>
      </c>
      <c r="U41" s="123">
        <v>1850.9999999999998</v>
      </c>
      <c r="V41" s="124">
        <v>0</v>
      </c>
      <c r="W41" s="125">
        <v>3006</v>
      </c>
      <c r="X41" s="125">
        <v>4900.0000000000027</v>
      </c>
      <c r="Y41" s="125">
        <v>2475</v>
      </c>
      <c r="Z41" s="125">
        <v>1055</v>
      </c>
      <c r="AA41" s="125">
        <v>311.99999999999994</v>
      </c>
      <c r="AB41" s="125">
        <v>1889</v>
      </c>
      <c r="AC41" s="125">
        <v>2386</v>
      </c>
      <c r="AD41" s="125">
        <v>1607</v>
      </c>
      <c r="AE41" s="125">
        <v>1974</v>
      </c>
      <c r="AF41" s="125">
        <v>4654</v>
      </c>
      <c r="AG41" s="125">
        <v>6786.9999999999991</v>
      </c>
      <c r="AH41" s="134"/>
    </row>
    <row r="42" spans="2:34" x14ac:dyDescent="0.35">
      <c r="F42" s="91"/>
      <c r="J42" s="104">
        <v>1647780.42</v>
      </c>
      <c r="K42" s="45"/>
      <c r="L42" s="45"/>
      <c r="M42" s="44"/>
      <c r="N42" s="44"/>
      <c r="O42" s="45"/>
      <c r="P42" s="45"/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46">
        <v>0</v>
      </c>
    </row>
    <row r="43" spans="2:34" ht="15.5" x14ac:dyDescent="0.45">
      <c r="F43" s="91"/>
      <c r="Q43" s="94" t="s">
        <v>0</v>
      </c>
      <c r="R43" s="11" t="s">
        <v>1</v>
      </c>
      <c r="S43" s="11" t="s">
        <v>2</v>
      </c>
      <c r="T43" s="11" t="s">
        <v>3</v>
      </c>
      <c r="U43" s="11" t="s">
        <v>4</v>
      </c>
      <c r="V43" s="11" t="s">
        <v>5</v>
      </c>
      <c r="W43" s="12" t="s">
        <v>6</v>
      </c>
      <c r="X43" s="13" t="s">
        <v>7</v>
      </c>
      <c r="Y43" s="13" t="s">
        <v>8</v>
      </c>
      <c r="Z43" s="13" t="s">
        <v>9</v>
      </c>
      <c r="AA43" s="13" t="s">
        <v>10</v>
      </c>
      <c r="AB43" s="13" t="s">
        <v>11</v>
      </c>
      <c r="AC43" s="13" t="s">
        <v>12</v>
      </c>
      <c r="AD43" s="13" t="s">
        <v>13</v>
      </c>
      <c r="AE43" s="13" t="s">
        <v>14</v>
      </c>
      <c r="AF43" s="13" t="s">
        <v>15</v>
      </c>
      <c r="AG43" s="13" t="s">
        <v>87</v>
      </c>
    </row>
    <row r="44" spans="2:34" x14ac:dyDescent="0.35">
      <c r="B44" s="14">
        <v>26</v>
      </c>
      <c r="D44" s="131"/>
      <c r="E44" s="207"/>
      <c r="F44" s="162">
        <v>132455</v>
      </c>
      <c r="G44" s="163">
        <v>444000</v>
      </c>
      <c r="H44" s="163">
        <v>0</v>
      </c>
      <c r="I44" s="163"/>
      <c r="J44" s="163"/>
      <c r="K44" s="164">
        <v>0.99999999999999989</v>
      </c>
      <c r="L44" s="38"/>
      <c r="M44" s="39"/>
      <c r="N44" s="40"/>
      <c r="O44" s="23"/>
      <c r="P44" s="106">
        <v>0</v>
      </c>
      <c r="Q44" s="98" t="s">
        <v>18</v>
      </c>
      <c r="R44" s="25" t="s">
        <v>18</v>
      </c>
      <c r="S44" s="25" t="s">
        <v>18</v>
      </c>
      <c r="T44" s="25" t="s">
        <v>18</v>
      </c>
      <c r="U44" s="25" t="s">
        <v>18</v>
      </c>
      <c r="V44" s="26" t="s">
        <v>19</v>
      </c>
      <c r="W44" s="26" t="s">
        <v>19</v>
      </c>
      <c r="X44" s="26" t="s">
        <v>19</v>
      </c>
      <c r="Y44" s="26" t="s">
        <v>19</v>
      </c>
      <c r="Z44" s="26" t="s">
        <v>19</v>
      </c>
      <c r="AA44" s="26" t="s">
        <v>19</v>
      </c>
      <c r="AB44" s="27" t="s">
        <v>20</v>
      </c>
      <c r="AC44" s="27" t="s">
        <v>20</v>
      </c>
      <c r="AD44" s="27" t="s">
        <v>20</v>
      </c>
      <c r="AE44" s="27" t="s">
        <v>20</v>
      </c>
      <c r="AF44" s="27" t="s">
        <v>20</v>
      </c>
      <c r="AG44" s="100" t="s">
        <v>18</v>
      </c>
      <c r="AH44" s="133"/>
    </row>
    <row r="46" spans="2:34" x14ac:dyDescent="0.35">
      <c r="D46" s="36" t="s">
        <v>34</v>
      </c>
      <c r="E46" s="36"/>
      <c r="F46" s="36" t="s">
        <v>35</v>
      </c>
      <c r="G46" s="36"/>
      <c r="H46" s="47">
        <v>14</v>
      </c>
      <c r="I46" s="48">
        <v>5500</v>
      </c>
    </row>
    <row r="47" spans="2:34" ht="15" thickBot="1" x14ac:dyDescent="0.4">
      <c r="D47" s="36"/>
      <c r="E47" s="36"/>
      <c r="F47" s="36"/>
      <c r="G47" s="36"/>
      <c r="H47" s="47"/>
      <c r="I47" s="47"/>
    </row>
    <row r="48" spans="2:34" x14ac:dyDescent="0.35">
      <c r="D48" s="50" t="s">
        <v>36</v>
      </c>
      <c r="E48" s="51"/>
      <c r="F48" s="51" t="s">
        <v>37</v>
      </c>
      <c r="G48" s="52" t="s">
        <v>38</v>
      </c>
      <c r="H48" s="47"/>
      <c r="I48" s="47">
        <v>0</v>
      </c>
    </row>
    <row r="49" spans="4:9" x14ac:dyDescent="0.35">
      <c r="D49" s="53" t="s">
        <v>39</v>
      </c>
      <c r="E49" s="208"/>
      <c r="F49" s="54" t="s">
        <v>37</v>
      </c>
      <c r="G49" s="55" t="s">
        <v>38</v>
      </c>
      <c r="H49" s="56">
        <v>2</v>
      </c>
      <c r="I49" s="56">
        <v>250</v>
      </c>
    </row>
    <row r="50" spans="4:9" x14ac:dyDescent="0.35">
      <c r="D50" s="53" t="s">
        <v>26</v>
      </c>
      <c r="E50" s="208"/>
      <c r="F50" s="54" t="s">
        <v>40</v>
      </c>
      <c r="G50" s="55" t="s">
        <v>38</v>
      </c>
      <c r="H50" s="56">
        <v>4</v>
      </c>
      <c r="I50" s="56">
        <v>1500</v>
      </c>
    </row>
    <row r="51" spans="4:9" x14ac:dyDescent="0.35">
      <c r="D51" s="57" t="s">
        <v>32</v>
      </c>
      <c r="E51" s="209"/>
      <c r="F51" s="58" t="s">
        <v>41</v>
      </c>
      <c r="G51" s="59" t="s">
        <v>38</v>
      </c>
      <c r="H51" s="47"/>
      <c r="I51" s="47">
        <v>250</v>
      </c>
    </row>
    <row r="52" spans="4:9" x14ac:dyDescent="0.35">
      <c r="D52" s="57"/>
      <c r="E52" s="209"/>
      <c r="F52" s="58"/>
      <c r="G52" s="59"/>
      <c r="H52" s="47"/>
      <c r="I52" s="47"/>
    </row>
    <row r="53" spans="4:9" x14ac:dyDescent="0.35">
      <c r="D53" s="57" t="s">
        <v>42</v>
      </c>
      <c r="E53" s="209"/>
      <c r="F53" s="58" t="s">
        <v>43</v>
      </c>
      <c r="G53" s="59" t="s">
        <v>44</v>
      </c>
      <c r="H53" s="47"/>
      <c r="I53" s="47">
        <v>750</v>
      </c>
    </row>
    <row r="54" spans="4:9" x14ac:dyDescent="0.35">
      <c r="D54" s="57" t="s">
        <v>45</v>
      </c>
      <c r="E54" s="209"/>
      <c r="F54" s="58" t="s">
        <v>43</v>
      </c>
      <c r="G54" s="59" t="s">
        <v>44</v>
      </c>
      <c r="H54" s="47"/>
      <c r="I54" s="47">
        <v>1250</v>
      </c>
    </row>
    <row r="55" spans="4:9" x14ac:dyDescent="0.35">
      <c r="D55" s="57"/>
      <c r="E55" s="209"/>
      <c r="F55" s="58"/>
      <c r="G55" s="59"/>
      <c r="H55" s="47"/>
      <c r="I55" s="47"/>
    </row>
    <row r="56" spans="4:9" x14ac:dyDescent="0.35">
      <c r="D56" s="57" t="s">
        <v>46</v>
      </c>
      <c r="E56" s="209"/>
      <c r="F56" s="58" t="s">
        <v>47</v>
      </c>
      <c r="G56" s="59" t="s">
        <v>48</v>
      </c>
      <c r="H56" s="47"/>
      <c r="I56" s="47">
        <v>0</v>
      </c>
    </row>
    <row r="57" spans="4:9" x14ac:dyDescent="0.35">
      <c r="D57" s="53" t="s">
        <v>49</v>
      </c>
      <c r="E57" s="208"/>
      <c r="F57" s="54" t="s">
        <v>47</v>
      </c>
      <c r="G57" s="55" t="s">
        <v>48</v>
      </c>
      <c r="H57" s="56">
        <v>1.5</v>
      </c>
      <c r="I57" s="56">
        <v>500</v>
      </c>
    </row>
    <row r="58" spans="4:9" x14ac:dyDescent="0.35">
      <c r="D58" s="60" t="s">
        <v>50</v>
      </c>
      <c r="E58" s="210"/>
      <c r="F58" s="61" t="s">
        <v>47</v>
      </c>
      <c r="G58" s="62" t="s">
        <v>48</v>
      </c>
      <c r="H58" s="63">
        <v>0.5</v>
      </c>
      <c r="I58" s="63">
        <v>250</v>
      </c>
    </row>
    <row r="59" spans="4:9" x14ac:dyDescent="0.35">
      <c r="D59" s="57" t="s">
        <v>51</v>
      </c>
      <c r="E59" s="209"/>
      <c r="F59" s="58" t="s">
        <v>47</v>
      </c>
      <c r="G59" s="59" t="s">
        <v>48</v>
      </c>
      <c r="H59" s="47">
        <v>1</v>
      </c>
      <c r="I59" s="47">
        <v>250</v>
      </c>
    </row>
    <row r="60" spans="4:9" x14ac:dyDescent="0.35">
      <c r="D60" s="57" t="s">
        <v>33</v>
      </c>
      <c r="E60" s="209"/>
      <c r="F60" s="58" t="s">
        <v>47</v>
      </c>
      <c r="G60" s="59" t="s">
        <v>48</v>
      </c>
      <c r="H60" s="47"/>
      <c r="I60" s="47">
        <v>500</v>
      </c>
    </row>
    <row r="61" spans="4:9" x14ac:dyDescent="0.35">
      <c r="D61" s="64" t="s">
        <v>52</v>
      </c>
      <c r="E61" s="211"/>
      <c r="F61" s="65" t="s">
        <v>47</v>
      </c>
      <c r="G61" s="66" t="s">
        <v>48</v>
      </c>
      <c r="H61" s="67">
        <v>1</v>
      </c>
      <c r="I61" s="67">
        <v>500</v>
      </c>
    </row>
    <row r="62" spans="4:9" x14ac:dyDescent="0.35">
      <c r="D62" s="57"/>
      <c r="E62" s="209"/>
      <c r="F62" s="58"/>
      <c r="G62" s="59"/>
      <c r="H62" s="47"/>
      <c r="I62" s="47">
        <v>0</v>
      </c>
    </row>
    <row r="63" spans="4:9" ht="15" thickBot="1" x14ac:dyDescent="0.4">
      <c r="D63" s="68"/>
      <c r="E63" s="69"/>
      <c r="F63" s="69"/>
      <c r="G63" s="70"/>
      <c r="H63" s="47"/>
      <c r="I63" s="47">
        <v>0</v>
      </c>
    </row>
    <row r="64" spans="4:9" ht="15" thickBot="1" x14ac:dyDescent="0.4">
      <c r="D64" s="36"/>
      <c r="E64" s="36"/>
      <c r="F64" s="36"/>
      <c r="G64" s="36"/>
      <c r="H64" s="47"/>
      <c r="I64" s="47"/>
    </row>
    <row r="65" spans="4:9" x14ac:dyDescent="0.35">
      <c r="D65" s="71" t="s">
        <v>53</v>
      </c>
      <c r="E65" s="72"/>
      <c r="F65" s="72" t="s">
        <v>41</v>
      </c>
      <c r="G65" s="73" t="s">
        <v>38</v>
      </c>
      <c r="H65" s="74">
        <v>5</v>
      </c>
      <c r="I65" s="74">
        <v>1000</v>
      </c>
    </row>
    <row r="66" spans="4:9" x14ac:dyDescent="0.35">
      <c r="D66" s="75" t="s">
        <v>32</v>
      </c>
      <c r="E66" s="212"/>
      <c r="F66" s="76" t="s">
        <v>54</v>
      </c>
      <c r="G66" s="77" t="s">
        <v>44</v>
      </c>
      <c r="H66" s="47"/>
      <c r="I66" s="47">
        <v>500</v>
      </c>
    </row>
    <row r="67" spans="4:9" x14ac:dyDescent="0.35">
      <c r="D67" s="78" t="s">
        <v>55</v>
      </c>
      <c r="E67" s="213"/>
      <c r="F67" s="79" t="s">
        <v>56</v>
      </c>
      <c r="G67" s="80" t="s">
        <v>38</v>
      </c>
      <c r="H67" s="81">
        <v>2</v>
      </c>
      <c r="I67" s="81">
        <v>750</v>
      </c>
    </row>
    <row r="68" spans="4:9" x14ac:dyDescent="0.35">
      <c r="D68" s="75"/>
      <c r="E68" s="212"/>
      <c r="F68" s="76"/>
      <c r="G68" s="77"/>
      <c r="H68" s="47"/>
      <c r="I68" s="47"/>
    </row>
    <row r="69" spans="4:9" x14ac:dyDescent="0.35">
      <c r="D69" s="82" t="s">
        <v>57</v>
      </c>
      <c r="E69" s="214"/>
      <c r="F69" s="83" t="s">
        <v>54</v>
      </c>
      <c r="G69" s="84" t="s">
        <v>44</v>
      </c>
      <c r="H69" s="85">
        <v>1</v>
      </c>
      <c r="I69" s="85">
        <v>250</v>
      </c>
    </row>
    <row r="70" spans="4:9" x14ac:dyDescent="0.35">
      <c r="D70" s="75" t="s">
        <v>58</v>
      </c>
      <c r="E70" s="212"/>
      <c r="F70" s="76" t="s">
        <v>54</v>
      </c>
      <c r="G70" s="77" t="s">
        <v>44</v>
      </c>
      <c r="H70" s="47"/>
      <c r="I70" s="47">
        <v>0</v>
      </c>
    </row>
    <row r="71" spans="4:9" x14ac:dyDescent="0.35">
      <c r="D71" s="75" t="s">
        <v>59</v>
      </c>
      <c r="E71" s="212"/>
      <c r="F71" s="76" t="s">
        <v>54</v>
      </c>
      <c r="G71" s="77" t="s">
        <v>44</v>
      </c>
      <c r="H71" s="47">
        <v>1</v>
      </c>
      <c r="I71" s="47">
        <v>1000</v>
      </c>
    </row>
    <row r="72" spans="4:9" x14ac:dyDescent="0.35">
      <c r="D72" s="75" t="s">
        <v>60</v>
      </c>
      <c r="E72" s="212"/>
      <c r="F72" s="76" t="s">
        <v>54</v>
      </c>
      <c r="G72" s="77" t="s">
        <v>44</v>
      </c>
      <c r="H72" s="47">
        <v>1</v>
      </c>
      <c r="I72" s="47">
        <v>500</v>
      </c>
    </row>
    <row r="73" spans="4:9" x14ac:dyDescent="0.35">
      <c r="D73" s="75" t="s">
        <v>32</v>
      </c>
      <c r="E73" s="212"/>
      <c r="F73" s="76" t="s">
        <v>54</v>
      </c>
      <c r="G73" s="77" t="s">
        <v>44</v>
      </c>
      <c r="H73" s="47"/>
      <c r="I73" s="47">
        <v>500</v>
      </c>
    </row>
    <row r="74" spans="4:9" x14ac:dyDescent="0.35">
      <c r="D74" s="75" t="s">
        <v>61</v>
      </c>
      <c r="E74" s="212"/>
      <c r="F74" s="76" t="s">
        <v>54</v>
      </c>
      <c r="G74" s="77" t="s">
        <v>44</v>
      </c>
      <c r="H74" s="47"/>
      <c r="I74" s="47">
        <v>0</v>
      </c>
    </row>
    <row r="75" spans="4:9" ht="15" thickBot="1" x14ac:dyDescent="0.4">
      <c r="D75" s="86" t="s">
        <v>62</v>
      </c>
      <c r="E75" s="87"/>
      <c r="F75" s="87" t="s">
        <v>54</v>
      </c>
      <c r="G75" s="88" t="s">
        <v>44</v>
      </c>
      <c r="H75" s="47"/>
      <c r="I75" s="47">
        <v>0</v>
      </c>
    </row>
    <row r="76" spans="4:9" x14ac:dyDescent="0.35">
      <c r="D76" s="36"/>
      <c r="E76" s="36"/>
      <c r="F76" s="36"/>
      <c r="G76" s="36"/>
      <c r="H76" s="47"/>
      <c r="I76" s="47"/>
    </row>
    <row r="77" spans="4:9" x14ac:dyDescent="0.35">
      <c r="D77" s="36" t="s">
        <v>63</v>
      </c>
      <c r="E77" s="36"/>
      <c r="F77" s="36" t="s">
        <v>64</v>
      </c>
      <c r="G77" s="36" t="s">
        <v>65</v>
      </c>
      <c r="H77" s="47"/>
      <c r="I77" s="47"/>
    </row>
    <row r="78" spans="4:9" x14ac:dyDescent="0.35">
      <c r="D78" s="36" t="s">
        <v>24</v>
      </c>
      <c r="E78" s="36"/>
      <c r="F78" s="36" t="s">
        <v>66</v>
      </c>
      <c r="G78" s="36"/>
      <c r="H78" s="47"/>
      <c r="I78" s="48"/>
    </row>
    <row r="79" spans="4:9" x14ac:dyDescent="0.35">
      <c r="H79" s="1"/>
      <c r="I79" s="89"/>
    </row>
    <row r="80" spans="4:9" x14ac:dyDescent="0.35">
      <c r="D80" t="s">
        <v>67</v>
      </c>
      <c r="H80" s="90">
        <v>34</v>
      </c>
      <c r="I80" s="90">
        <v>16000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AN83"/>
  <sheetViews>
    <sheetView tabSelected="1" workbookViewId="0">
      <selection activeCell="D7" sqref="D7"/>
    </sheetView>
  </sheetViews>
  <sheetFormatPr defaultRowHeight="14.5" x14ac:dyDescent="0.35"/>
  <cols>
    <col min="1" max="1" width="8.7265625" style="236" customWidth="1"/>
    <col min="2" max="2" width="4.54296875" style="14" customWidth="1"/>
    <col min="3" max="4" width="23" style="236" customWidth="1"/>
    <col min="5" max="5" width="10.453125" style="236" customWidth="1"/>
    <col min="6" max="6" width="11.54296875" style="236" customWidth="1"/>
    <col min="7" max="7" width="7.1796875" style="236" customWidth="1"/>
    <col min="8" max="8" width="12" style="2" customWidth="1"/>
    <col min="9" max="9" width="10.81640625" style="92" customWidth="1"/>
    <col min="10" max="10" width="7.81640625" style="3" customWidth="1"/>
    <col min="11" max="11" width="8.26953125" style="3" customWidth="1"/>
    <col min="12" max="12" width="10.81640625" style="1" customWidth="1"/>
    <col min="13" max="13" width="8.81640625" style="1" customWidth="1"/>
    <col min="14" max="14" width="11.26953125" style="3" customWidth="1"/>
    <col min="15" max="15" width="12.1796875" style="3" customWidth="1"/>
    <col min="16" max="16" width="5.81640625" style="93" bestFit="1" customWidth="1"/>
    <col min="17" max="17" width="5.81640625" style="4" bestFit="1" customWidth="1"/>
    <col min="18" max="18" width="5.81640625" style="49" bestFit="1" customWidth="1"/>
    <col min="19" max="19" width="7" style="49" bestFit="1" customWidth="1"/>
    <col min="20" max="20" width="8.90625" style="4" bestFit="1" customWidth="1"/>
    <col min="21" max="21" width="9.90625" style="236" bestFit="1" customWidth="1"/>
    <col min="22" max="22" width="12.90625" style="5" bestFit="1" customWidth="1"/>
    <col min="23" max="23" width="9.90625" style="236" bestFit="1" customWidth="1"/>
    <col min="24" max="25" width="9.90625" style="5" bestFit="1" customWidth="1"/>
    <col min="26" max="26" width="9.81640625" style="5" customWidth="1"/>
    <col min="27" max="27" width="12.453125" style="5" customWidth="1"/>
    <col min="28" max="28" width="12.7265625" style="236" customWidth="1"/>
    <col min="29" max="30" width="12" style="5" customWidth="1"/>
    <col min="31" max="32" width="12.1796875" style="5" customWidth="1"/>
    <col min="33" max="38" width="15.1796875" style="236" customWidth="1"/>
    <col min="39" max="39" width="14" style="236" customWidth="1"/>
    <col min="40" max="40" width="27" style="107" customWidth="1"/>
    <col min="41" max="16384" width="8.7265625" style="236"/>
  </cols>
  <sheetData>
    <row r="1" spans="2:40" ht="15" thickBot="1" x14ac:dyDescent="0.4">
      <c r="B1" s="1" t="s">
        <v>68</v>
      </c>
      <c r="O1" s="238" t="s">
        <v>716</v>
      </c>
      <c r="P1" s="245">
        <v>7251</v>
      </c>
      <c r="Q1" s="246">
        <v>7252</v>
      </c>
      <c r="R1" s="246">
        <v>7253</v>
      </c>
      <c r="S1" s="246">
        <v>7254</v>
      </c>
      <c r="T1" s="246">
        <v>7260</v>
      </c>
      <c r="U1" s="246">
        <v>7515</v>
      </c>
      <c r="V1" s="246">
        <v>7520</v>
      </c>
      <c r="W1" s="246">
        <v>8110</v>
      </c>
      <c r="X1" s="246">
        <v>8131</v>
      </c>
      <c r="Y1" s="240">
        <v>8133</v>
      </c>
      <c r="Z1" s="240">
        <v>8134</v>
      </c>
      <c r="AA1" s="246">
        <v>8140</v>
      </c>
      <c r="AB1" s="246">
        <v>8190</v>
      </c>
      <c r="AC1" s="246">
        <v>8210.2000000000007</v>
      </c>
      <c r="AD1" s="240">
        <v>8210.2999999999993</v>
      </c>
      <c r="AE1" s="246">
        <v>8221</v>
      </c>
      <c r="AF1" s="240">
        <v>8227</v>
      </c>
      <c r="AG1" s="246">
        <v>8230</v>
      </c>
      <c r="AH1" s="240">
        <v>8231</v>
      </c>
      <c r="AI1" s="240">
        <v>8233</v>
      </c>
      <c r="AJ1" s="240">
        <v>8239</v>
      </c>
      <c r="AK1" s="246">
        <v>8250</v>
      </c>
      <c r="AL1" s="246">
        <v>8260</v>
      </c>
      <c r="AM1" s="247">
        <v>7245</v>
      </c>
    </row>
    <row r="2" spans="2:40" hidden="1" x14ac:dyDescent="0.35">
      <c r="B2" s="1"/>
      <c r="O2" s="238"/>
      <c r="P2" s="239" t="s">
        <v>1155</v>
      </c>
      <c r="Q2" s="239" t="s">
        <v>1156</v>
      </c>
      <c r="R2" s="239" t="s">
        <v>1157</v>
      </c>
      <c r="S2" s="239" t="s">
        <v>3</v>
      </c>
      <c r="T2" s="239" t="s">
        <v>1158</v>
      </c>
      <c r="U2" s="239" t="s">
        <v>62</v>
      </c>
      <c r="V2" s="239" t="s">
        <v>1163</v>
      </c>
      <c r="W2" s="239" t="s">
        <v>8</v>
      </c>
      <c r="X2" s="239" t="s">
        <v>828</v>
      </c>
      <c r="Y2" s="239" t="s">
        <v>533</v>
      </c>
      <c r="Z2" s="239" t="s">
        <v>1175</v>
      </c>
      <c r="AA2" s="239" t="s">
        <v>1177</v>
      </c>
      <c r="AB2" s="239" t="s">
        <v>1181</v>
      </c>
      <c r="AC2" s="239" t="s">
        <v>1186</v>
      </c>
      <c r="AD2" s="239" t="s">
        <v>1187</v>
      </c>
      <c r="AE2" s="239" t="s">
        <v>838</v>
      </c>
      <c r="AF2" s="239" t="s">
        <v>837</v>
      </c>
      <c r="AG2" s="239" t="s">
        <v>1190</v>
      </c>
      <c r="AH2" s="239" t="s">
        <v>842</v>
      </c>
      <c r="AI2" s="239" t="s">
        <v>843</v>
      </c>
      <c r="AJ2" s="239" t="s">
        <v>845</v>
      </c>
      <c r="AK2" s="239" t="s">
        <v>1193</v>
      </c>
      <c r="AL2" s="239" t="s">
        <v>1194</v>
      </c>
      <c r="AM2" s="239" t="s">
        <v>822</v>
      </c>
    </row>
    <row r="3" spans="2:40" hidden="1" x14ac:dyDescent="0.35">
      <c r="B3" s="1"/>
      <c r="O3" s="238"/>
      <c r="P3" s="239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1"/>
    </row>
    <row r="4" spans="2:40" ht="15" hidden="1" thickBot="1" x14ac:dyDescent="0.4">
      <c r="B4" s="1"/>
      <c r="O4" s="238"/>
      <c r="P4" s="239" t="s">
        <v>1155</v>
      </c>
      <c r="Q4" s="239" t="s">
        <v>1156</v>
      </c>
      <c r="R4" s="239" t="s">
        <v>1157</v>
      </c>
      <c r="S4" s="239" t="s">
        <v>3</v>
      </c>
      <c r="T4" s="239" t="s">
        <v>1158</v>
      </c>
      <c r="U4" s="239" t="s">
        <v>1162</v>
      </c>
      <c r="V4" s="239" t="s">
        <v>826</v>
      </c>
      <c r="W4" s="239" t="s">
        <v>1170</v>
      </c>
      <c r="X4" s="239" t="s">
        <v>1176</v>
      </c>
      <c r="Y4" s="239" t="s">
        <v>1176</v>
      </c>
      <c r="Z4" s="239" t="s">
        <v>1176</v>
      </c>
      <c r="AA4" s="239" t="s">
        <v>907</v>
      </c>
      <c r="AB4" s="239" t="s">
        <v>1182</v>
      </c>
      <c r="AC4" s="239" t="s">
        <v>832</v>
      </c>
      <c r="AD4" s="239" t="s">
        <v>832</v>
      </c>
      <c r="AE4" s="239" t="s">
        <v>910</v>
      </c>
      <c r="AF4" s="239" t="s">
        <v>910</v>
      </c>
      <c r="AG4" s="239" t="s">
        <v>845</v>
      </c>
      <c r="AH4" s="239" t="s">
        <v>845</v>
      </c>
      <c r="AI4" s="239" t="s">
        <v>845</v>
      </c>
      <c r="AJ4" s="239" t="s">
        <v>845</v>
      </c>
      <c r="AK4" s="239" t="s">
        <v>846</v>
      </c>
      <c r="AL4" s="239" t="s">
        <v>1198</v>
      </c>
      <c r="AM4" s="239" t="s">
        <v>1153</v>
      </c>
    </row>
    <row r="5" spans="2:40" ht="15" thickBot="1" x14ac:dyDescent="0.4">
      <c r="B5" s="1"/>
      <c r="O5" s="242" t="s">
        <v>715</v>
      </c>
      <c r="P5" s="243">
        <v>7251</v>
      </c>
      <c r="Q5" s="243">
        <v>7252</v>
      </c>
      <c r="R5" s="243">
        <v>7253</v>
      </c>
      <c r="S5" s="243">
        <v>7254</v>
      </c>
      <c r="T5" s="243">
        <v>7260</v>
      </c>
      <c r="U5" s="243">
        <v>7515.5</v>
      </c>
      <c r="V5" s="243">
        <v>7521</v>
      </c>
      <c r="W5" s="243">
        <v>8112</v>
      </c>
      <c r="X5" s="243">
        <v>8135.5</v>
      </c>
      <c r="Y5" s="243">
        <v>8135.5</v>
      </c>
      <c r="Z5" s="243">
        <v>8135.5</v>
      </c>
      <c r="AA5" s="243">
        <v>8141</v>
      </c>
      <c r="AB5" s="243">
        <v>8191</v>
      </c>
      <c r="AC5" s="243">
        <v>8210.5</v>
      </c>
      <c r="AD5" s="243">
        <v>8210.5</v>
      </c>
      <c r="AE5" s="243">
        <v>8229.1</v>
      </c>
      <c r="AF5" s="243">
        <v>8229.1</v>
      </c>
      <c r="AG5" s="243">
        <v>8239</v>
      </c>
      <c r="AH5" s="243">
        <v>8239</v>
      </c>
      <c r="AI5" s="243">
        <v>8239</v>
      </c>
      <c r="AJ5" s="243">
        <v>8239</v>
      </c>
      <c r="AK5" s="243">
        <v>8250.1</v>
      </c>
      <c r="AL5" s="243">
        <v>8266</v>
      </c>
      <c r="AM5" s="244">
        <v>7248</v>
      </c>
    </row>
    <row r="6" spans="2:40" s="7" customFormat="1" ht="25.5" customHeight="1" thickBot="1" x14ac:dyDescent="0.5">
      <c r="B6" s="6"/>
      <c r="H6" s="8"/>
      <c r="I6" s="101"/>
      <c r="J6" s="10"/>
      <c r="K6" s="10"/>
      <c r="L6" s="9"/>
      <c r="M6" s="9"/>
      <c r="N6" s="10"/>
      <c r="O6" s="10"/>
      <c r="P6" s="94" t="s">
        <v>0</v>
      </c>
      <c r="Q6" s="11" t="s">
        <v>1</v>
      </c>
      <c r="R6" s="11" t="s">
        <v>2</v>
      </c>
      <c r="S6" s="11" t="s">
        <v>3</v>
      </c>
      <c r="T6" s="11" t="s">
        <v>4</v>
      </c>
      <c r="U6" s="11" t="s">
        <v>5</v>
      </c>
      <c r="V6" s="12" t="s">
        <v>6</v>
      </c>
      <c r="W6" s="13" t="s">
        <v>7</v>
      </c>
      <c r="X6" s="13" t="s">
        <v>8</v>
      </c>
      <c r="Y6" s="13" t="s">
        <v>8</v>
      </c>
      <c r="Z6" s="13" t="s">
        <v>8</v>
      </c>
      <c r="AA6" s="13" t="s">
        <v>9</v>
      </c>
      <c r="AB6" s="13" t="s">
        <v>10</v>
      </c>
      <c r="AC6" s="13" t="s">
        <v>11</v>
      </c>
      <c r="AD6" s="13" t="s">
        <v>11</v>
      </c>
      <c r="AE6" s="13" t="s">
        <v>12</v>
      </c>
      <c r="AF6" s="13" t="s">
        <v>12</v>
      </c>
      <c r="AG6" s="13" t="s">
        <v>13</v>
      </c>
      <c r="AH6" s="13" t="s">
        <v>13</v>
      </c>
      <c r="AI6" s="13" t="s">
        <v>13</v>
      </c>
      <c r="AJ6" s="13" t="s">
        <v>13</v>
      </c>
      <c r="AK6" s="13" t="s">
        <v>14</v>
      </c>
      <c r="AL6" s="13" t="s">
        <v>15</v>
      </c>
      <c r="AM6" s="13" t="s">
        <v>87</v>
      </c>
      <c r="AN6" s="108"/>
    </row>
    <row r="7" spans="2:40" ht="15" thickBot="1" x14ac:dyDescent="0.4">
      <c r="N7" s="3" t="s">
        <v>140</v>
      </c>
      <c r="P7" s="95">
        <v>0</v>
      </c>
      <c r="Q7" s="95">
        <v>0</v>
      </c>
      <c r="R7" s="95">
        <v>0</v>
      </c>
      <c r="S7" s="95">
        <v>0</v>
      </c>
      <c r="T7" s="95">
        <v>0</v>
      </c>
      <c r="U7" s="95">
        <v>3006</v>
      </c>
      <c r="V7" s="234">
        <v>4900</v>
      </c>
      <c r="W7" s="235">
        <v>1321.25</v>
      </c>
      <c r="X7" s="235">
        <v>0</v>
      </c>
      <c r="Y7" s="235">
        <v>724.55</v>
      </c>
      <c r="Z7" s="235">
        <v>0</v>
      </c>
      <c r="AA7" s="95">
        <v>0</v>
      </c>
      <c r="AB7" s="234">
        <v>0</v>
      </c>
      <c r="AC7" s="235">
        <v>0</v>
      </c>
      <c r="AD7" s="235">
        <v>0</v>
      </c>
      <c r="AE7" s="235">
        <v>1580.66</v>
      </c>
      <c r="AF7" s="235">
        <v>196.17</v>
      </c>
      <c r="AG7" s="95">
        <v>0</v>
      </c>
      <c r="AH7" s="95">
        <v>405</v>
      </c>
      <c r="AI7" s="95">
        <v>422</v>
      </c>
      <c r="AJ7" s="95">
        <v>0</v>
      </c>
      <c r="AK7" s="234">
        <v>1835.16</v>
      </c>
      <c r="AL7" s="234">
        <v>4654</v>
      </c>
      <c r="AM7" s="234">
        <v>0</v>
      </c>
      <c r="AN7" s="44"/>
    </row>
    <row r="8" spans="2:40" ht="15" thickBot="1" x14ac:dyDescent="0.4">
      <c r="P8" s="96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44"/>
    </row>
    <row r="9" spans="2:40" x14ac:dyDescent="0.35">
      <c r="P9" s="97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20"/>
      <c r="AN9" s="44">
        <f>SUM(P9:AM9)</f>
        <v>0</v>
      </c>
    </row>
    <row r="10" spans="2:40" ht="24.75" customHeight="1" x14ac:dyDescent="0.35">
      <c r="E10" s="222"/>
      <c r="H10" s="22"/>
      <c r="I10" s="102"/>
      <c r="J10" s="24"/>
      <c r="K10" s="24"/>
      <c r="L10" s="23"/>
      <c r="M10" s="23"/>
      <c r="N10" s="24"/>
      <c r="O10" s="24"/>
      <c r="P10" s="98" t="s">
        <v>18</v>
      </c>
      <c r="Q10" s="25" t="s">
        <v>18</v>
      </c>
      <c r="R10" s="25" t="s">
        <v>18</v>
      </c>
      <c r="S10" s="25" t="s">
        <v>18</v>
      </c>
      <c r="T10" s="25" t="s">
        <v>18</v>
      </c>
      <c r="U10" s="26" t="s">
        <v>19</v>
      </c>
      <c r="V10" s="26" t="s">
        <v>19</v>
      </c>
      <c r="W10" s="26" t="s">
        <v>19</v>
      </c>
      <c r="X10" s="26" t="s">
        <v>19</v>
      </c>
      <c r="Y10" s="26" t="s">
        <v>19</v>
      </c>
      <c r="Z10" s="26" t="s">
        <v>19</v>
      </c>
      <c r="AA10" s="26" t="s">
        <v>19</v>
      </c>
      <c r="AB10" s="26" t="s">
        <v>19</v>
      </c>
      <c r="AC10" s="27" t="s">
        <v>20</v>
      </c>
      <c r="AD10" s="27" t="s">
        <v>20</v>
      </c>
      <c r="AE10" s="27" t="s">
        <v>20</v>
      </c>
      <c r="AF10" s="27" t="s">
        <v>20</v>
      </c>
      <c r="AG10" s="27" t="s">
        <v>20</v>
      </c>
      <c r="AH10" s="27" t="s">
        <v>20</v>
      </c>
      <c r="AI10" s="27" t="s">
        <v>20</v>
      </c>
      <c r="AJ10" s="27" t="s">
        <v>20</v>
      </c>
      <c r="AK10" s="27" t="s">
        <v>20</v>
      </c>
      <c r="AL10" s="27" t="s">
        <v>20</v>
      </c>
      <c r="AM10" s="100" t="s">
        <v>18</v>
      </c>
      <c r="AN10" s="109"/>
    </row>
    <row r="11" spans="2:40" ht="15" thickBot="1" x14ac:dyDescent="0.4">
      <c r="E11" s="21" t="s">
        <v>139</v>
      </c>
      <c r="I11" s="92" t="s">
        <v>21</v>
      </c>
      <c r="P11" s="28">
        <v>1</v>
      </c>
      <c r="Q11" s="28">
        <v>2</v>
      </c>
      <c r="R11" s="28">
        <v>3</v>
      </c>
      <c r="S11" s="28">
        <v>4</v>
      </c>
      <c r="T11" s="28">
        <v>5</v>
      </c>
      <c r="U11" s="28">
        <v>6</v>
      </c>
      <c r="V11" s="28">
        <v>7</v>
      </c>
      <c r="W11" s="28">
        <v>8</v>
      </c>
      <c r="X11" s="28">
        <v>9</v>
      </c>
      <c r="Y11" s="28">
        <v>9</v>
      </c>
      <c r="Z11" s="28">
        <v>9</v>
      </c>
      <c r="AA11" s="28">
        <v>10</v>
      </c>
      <c r="AB11" s="28">
        <v>11</v>
      </c>
      <c r="AC11" s="28">
        <v>12</v>
      </c>
      <c r="AD11" s="28">
        <v>12</v>
      </c>
      <c r="AE11" s="28">
        <v>13</v>
      </c>
      <c r="AF11" s="28">
        <v>13</v>
      </c>
      <c r="AG11" s="28">
        <v>14</v>
      </c>
      <c r="AH11" s="28">
        <v>14</v>
      </c>
      <c r="AI11" s="28">
        <v>14</v>
      </c>
      <c r="AJ11" s="28">
        <v>14</v>
      </c>
      <c r="AK11" s="28">
        <v>15</v>
      </c>
      <c r="AL11" s="28">
        <v>16</v>
      </c>
      <c r="AM11" s="28">
        <v>17</v>
      </c>
    </row>
    <row r="12" spans="2:40" ht="15" thickBot="1" x14ac:dyDescent="0.4">
      <c r="C12" s="113" t="s">
        <v>123</v>
      </c>
      <c r="D12" s="113" t="s">
        <v>95</v>
      </c>
      <c r="E12" s="117"/>
      <c r="F12" s="113"/>
      <c r="J12" s="30" t="s">
        <v>18</v>
      </c>
      <c r="K12" s="30" t="s">
        <v>18</v>
      </c>
      <c r="L12" s="31" t="s">
        <v>22</v>
      </c>
      <c r="M12" s="32" t="s">
        <v>22</v>
      </c>
      <c r="N12" s="33" t="s">
        <v>19</v>
      </c>
      <c r="O12" s="34" t="s">
        <v>19</v>
      </c>
      <c r="P12" s="99"/>
      <c r="Q12" s="28"/>
      <c r="R12" s="28"/>
      <c r="S12" s="28"/>
      <c r="T12" s="28"/>
      <c r="U12" s="28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110"/>
      <c r="AN12" s="111"/>
    </row>
    <row r="13" spans="2:40" ht="15" thickBot="1" x14ac:dyDescent="0.4">
      <c r="B13" s="14">
        <v>1</v>
      </c>
      <c r="C13" s="215" t="s">
        <v>97</v>
      </c>
      <c r="D13" s="215" t="s">
        <v>124</v>
      </c>
      <c r="E13" s="229">
        <v>0</v>
      </c>
      <c r="F13" s="114"/>
      <c r="J13" s="38">
        <f t="shared" ref="J13:J37" si="0">E13/$E$47</f>
        <v>0</v>
      </c>
      <c r="K13" s="38">
        <f t="shared" ref="K13:K41" si="1">E13/$E$44</f>
        <v>0</v>
      </c>
      <c r="L13" s="39">
        <v>0</v>
      </c>
      <c r="M13" s="40">
        <f>L13/$L$44</f>
        <v>0</v>
      </c>
      <c r="N13" s="23">
        <v>0</v>
      </c>
      <c r="O13" s="115">
        <f>N13/N44</f>
        <v>0</v>
      </c>
      <c r="P13" s="178">
        <v>0</v>
      </c>
      <c r="Q13" s="178">
        <v>0</v>
      </c>
      <c r="R13" s="178">
        <v>0</v>
      </c>
      <c r="S13" s="178">
        <v>0</v>
      </c>
      <c r="T13" s="178">
        <v>0</v>
      </c>
      <c r="U13" s="178">
        <v>0</v>
      </c>
      <c r="V13" s="178">
        <v>0</v>
      </c>
      <c r="W13" s="178">
        <v>0</v>
      </c>
      <c r="X13" s="178">
        <v>0</v>
      </c>
      <c r="Y13" s="178">
        <v>0</v>
      </c>
      <c r="Z13" s="178">
        <v>0</v>
      </c>
      <c r="AA13" s="178">
        <v>0</v>
      </c>
      <c r="AB13" s="178">
        <v>0</v>
      </c>
      <c r="AC13" s="178">
        <v>0</v>
      </c>
      <c r="AD13" s="178">
        <v>0</v>
      </c>
      <c r="AE13" s="178">
        <v>0</v>
      </c>
      <c r="AF13" s="178">
        <v>0</v>
      </c>
      <c r="AG13" s="178">
        <v>0</v>
      </c>
      <c r="AH13" s="178">
        <v>0</v>
      </c>
      <c r="AI13" s="178">
        <v>0</v>
      </c>
      <c r="AJ13" s="178">
        <v>0</v>
      </c>
      <c r="AK13" s="178">
        <v>0</v>
      </c>
      <c r="AL13" s="178">
        <v>0</v>
      </c>
      <c r="AM13" s="178">
        <v>0</v>
      </c>
      <c r="AN13" s="177"/>
    </row>
    <row r="14" spans="2:40" x14ac:dyDescent="0.35">
      <c r="B14" s="14">
        <v>2</v>
      </c>
      <c r="C14" s="215" t="s">
        <v>98</v>
      </c>
      <c r="D14" s="215" t="s">
        <v>125</v>
      </c>
      <c r="E14" s="230">
        <v>23399.66</v>
      </c>
      <c r="F14" s="41">
        <v>170000</v>
      </c>
      <c r="G14" s="36"/>
      <c r="H14" s="37"/>
      <c r="I14" s="103">
        <f>'[1]Salary Details'!J46</f>
        <v>478369.06000000006</v>
      </c>
      <c r="J14" s="38">
        <f t="shared" si="0"/>
        <v>0.25733681776846373</v>
      </c>
      <c r="K14" s="38">
        <f t="shared" si="1"/>
        <v>0.11308850797698781</v>
      </c>
      <c r="L14" s="39">
        <v>5000</v>
      </c>
      <c r="M14" s="40">
        <f>L14/$L$44</f>
        <v>0.3125</v>
      </c>
      <c r="N14" s="23">
        <v>12</v>
      </c>
      <c r="O14" s="105">
        <f t="shared" ref="O14:O42" si="2">N14/$N$44</f>
        <v>0.33333333333333331</v>
      </c>
      <c r="P14" s="121">
        <f>J14*$P$7</f>
        <v>0</v>
      </c>
      <c r="Q14" s="120">
        <f>J14*Q$7</f>
        <v>0</v>
      </c>
      <c r="R14" s="120">
        <f>J14*R$7</f>
        <v>0</v>
      </c>
      <c r="S14" s="120">
        <f>J14*$S$7</f>
        <v>0</v>
      </c>
      <c r="T14" s="120">
        <f>J14*$T$7</f>
        <v>0</v>
      </c>
      <c r="U14" s="120">
        <f>O14*$U$7</f>
        <v>1002</v>
      </c>
      <c r="V14" s="122">
        <f>$O14*$V$7</f>
        <v>1633.3333333333333</v>
      </c>
      <c r="W14" s="122">
        <f>$O14*$W$7</f>
        <v>440.41666666666663</v>
      </c>
      <c r="X14" s="122">
        <f>$O14*$X$7</f>
        <v>0</v>
      </c>
      <c r="Y14" s="122">
        <f>$O14*$X$7</f>
        <v>0</v>
      </c>
      <c r="Z14" s="122">
        <f>$O14*$X$7</f>
        <v>0</v>
      </c>
      <c r="AA14" s="122">
        <f>$O14*$AA$7</f>
        <v>0</v>
      </c>
      <c r="AB14" s="122">
        <f>$O14*$AB$7</f>
        <v>0</v>
      </c>
      <c r="AC14" s="122">
        <f>$M14*AC$7</f>
        <v>0</v>
      </c>
      <c r="AD14" s="122">
        <f>$M14*AD$7</f>
        <v>0</v>
      </c>
      <c r="AE14" s="122">
        <f t="shared" ref="AE14:AL37" si="3">$M14*AE$7</f>
        <v>493.95625000000001</v>
      </c>
      <c r="AF14" s="122">
        <f t="shared" si="3"/>
        <v>61.303124999999994</v>
      </c>
      <c r="AG14" s="122">
        <f t="shared" si="3"/>
        <v>0</v>
      </c>
      <c r="AH14" s="122">
        <f t="shared" si="3"/>
        <v>126.5625</v>
      </c>
      <c r="AI14" s="122">
        <f t="shared" si="3"/>
        <v>131.875</v>
      </c>
      <c r="AJ14" s="122">
        <f t="shared" si="3"/>
        <v>0</v>
      </c>
      <c r="AK14" s="122">
        <f t="shared" si="3"/>
        <v>573.48750000000007</v>
      </c>
      <c r="AL14" s="122">
        <f t="shared" si="3"/>
        <v>1454.375</v>
      </c>
      <c r="AM14" s="120">
        <f t="shared" ref="AM14:AM43" si="4">K14*$AM$7</f>
        <v>0</v>
      </c>
      <c r="AN14" s="133" t="str">
        <f t="shared" ref="AN14:AN43" si="5">C14</f>
        <v>111 Abbott</v>
      </c>
    </row>
    <row r="15" spans="2:40" x14ac:dyDescent="0.35">
      <c r="B15" s="14">
        <v>3</v>
      </c>
      <c r="C15" s="215" t="s">
        <v>99</v>
      </c>
      <c r="D15" s="215" t="s">
        <v>124</v>
      </c>
      <c r="E15" s="230">
        <v>3518.7</v>
      </c>
      <c r="F15" s="41"/>
      <c r="G15" s="36"/>
      <c r="H15" s="37"/>
      <c r="I15" s="103"/>
      <c r="J15" s="38">
        <f t="shared" si="0"/>
        <v>3.8696761435076117E-2</v>
      </c>
      <c r="K15" s="38">
        <f t="shared" si="1"/>
        <v>1.7005569013337246E-2</v>
      </c>
      <c r="L15" s="39"/>
      <c r="M15" s="40"/>
      <c r="N15" s="23">
        <v>1</v>
      </c>
      <c r="O15" s="106">
        <f t="shared" si="2"/>
        <v>2.7777777777777776E-2</v>
      </c>
      <c r="P15" s="121">
        <f t="shared" ref="P15:P37" si="6">J15*$P$7</f>
        <v>0</v>
      </c>
      <c r="Q15" s="120">
        <f t="shared" ref="Q15:Q37" si="7">J15*$Q$7</f>
        <v>0</v>
      </c>
      <c r="R15" s="120">
        <f t="shared" ref="R15:R37" si="8">J15*R$7</f>
        <v>0</v>
      </c>
      <c r="S15" s="120">
        <f t="shared" ref="S15:S37" si="9">J15*$S$7</f>
        <v>0</v>
      </c>
      <c r="T15" s="120">
        <f t="shared" ref="T15:T37" si="10">J15*$T$7</f>
        <v>0</v>
      </c>
      <c r="U15" s="120">
        <f t="shared" ref="U15:U39" si="11">O15*$U$7</f>
        <v>83.5</v>
      </c>
      <c r="V15" s="122">
        <f t="shared" ref="V15:V41" si="12">O15*$V$7</f>
        <v>136.11111111111111</v>
      </c>
      <c r="W15" s="122">
        <f t="shared" ref="W15:W41" si="13">$O15*$W$7</f>
        <v>36.701388888888886</v>
      </c>
      <c r="X15" s="122">
        <f t="shared" ref="X15:Z41" si="14">$O15*$X$7</f>
        <v>0</v>
      </c>
      <c r="Y15" s="122">
        <f t="shared" si="14"/>
        <v>0</v>
      </c>
      <c r="Z15" s="122">
        <f t="shared" si="14"/>
        <v>0</v>
      </c>
      <c r="AA15" s="122">
        <f t="shared" ref="AA15:AA41" si="15">$O15*$AA$7</f>
        <v>0</v>
      </c>
      <c r="AB15" s="122">
        <f t="shared" ref="AB15:AB41" si="16">$O15*$AB$7</f>
        <v>0</v>
      </c>
      <c r="AC15" s="122">
        <f t="shared" ref="AC15:AD43" si="17">$M15*$AC$7</f>
        <v>0</v>
      </c>
      <c r="AD15" s="122">
        <f t="shared" si="17"/>
        <v>0</v>
      </c>
      <c r="AE15" s="122">
        <f t="shared" si="3"/>
        <v>0</v>
      </c>
      <c r="AF15" s="122">
        <f t="shared" si="3"/>
        <v>0</v>
      </c>
      <c r="AG15" s="122">
        <f t="shared" si="3"/>
        <v>0</v>
      </c>
      <c r="AH15" s="122">
        <f t="shared" si="3"/>
        <v>0</v>
      </c>
      <c r="AI15" s="122">
        <f t="shared" si="3"/>
        <v>0</v>
      </c>
      <c r="AJ15" s="122">
        <f t="shared" si="3"/>
        <v>0</v>
      </c>
      <c r="AK15" s="122">
        <f t="shared" si="3"/>
        <v>0</v>
      </c>
      <c r="AL15" s="122">
        <f t="shared" si="3"/>
        <v>0</v>
      </c>
      <c r="AM15" s="120">
        <f t="shared" si="4"/>
        <v>0</v>
      </c>
      <c r="AN15" s="133" t="str">
        <f t="shared" si="5"/>
        <v>111A Abbott Other</v>
      </c>
    </row>
    <row r="16" spans="2:40" x14ac:dyDescent="0.35">
      <c r="B16" s="14">
        <v>4</v>
      </c>
      <c r="C16" s="215" t="s">
        <v>100</v>
      </c>
      <c r="D16" s="215" t="s">
        <v>124</v>
      </c>
      <c r="E16" s="230">
        <v>2618</v>
      </c>
      <c r="F16" s="41"/>
      <c r="G16" s="36"/>
      <c r="H16" s="37"/>
      <c r="I16" s="103"/>
      <c r="J16" s="38">
        <f t="shared" si="0"/>
        <v>2.8791349486182193E-2</v>
      </c>
      <c r="K16" s="38">
        <f t="shared" si="1"/>
        <v>1.2652564775887944E-2</v>
      </c>
      <c r="L16" s="39"/>
      <c r="M16" s="40"/>
      <c r="N16" s="23">
        <v>1</v>
      </c>
      <c r="O16" s="106">
        <f t="shared" si="2"/>
        <v>2.7777777777777776E-2</v>
      </c>
      <c r="P16" s="121">
        <f t="shared" si="6"/>
        <v>0</v>
      </c>
      <c r="Q16" s="120">
        <f t="shared" si="7"/>
        <v>0</v>
      </c>
      <c r="R16" s="120">
        <f t="shared" si="8"/>
        <v>0</v>
      </c>
      <c r="S16" s="120">
        <f t="shared" si="9"/>
        <v>0</v>
      </c>
      <c r="T16" s="120">
        <f t="shared" si="10"/>
        <v>0</v>
      </c>
      <c r="U16" s="120">
        <f t="shared" si="11"/>
        <v>83.5</v>
      </c>
      <c r="V16" s="122">
        <f t="shared" si="12"/>
        <v>136.11111111111111</v>
      </c>
      <c r="W16" s="122">
        <f t="shared" si="13"/>
        <v>36.701388888888886</v>
      </c>
      <c r="X16" s="122">
        <f t="shared" si="14"/>
        <v>0</v>
      </c>
      <c r="Y16" s="122">
        <f t="shared" si="14"/>
        <v>0</v>
      </c>
      <c r="Z16" s="122">
        <f t="shared" si="14"/>
        <v>0</v>
      </c>
      <c r="AA16" s="122">
        <f t="shared" si="15"/>
        <v>0</v>
      </c>
      <c r="AB16" s="122">
        <f t="shared" si="16"/>
        <v>0</v>
      </c>
      <c r="AC16" s="122">
        <f t="shared" si="17"/>
        <v>0</v>
      </c>
      <c r="AD16" s="122">
        <f t="shared" si="17"/>
        <v>0</v>
      </c>
      <c r="AE16" s="122">
        <f t="shared" si="3"/>
        <v>0</v>
      </c>
      <c r="AF16" s="122">
        <f t="shared" si="3"/>
        <v>0</v>
      </c>
      <c r="AG16" s="122">
        <f t="shared" si="3"/>
        <v>0</v>
      </c>
      <c r="AH16" s="122">
        <f t="shared" si="3"/>
        <v>0</v>
      </c>
      <c r="AI16" s="122">
        <f t="shared" si="3"/>
        <v>0</v>
      </c>
      <c r="AJ16" s="122">
        <f t="shared" si="3"/>
        <v>0</v>
      </c>
      <c r="AK16" s="122">
        <f t="shared" si="3"/>
        <v>0</v>
      </c>
      <c r="AL16" s="122">
        <f t="shared" si="3"/>
        <v>0</v>
      </c>
      <c r="AM16" s="120">
        <f t="shared" si="4"/>
        <v>0</v>
      </c>
      <c r="AN16" s="133" t="str">
        <f t="shared" si="5"/>
        <v>111B Wrap Fees</v>
      </c>
    </row>
    <row r="17" spans="2:40" x14ac:dyDescent="0.35">
      <c r="B17" s="14">
        <v>5</v>
      </c>
      <c r="C17" s="215" t="s">
        <v>101</v>
      </c>
      <c r="D17" s="215" t="s">
        <v>124</v>
      </c>
      <c r="E17" s="230">
        <v>4495.68</v>
      </c>
      <c r="F17" s="41">
        <v>21000</v>
      </c>
      <c r="H17" s="2">
        <v>8</v>
      </c>
      <c r="I17" s="103">
        <f>'[1]Salary Details'!K46</f>
        <v>58469.840000000004</v>
      </c>
      <c r="J17" s="38">
        <f t="shared" si="0"/>
        <v>4.9441059609640785E-2</v>
      </c>
      <c r="K17" s="38">
        <f t="shared" si="1"/>
        <v>2.1727227811941908E-2</v>
      </c>
      <c r="L17" s="39">
        <v>500</v>
      </c>
      <c r="M17" s="40">
        <f>L17/$L$44</f>
        <v>3.125E-2</v>
      </c>
      <c r="N17" s="23">
        <f>'[1]Salary Details'!K50</f>
        <v>2</v>
      </c>
      <c r="O17" s="106">
        <f t="shared" si="2"/>
        <v>5.5555555555555552E-2</v>
      </c>
      <c r="P17" s="121">
        <f t="shared" si="6"/>
        <v>0</v>
      </c>
      <c r="Q17" s="120">
        <f t="shared" si="7"/>
        <v>0</v>
      </c>
      <c r="R17" s="120">
        <f t="shared" si="8"/>
        <v>0</v>
      </c>
      <c r="S17" s="120">
        <f t="shared" si="9"/>
        <v>0</v>
      </c>
      <c r="T17" s="120">
        <f t="shared" si="10"/>
        <v>0</v>
      </c>
      <c r="U17" s="120">
        <f t="shared" si="11"/>
        <v>167</v>
      </c>
      <c r="V17" s="122">
        <f t="shared" si="12"/>
        <v>272.22222222222223</v>
      </c>
      <c r="W17" s="122">
        <f t="shared" si="13"/>
        <v>73.402777777777771</v>
      </c>
      <c r="X17" s="122">
        <f t="shared" si="14"/>
        <v>0</v>
      </c>
      <c r="Y17" s="122">
        <f t="shared" si="14"/>
        <v>0</v>
      </c>
      <c r="Z17" s="122">
        <f t="shared" si="14"/>
        <v>0</v>
      </c>
      <c r="AA17" s="122">
        <f t="shared" si="15"/>
        <v>0</v>
      </c>
      <c r="AB17" s="122">
        <f t="shared" si="16"/>
        <v>0</v>
      </c>
      <c r="AC17" s="122">
        <f t="shared" si="17"/>
        <v>0</v>
      </c>
      <c r="AD17" s="122">
        <f t="shared" si="17"/>
        <v>0</v>
      </c>
      <c r="AE17" s="122">
        <f t="shared" si="3"/>
        <v>49.395625000000003</v>
      </c>
      <c r="AF17" s="122">
        <f t="shared" si="3"/>
        <v>6.1303124999999996</v>
      </c>
      <c r="AG17" s="122">
        <f t="shared" si="3"/>
        <v>0</v>
      </c>
      <c r="AH17" s="122">
        <f t="shared" si="3"/>
        <v>12.65625</v>
      </c>
      <c r="AI17" s="122">
        <f t="shared" si="3"/>
        <v>13.1875</v>
      </c>
      <c r="AJ17" s="122">
        <f t="shared" si="3"/>
        <v>0</v>
      </c>
      <c r="AK17" s="122">
        <f t="shared" si="3"/>
        <v>57.348750000000003</v>
      </c>
      <c r="AL17" s="122">
        <f t="shared" si="3"/>
        <v>145.4375</v>
      </c>
      <c r="AM17" s="120">
        <f t="shared" si="4"/>
        <v>0</v>
      </c>
      <c r="AN17" s="133" t="str">
        <f t="shared" si="5"/>
        <v>112.1 Toddlers</v>
      </c>
    </row>
    <row r="18" spans="2:40" ht="15" thickBot="1" x14ac:dyDescent="0.4">
      <c r="B18" s="14">
        <v>6</v>
      </c>
      <c r="C18" s="216" t="s">
        <v>102</v>
      </c>
      <c r="D18" s="216" t="s">
        <v>126</v>
      </c>
      <c r="E18" s="231">
        <v>14994.529999999999</v>
      </c>
      <c r="F18" s="181">
        <v>52000</v>
      </c>
      <c r="G18" s="182"/>
      <c r="H18" s="183">
        <v>1</v>
      </c>
      <c r="I18" s="184">
        <f>'[1]Salary Details'!L46</f>
        <v>208746.58000000002</v>
      </c>
      <c r="J18" s="181">
        <f t="shared" si="0"/>
        <v>0.16490173934722821</v>
      </c>
      <c r="K18" s="181">
        <f t="shared" si="1"/>
        <v>7.246725061458939E-2</v>
      </c>
      <c r="L18" s="185">
        <v>1000</v>
      </c>
      <c r="M18" s="181">
        <f>L18/$L$44</f>
        <v>6.25E-2</v>
      </c>
      <c r="N18" s="186">
        <f>'[1]Salary Details'!L50</f>
        <v>4</v>
      </c>
      <c r="O18" s="181">
        <f t="shared" si="2"/>
        <v>0.1111111111111111</v>
      </c>
      <c r="P18" s="187">
        <f t="shared" si="6"/>
        <v>0</v>
      </c>
      <c r="Q18" s="188">
        <f t="shared" si="7"/>
        <v>0</v>
      </c>
      <c r="R18" s="188">
        <f t="shared" si="8"/>
        <v>0</v>
      </c>
      <c r="S18" s="188">
        <f t="shared" si="9"/>
        <v>0</v>
      </c>
      <c r="T18" s="188">
        <f t="shared" si="10"/>
        <v>0</v>
      </c>
      <c r="U18" s="188">
        <f t="shared" si="11"/>
        <v>334</v>
      </c>
      <c r="V18" s="189">
        <f t="shared" si="12"/>
        <v>544.44444444444446</v>
      </c>
      <c r="W18" s="189">
        <f t="shared" si="13"/>
        <v>146.80555555555554</v>
      </c>
      <c r="X18" s="189">
        <f t="shared" si="14"/>
        <v>0</v>
      </c>
      <c r="Y18" s="189">
        <f t="shared" si="14"/>
        <v>0</v>
      </c>
      <c r="Z18" s="189">
        <f t="shared" si="14"/>
        <v>0</v>
      </c>
      <c r="AA18" s="189">
        <f t="shared" si="15"/>
        <v>0</v>
      </c>
      <c r="AB18" s="189">
        <f t="shared" si="16"/>
        <v>0</v>
      </c>
      <c r="AC18" s="189">
        <f t="shared" si="17"/>
        <v>0</v>
      </c>
      <c r="AD18" s="189">
        <f t="shared" si="17"/>
        <v>0</v>
      </c>
      <c r="AE18" s="189">
        <f t="shared" si="3"/>
        <v>98.791250000000005</v>
      </c>
      <c r="AF18" s="189">
        <f t="shared" si="3"/>
        <v>12.260624999999999</v>
      </c>
      <c r="AG18" s="189">
        <f t="shared" si="3"/>
        <v>0</v>
      </c>
      <c r="AH18" s="189">
        <f t="shared" si="3"/>
        <v>25.3125</v>
      </c>
      <c r="AI18" s="189">
        <f t="shared" si="3"/>
        <v>26.375</v>
      </c>
      <c r="AJ18" s="189">
        <f t="shared" si="3"/>
        <v>0</v>
      </c>
      <c r="AK18" s="189">
        <f t="shared" si="3"/>
        <v>114.69750000000001</v>
      </c>
      <c r="AL18" s="189">
        <f t="shared" si="3"/>
        <v>290.875</v>
      </c>
      <c r="AM18" s="188">
        <f t="shared" si="4"/>
        <v>0</v>
      </c>
      <c r="AN18" s="190" t="str">
        <f t="shared" si="5"/>
        <v>451 USJP Program</v>
      </c>
    </row>
    <row r="19" spans="2:40" x14ac:dyDescent="0.35">
      <c r="B19" s="14">
        <v>7</v>
      </c>
      <c r="C19" s="217" t="s">
        <v>103</v>
      </c>
      <c r="D19" s="217" t="s">
        <v>127</v>
      </c>
      <c r="E19" s="232">
        <v>6312.32</v>
      </c>
      <c r="F19" s="139">
        <v>51000</v>
      </c>
      <c r="G19" s="140"/>
      <c r="H19" s="141">
        <v>1</v>
      </c>
      <c r="I19" s="142">
        <f>'[1]Salary Details'!M46</f>
        <v>224900.46</v>
      </c>
      <c r="J19" s="143">
        <f t="shared" si="0"/>
        <v>6.9419484793207628E-2</v>
      </c>
      <c r="K19" s="143">
        <f t="shared" si="1"/>
        <v>3.0506889872472492E-2</v>
      </c>
      <c r="L19" s="144">
        <v>750</v>
      </c>
      <c r="M19" s="145">
        <f>L19/$L$44</f>
        <v>4.6875E-2</v>
      </c>
      <c r="N19" s="146">
        <v>1</v>
      </c>
      <c r="O19" s="105">
        <f t="shared" si="2"/>
        <v>2.7777777777777776E-2</v>
      </c>
      <c r="P19" s="121">
        <f t="shared" si="6"/>
        <v>0</v>
      </c>
      <c r="Q19" s="120">
        <f t="shared" si="7"/>
        <v>0</v>
      </c>
      <c r="R19" s="120">
        <f t="shared" si="8"/>
        <v>0</v>
      </c>
      <c r="S19" s="120">
        <f t="shared" si="9"/>
        <v>0</v>
      </c>
      <c r="T19" s="120">
        <f t="shared" si="10"/>
        <v>0</v>
      </c>
      <c r="U19" s="120">
        <f t="shared" si="11"/>
        <v>83.5</v>
      </c>
      <c r="V19" s="122">
        <f t="shared" si="12"/>
        <v>136.11111111111111</v>
      </c>
      <c r="W19" s="122">
        <f t="shared" si="13"/>
        <v>36.701388888888886</v>
      </c>
      <c r="X19" s="122">
        <f t="shared" si="14"/>
        <v>0</v>
      </c>
      <c r="Y19" s="122">
        <f t="shared" si="14"/>
        <v>0</v>
      </c>
      <c r="Z19" s="122">
        <f t="shared" si="14"/>
        <v>0</v>
      </c>
      <c r="AA19" s="122">
        <f t="shared" si="15"/>
        <v>0</v>
      </c>
      <c r="AB19" s="122">
        <f t="shared" si="16"/>
        <v>0</v>
      </c>
      <c r="AC19" s="122">
        <f t="shared" si="17"/>
        <v>0</v>
      </c>
      <c r="AD19" s="122">
        <f t="shared" si="17"/>
        <v>0</v>
      </c>
      <c r="AE19" s="122">
        <f t="shared" si="3"/>
        <v>74.093437500000007</v>
      </c>
      <c r="AF19" s="122">
        <f t="shared" si="3"/>
        <v>9.1954687499999999</v>
      </c>
      <c r="AG19" s="122">
        <f t="shared" si="3"/>
        <v>0</v>
      </c>
      <c r="AH19" s="122">
        <f t="shared" si="3"/>
        <v>18.984375</v>
      </c>
      <c r="AI19" s="122">
        <f t="shared" si="3"/>
        <v>19.78125</v>
      </c>
      <c r="AJ19" s="122">
        <f t="shared" si="3"/>
        <v>0</v>
      </c>
      <c r="AK19" s="122">
        <f t="shared" si="3"/>
        <v>86.023125000000007</v>
      </c>
      <c r="AL19" s="122">
        <f t="shared" si="3"/>
        <v>218.15625</v>
      </c>
      <c r="AM19" s="120">
        <f t="shared" si="4"/>
        <v>0</v>
      </c>
      <c r="AN19" s="133" t="str">
        <f t="shared" si="5"/>
        <v>467 WorkForceUA</v>
      </c>
    </row>
    <row r="20" spans="2:40" x14ac:dyDescent="0.35">
      <c r="B20" s="14">
        <v>8</v>
      </c>
      <c r="C20" s="217" t="s">
        <v>104</v>
      </c>
      <c r="D20" s="217" t="s">
        <v>128</v>
      </c>
      <c r="E20" s="230">
        <v>6626.17</v>
      </c>
      <c r="F20" s="41"/>
      <c r="G20" s="147"/>
      <c r="H20" s="148"/>
      <c r="I20" s="149"/>
      <c r="J20" s="38">
        <f t="shared" si="0"/>
        <v>7.2871037519043488E-2</v>
      </c>
      <c r="K20" s="38">
        <f t="shared" si="1"/>
        <v>3.2023699442721702E-2</v>
      </c>
      <c r="L20" s="39"/>
      <c r="M20" s="40"/>
      <c r="N20" s="150">
        <v>1</v>
      </c>
      <c r="O20" s="106">
        <f t="shared" si="2"/>
        <v>2.7777777777777776E-2</v>
      </c>
      <c r="P20" s="121">
        <f t="shared" si="6"/>
        <v>0</v>
      </c>
      <c r="Q20" s="120">
        <f t="shared" si="7"/>
        <v>0</v>
      </c>
      <c r="R20" s="120">
        <f t="shared" si="8"/>
        <v>0</v>
      </c>
      <c r="S20" s="120">
        <f t="shared" si="9"/>
        <v>0</v>
      </c>
      <c r="T20" s="120">
        <f t="shared" si="10"/>
        <v>0</v>
      </c>
      <c r="U20" s="120">
        <f t="shared" si="11"/>
        <v>83.5</v>
      </c>
      <c r="V20" s="122">
        <f t="shared" si="12"/>
        <v>136.11111111111111</v>
      </c>
      <c r="W20" s="122">
        <f t="shared" si="13"/>
        <v>36.701388888888886</v>
      </c>
      <c r="X20" s="122">
        <f t="shared" si="14"/>
        <v>0</v>
      </c>
      <c r="Y20" s="122">
        <f t="shared" si="14"/>
        <v>0</v>
      </c>
      <c r="Z20" s="122">
        <f t="shared" si="14"/>
        <v>0</v>
      </c>
      <c r="AA20" s="122">
        <f t="shared" si="15"/>
        <v>0</v>
      </c>
      <c r="AB20" s="122">
        <f t="shared" si="16"/>
        <v>0</v>
      </c>
      <c r="AC20" s="122">
        <f t="shared" si="17"/>
        <v>0</v>
      </c>
      <c r="AD20" s="122">
        <f t="shared" si="17"/>
        <v>0</v>
      </c>
      <c r="AE20" s="122">
        <f t="shared" si="3"/>
        <v>0</v>
      </c>
      <c r="AF20" s="122">
        <f t="shared" si="3"/>
        <v>0</v>
      </c>
      <c r="AG20" s="122">
        <f t="shared" si="3"/>
        <v>0</v>
      </c>
      <c r="AH20" s="122">
        <f t="shared" si="3"/>
        <v>0</v>
      </c>
      <c r="AI20" s="122">
        <f t="shared" si="3"/>
        <v>0</v>
      </c>
      <c r="AJ20" s="122">
        <f t="shared" si="3"/>
        <v>0</v>
      </c>
      <c r="AK20" s="122">
        <f t="shared" si="3"/>
        <v>0</v>
      </c>
      <c r="AL20" s="122">
        <f t="shared" si="3"/>
        <v>0</v>
      </c>
      <c r="AM20" s="120">
        <f t="shared" si="4"/>
        <v>0</v>
      </c>
      <c r="AN20" s="133" t="str">
        <f t="shared" si="5"/>
        <v>454 Pru - Workforce</v>
      </c>
    </row>
    <row r="21" spans="2:40" ht="15" thickBot="1" x14ac:dyDescent="0.4">
      <c r="B21" s="14">
        <v>9</v>
      </c>
      <c r="C21" s="217" t="s">
        <v>105</v>
      </c>
      <c r="D21" s="217" t="s">
        <v>129</v>
      </c>
      <c r="E21" s="233">
        <v>5176.92</v>
      </c>
      <c r="F21" s="43"/>
      <c r="G21" s="151"/>
      <c r="H21" s="152"/>
      <c r="I21" s="153"/>
      <c r="J21" s="154">
        <f t="shared" si="0"/>
        <v>5.6932969053478347E-2</v>
      </c>
      <c r="K21" s="154">
        <f t="shared" si="1"/>
        <v>2.5019601084640877E-2</v>
      </c>
      <c r="L21" s="155"/>
      <c r="M21" s="156"/>
      <c r="N21" s="157">
        <v>1</v>
      </c>
      <c r="O21" s="158">
        <f t="shared" si="2"/>
        <v>2.7777777777777776E-2</v>
      </c>
      <c r="P21" s="121">
        <f t="shared" si="6"/>
        <v>0</v>
      </c>
      <c r="Q21" s="120">
        <f t="shared" si="7"/>
        <v>0</v>
      </c>
      <c r="R21" s="120">
        <f t="shared" si="8"/>
        <v>0</v>
      </c>
      <c r="S21" s="120">
        <f t="shared" si="9"/>
        <v>0</v>
      </c>
      <c r="T21" s="120">
        <f t="shared" si="10"/>
        <v>0</v>
      </c>
      <c r="U21" s="120">
        <f t="shared" si="11"/>
        <v>83.5</v>
      </c>
      <c r="V21" s="122">
        <f t="shared" si="12"/>
        <v>136.11111111111111</v>
      </c>
      <c r="W21" s="122">
        <f t="shared" si="13"/>
        <v>36.701388888888886</v>
      </c>
      <c r="X21" s="122">
        <f t="shared" si="14"/>
        <v>0</v>
      </c>
      <c r="Y21" s="122">
        <f t="shared" si="14"/>
        <v>0</v>
      </c>
      <c r="Z21" s="122">
        <f t="shared" si="14"/>
        <v>0</v>
      </c>
      <c r="AA21" s="122">
        <f t="shared" si="15"/>
        <v>0</v>
      </c>
      <c r="AB21" s="122">
        <f t="shared" si="16"/>
        <v>0</v>
      </c>
      <c r="AC21" s="122">
        <f t="shared" si="17"/>
        <v>0</v>
      </c>
      <c r="AD21" s="122">
        <f t="shared" si="17"/>
        <v>0</v>
      </c>
      <c r="AE21" s="122">
        <f t="shared" si="3"/>
        <v>0</v>
      </c>
      <c r="AF21" s="122">
        <f t="shared" si="3"/>
        <v>0</v>
      </c>
      <c r="AG21" s="122">
        <f t="shared" si="3"/>
        <v>0</v>
      </c>
      <c r="AH21" s="122">
        <f t="shared" si="3"/>
        <v>0</v>
      </c>
      <c r="AI21" s="122">
        <f t="shared" si="3"/>
        <v>0</v>
      </c>
      <c r="AJ21" s="122">
        <f t="shared" si="3"/>
        <v>0</v>
      </c>
      <c r="AK21" s="122">
        <f t="shared" si="3"/>
        <v>0</v>
      </c>
      <c r="AL21" s="122">
        <f t="shared" si="3"/>
        <v>0</v>
      </c>
      <c r="AM21" s="120">
        <f t="shared" si="4"/>
        <v>0</v>
      </c>
      <c r="AN21" s="133" t="str">
        <f t="shared" si="5"/>
        <v>452 PACE</v>
      </c>
    </row>
    <row r="22" spans="2:40" x14ac:dyDescent="0.35">
      <c r="B22" s="14">
        <v>10</v>
      </c>
      <c r="C22" s="218" t="s">
        <v>106</v>
      </c>
      <c r="D22" s="218" t="s">
        <v>130</v>
      </c>
      <c r="E22" s="232">
        <v>1786.54</v>
      </c>
      <c r="F22" s="139">
        <v>25000</v>
      </c>
      <c r="G22" s="140"/>
      <c r="H22" s="141">
        <v>0</v>
      </c>
      <c r="I22" s="142">
        <f>'[1]Salary Details'!N46</f>
        <v>136800.22</v>
      </c>
      <c r="J22" s="143">
        <f t="shared" si="0"/>
        <v>1.9647401646693635E-2</v>
      </c>
      <c r="K22" s="143">
        <f t="shared" si="1"/>
        <v>8.6341913959949758E-3</v>
      </c>
      <c r="L22" s="144">
        <v>750</v>
      </c>
      <c r="M22" s="145">
        <f>L22/$L$44</f>
        <v>4.6875E-2</v>
      </c>
      <c r="N22" s="146">
        <v>1</v>
      </c>
      <c r="O22" s="105">
        <f t="shared" si="2"/>
        <v>2.7777777777777776E-2</v>
      </c>
      <c r="P22" s="121">
        <f t="shared" si="6"/>
        <v>0</v>
      </c>
      <c r="Q22" s="120">
        <f t="shared" si="7"/>
        <v>0</v>
      </c>
      <c r="R22" s="120">
        <f t="shared" si="8"/>
        <v>0</v>
      </c>
      <c r="S22" s="120">
        <f t="shared" si="9"/>
        <v>0</v>
      </c>
      <c r="T22" s="120">
        <f t="shared" si="10"/>
        <v>0</v>
      </c>
      <c r="U22" s="120">
        <f t="shared" si="11"/>
        <v>83.5</v>
      </c>
      <c r="V22" s="122">
        <f t="shared" si="12"/>
        <v>136.11111111111111</v>
      </c>
      <c r="W22" s="122">
        <f t="shared" si="13"/>
        <v>36.701388888888886</v>
      </c>
      <c r="X22" s="122">
        <f t="shared" si="14"/>
        <v>0</v>
      </c>
      <c r="Y22" s="122">
        <f t="shared" si="14"/>
        <v>0</v>
      </c>
      <c r="Z22" s="122">
        <f t="shared" si="14"/>
        <v>0</v>
      </c>
      <c r="AA22" s="122">
        <f t="shared" si="15"/>
        <v>0</v>
      </c>
      <c r="AB22" s="122">
        <f t="shared" si="16"/>
        <v>0</v>
      </c>
      <c r="AC22" s="122">
        <f t="shared" si="17"/>
        <v>0</v>
      </c>
      <c r="AD22" s="122">
        <f t="shared" si="17"/>
        <v>0</v>
      </c>
      <c r="AE22" s="122">
        <f t="shared" si="3"/>
        <v>74.093437500000007</v>
      </c>
      <c r="AF22" s="122">
        <f t="shared" si="3"/>
        <v>9.1954687499999999</v>
      </c>
      <c r="AG22" s="122">
        <f t="shared" si="3"/>
        <v>0</v>
      </c>
      <c r="AH22" s="122">
        <f t="shared" si="3"/>
        <v>18.984375</v>
      </c>
      <c r="AI22" s="122">
        <f t="shared" si="3"/>
        <v>19.78125</v>
      </c>
      <c r="AJ22" s="122">
        <f t="shared" si="3"/>
        <v>0</v>
      </c>
      <c r="AK22" s="122">
        <f t="shared" si="3"/>
        <v>86.023125000000007</v>
      </c>
      <c r="AL22" s="122">
        <f t="shared" si="3"/>
        <v>218.15625</v>
      </c>
      <c r="AM22" s="120">
        <f t="shared" si="4"/>
        <v>0</v>
      </c>
      <c r="AN22" s="133" t="str">
        <f t="shared" si="5"/>
        <v>502 ESG Housing Asst Program</v>
      </c>
    </row>
    <row r="23" spans="2:40" x14ac:dyDescent="0.35">
      <c r="B23" s="14">
        <v>11</v>
      </c>
      <c r="C23" s="218" t="s">
        <v>107</v>
      </c>
      <c r="D23" s="218" t="s">
        <v>131</v>
      </c>
      <c r="E23" s="230">
        <v>900</v>
      </c>
      <c r="F23" s="41"/>
      <c r="G23" s="147"/>
      <c r="H23" s="148"/>
      <c r="I23" s="149"/>
      <c r="J23" s="38">
        <f t="shared" si="0"/>
        <v>9.897713727106178E-3</v>
      </c>
      <c r="K23" s="38">
        <f t="shared" si="1"/>
        <v>4.3496211987391706E-3</v>
      </c>
      <c r="L23" s="39"/>
      <c r="M23" s="40"/>
      <c r="N23" s="150">
        <v>1</v>
      </c>
      <c r="O23" s="106">
        <f t="shared" si="2"/>
        <v>2.7777777777777776E-2</v>
      </c>
      <c r="P23" s="121">
        <f t="shared" si="6"/>
        <v>0</v>
      </c>
      <c r="Q23" s="120">
        <f t="shared" si="7"/>
        <v>0</v>
      </c>
      <c r="R23" s="120">
        <f t="shared" si="8"/>
        <v>0</v>
      </c>
      <c r="S23" s="120">
        <f t="shared" si="9"/>
        <v>0</v>
      </c>
      <c r="T23" s="120">
        <f t="shared" si="10"/>
        <v>0</v>
      </c>
      <c r="U23" s="120">
        <f t="shared" si="11"/>
        <v>83.5</v>
      </c>
      <c r="V23" s="122">
        <f t="shared" si="12"/>
        <v>136.11111111111111</v>
      </c>
      <c r="W23" s="122">
        <f t="shared" si="13"/>
        <v>36.701388888888886</v>
      </c>
      <c r="X23" s="122">
        <f t="shared" si="14"/>
        <v>0</v>
      </c>
      <c r="Y23" s="122">
        <f t="shared" si="14"/>
        <v>0</v>
      </c>
      <c r="Z23" s="122">
        <f t="shared" si="14"/>
        <v>0</v>
      </c>
      <c r="AA23" s="122">
        <f t="shared" si="15"/>
        <v>0</v>
      </c>
      <c r="AB23" s="122">
        <f t="shared" si="16"/>
        <v>0</v>
      </c>
      <c r="AC23" s="122">
        <f t="shared" si="17"/>
        <v>0</v>
      </c>
      <c r="AD23" s="122">
        <f t="shared" si="17"/>
        <v>0</v>
      </c>
      <c r="AE23" s="122">
        <f t="shared" si="3"/>
        <v>0</v>
      </c>
      <c r="AF23" s="122">
        <f t="shared" si="3"/>
        <v>0</v>
      </c>
      <c r="AG23" s="122">
        <f t="shared" si="3"/>
        <v>0</v>
      </c>
      <c r="AH23" s="122">
        <f t="shared" si="3"/>
        <v>0</v>
      </c>
      <c r="AI23" s="122">
        <f t="shared" si="3"/>
        <v>0</v>
      </c>
      <c r="AJ23" s="122">
        <f t="shared" si="3"/>
        <v>0</v>
      </c>
      <c r="AK23" s="122">
        <f t="shared" si="3"/>
        <v>0</v>
      </c>
      <c r="AL23" s="122">
        <f t="shared" si="3"/>
        <v>0</v>
      </c>
      <c r="AM23" s="120">
        <f t="shared" si="4"/>
        <v>0</v>
      </c>
      <c r="AN23" s="133" t="str">
        <f t="shared" si="5"/>
        <v>334 NRTC 2018 Grant</v>
      </c>
    </row>
    <row r="24" spans="2:40" x14ac:dyDescent="0.35">
      <c r="B24" s="14">
        <v>12</v>
      </c>
      <c r="C24" s="218" t="s">
        <v>108</v>
      </c>
      <c r="D24" s="218" t="s">
        <v>131</v>
      </c>
      <c r="E24" s="230">
        <v>3496.92</v>
      </c>
      <c r="F24" s="41"/>
      <c r="G24" s="147"/>
      <c r="H24" s="148"/>
      <c r="I24" s="149"/>
      <c r="J24" s="38">
        <f t="shared" si="0"/>
        <v>3.8457236762880154E-2</v>
      </c>
      <c r="K24" s="38">
        <f t="shared" si="1"/>
        <v>1.6900308180327759E-2</v>
      </c>
      <c r="L24" s="39"/>
      <c r="M24" s="40"/>
      <c r="N24" s="150">
        <v>1</v>
      </c>
      <c r="O24" s="106">
        <f t="shared" si="2"/>
        <v>2.7777777777777776E-2</v>
      </c>
      <c r="P24" s="121">
        <f t="shared" si="6"/>
        <v>0</v>
      </c>
      <c r="Q24" s="120">
        <f t="shared" si="7"/>
        <v>0</v>
      </c>
      <c r="R24" s="120">
        <f t="shared" si="8"/>
        <v>0</v>
      </c>
      <c r="S24" s="120">
        <f t="shared" si="9"/>
        <v>0</v>
      </c>
      <c r="T24" s="120">
        <f t="shared" si="10"/>
        <v>0</v>
      </c>
      <c r="U24" s="120">
        <f t="shared" si="11"/>
        <v>83.5</v>
      </c>
      <c r="V24" s="122">
        <f t="shared" si="12"/>
        <v>136.11111111111111</v>
      </c>
      <c r="W24" s="122">
        <f t="shared" si="13"/>
        <v>36.701388888888886</v>
      </c>
      <c r="X24" s="122">
        <f t="shared" si="14"/>
        <v>0</v>
      </c>
      <c r="Y24" s="122">
        <f t="shared" si="14"/>
        <v>0</v>
      </c>
      <c r="Z24" s="122">
        <f t="shared" si="14"/>
        <v>0</v>
      </c>
      <c r="AA24" s="122">
        <f t="shared" si="15"/>
        <v>0</v>
      </c>
      <c r="AB24" s="122">
        <f t="shared" si="16"/>
        <v>0</v>
      </c>
      <c r="AC24" s="122">
        <f t="shared" si="17"/>
        <v>0</v>
      </c>
      <c r="AD24" s="122">
        <f t="shared" si="17"/>
        <v>0</v>
      </c>
      <c r="AE24" s="122">
        <f t="shared" si="3"/>
        <v>0</v>
      </c>
      <c r="AF24" s="122">
        <f t="shared" si="3"/>
        <v>0</v>
      </c>
      <c r="AG24" s="122">
        <f t="shared" si="3"/>
        <v>0</v>
      </c>
      <c r="AH24" s="122">
        <f t="shared" si="3"/>
        <v>0</v>
      </c>
      <c r="AI24" s="122">
        <f t="shared" si="3"/>
        <v>0</v>
      </c>
      <c r="AJ24" s="122">
        <f t="shared" si="3"/>
        <v>0</v>
      </c>
      <c r="AK24" s="122">
        <f t="shared" si="3"/>
        <v>0</v>
      </c>
      <c r="AL24" s="122">
        <f t="shared" si="3"/>
        <v>0</v>
      </c>
      <c r="AM24" s="120">
        <f t="shared" si="4"/>
        <v>0</v>
      </c>
      <c r="AN24" s="133" t="str">
        <f t="shared" si="5"/>
        <v>341 NRTC 2020</v>
      </c>
    </row>
    <row r="25" spans="2:40" x14ac:dyDescent="0.35">
      <c r="B25" s="14">
        <v>13</v>
      </c>
      <c r="C25" s="218" t="s">
        <v>109</v>
      </c>
      <c r="D25" s="218" t="s">
        <v>132</v>
      </c>
      <c r="E25" s="230">
        <v>2043.47</v>
      </c>
      <c r="F25" s="41"/>
      <c r="G25" s="147"/>
      <c r="H25" s="148"/>
      <c r="I25" s="149"/>
      <c r="J25" s="38">
        <f t="shared" si="0"/>
        <v>2.2472978966588512E-2</v>
      </c>
      <c r="K25" s="38">
        <f t="shared" si="1"/>
        <v>9.8759115899861478E-3</v>
      </c>
      <c r="L25" s="39"/>
      <c r="M25" s="40"/>
      <c r="N25" s="150">
        <v>1</v>
      </c>
      <c r="O25" s="106">
        <f t="shared" si="2"/>
        <v>2.7777777777777776E-2</v>
      </c>
      <c r="P25" s="121">
        <f t="shared" si="6"/>
        <v>0</v>
      </c>
      <c r="Q25" s="120">
        <f t="shared" si="7"/>
        <v>0</v>
      </c>
      <c r="R25" s="120">
        <f t="shared" si="8"/>
        <v>0</v>
      </c>
      <c r="S25" s="120">
        <f t="shared" si="9"/>
        <v>0</v>
      </c>
      <c r="T25" s="120">
        <f t="shared" si="10"/>
        <v>0</v>
      </c>
      <c r="U25" s="120">
        <f t="shared" si="11"/>
        <v>83.5</v>
      </c>
      <c r="V25" s="122">
        <f t="shared" si="12"/>
        <v>136.11111111111111</v>
      </c>
      <c r="W25" s="122">
        <f t="shared" si="13"/>
        <v>36.701388888888886</v>
      </c>
      <c r="X25" s="122">
        <f t="shared" si="14"/>
        <v>0</v>
      </c>
      <c r="Y25" s="122">
        <f t="shared" si="14"/>
        <v>0</v>
      </c>
      <c r="Z25" s="122">
        <f t="shared" si="14"/>
        <v>0</v>
      </c>
      <c r="AA25" s="122">
        <f t="shared" si="15"/>
        <v>0</v>
      </c>
      <c r="AB25" s="122">
        <f t="shared" si="16"/>
        <v>0</v>
      </c>
      <c r="AC25" s="122">
        <f t="shared" si="17"/>
        <v>0</v>
      </c>
      <c r="AD25" s="122">
        <f t="shared" si="17"/>
        <v>0</v>
      </c>
      <c r="AE25" s="122">
        <f t="shared" si="3"/>
        <v>0</v>
      </c>
      <c r="AF25" s="122">
        <f t="shared" si="3"/>
        <v>0</v>
      </c>
      <c r="AG25" s="122">
        <f t="shared" si="3"/>
        <v>0</v>
      </c>
      <c r="AH25" s="122">
        <f t="shared" si="3"/>
        <v>0</v>
      </c>
      <c r="AI25" s="122">
        <f t="shared" si="3"/>
        <v>0</v>
      </c>
      <c r="AJ25" s="122">
        <f t="shared" si="3"/>
        <v>0</v>
      </c>
      <c r="AK25" s="122">
        <f t="shared" si="3"/>
        <v>0</v>
      </c>
      <c r="AL25" s="122">
        <f t="shared" si="3"/>
        <v>0</v>
      </c>
      <c r="AM25" s="120">
        <f t="shared" si="4"/>
        <v>0</v>
      </c>
      <c r="AN25" s="133" t="str">
        <f t="shared" si="5"/>
        <v>525 CDBG - Housing</v>
      </c>
    </row>
    <row r="26" spans="2:40" ht="15" thickBot="1" x14ac:dyDescent="0.4">
      <c r="B26" s="14">
        <v>14</v>
      </c>
      <c r="C26" s="218" t="s">
        <v>110</v>
      </c>
      <c r="D26" s="218" t="s">
        <v>126</v>
      </c>
      <c r="E26" s="233">
        <v>1450</v>
      </c>
      <c r="F26" s="43">
        <v>22000</v>
      </c>
      <c r="G26" s="151"/>
      <c r="H26" s="152">
        <v>1</v>
      </c>
      <c r="I26" s="153">
        <f>'[1]Salary Details'!O46</f>
        <v>71999.959999999992</v>
      </c>
      <c r="J26" s="154">
        <f t="shared" si="0"/>
        <v>1.594631656033773E-2</v>
      </c>
      <c r="K26" s="154">
        <f t="shared" si="1"/>
        <v>7.007723042413109E-3</v>
      </c>
      <c r="L26" s="155">
        <v>500</v>
      </c>
      <c r="M26" s="156">
        <f>L26/$L$44</f>
        <v>3.125E-2</v>
      </c>
      <c r="N26" s="157">
        <v>1</v>
      </c>
      <c r="O26" s="158">
        <f t="shared" si="2"/>
        <v>2.7777777777777776E-2</v>
      </c>
      <c r="P26" s="121">
        <f t="shared" si="6"/>
        <v>0</v>
      </c>
      <c r="Q26" s="120">
        <f t="shared" si="7"/>
        <v>0</v>
      </c>
      <c r="R26" s="120">
        <f t="shared" si="8"/>
        <v>0</v>
      </c>
      <c r="S26" s="120">
        <f t="shared" si="9"/>
        <v>0</v>
      </c>
      <c r="T26" s="120">
        <f t="shared" si="10"/>
        <v>0</v>
      </c>
      <c r="U26" s="120">
        <f t="shared" si="11"/>
        <v>83.5</v>
      </c>
      <c r="V26" s="122">
        <f t="shared" si="12"/>
        <v>136.11111111111111</v>
      </c>
      <c r="W26" s="122">
        <f t="shared" si="13"/>
        <v>36.701388888888886</v>
      </c>
      <c r="X26" s="122">
        <f t="shared" si="14"/>
        <v>0</v>
      </c>
      <c r="Y26" s="122">
        <f t="shared" si="14"/>
        <v>0</v>
      </c>
      <c r="Z26" s="122">
        <f t="shared" si="14"/>
        <v>0</v>
      </c>
      <c r="AA26" s="122">
        <f t="shared" si="15"/>
        <v>0</v>
      </c>
      <c r="AB26" s="122">
        <f t="shared" si="16"/>
        <v>0</v>
      </c>
      <c r="AC26" s="122">
        <f t="shared" si="17"/>
        <v>0</v>
      </c>
      <c r="AD26" s="122">
        <f t="shared" si="17"/>
        <v>0</v>
      </c>
      <c r="AE26" s="122">
        <f t="shared" si="3"/>
        <v>49.395625000000003</v>
      </c>
      <c r="AF26" s="122">
        <f t="shared" si="3"/>
        <v>6.1303124999999996</v>
      </c>
      <c r="AG26" s="122">
        <f t="shared" si="3"/>
        <v>0</v>
      </c>
      <c r="AH26" s="122">
        <f t="shared" si="3"/>
        <v>12.65625</v>
      </c>
      <c r="AI26" s="122">
        <f t="shared" si="3"/>
        <v>13.1875</v>
      </c>
      <c r="AJ26" s="122">
        <f t="shared" si="3"/>
        <v>0</v>
      </c>
      <c r="AK26" s="122">
        <f t="shared" si="3"/>
        <v>57.348750000000003</v>
      </c>
      <c r="AL26" s="122">
        <f t="shared" si="3"/>
        <v>145.4375</v>
      </c>
      <c r="AM26" s="120">
        <f t="shared" si="4"/>
        <v>0</v>
      </c>
      <c r="AN26" s="133" t="str">
        <f t="shared" si="5"/>
        <v>515 NUL HUD PARS</v>
      </c>
    </row>
    <row r="27" spans="2:40" x14ac:dyDescent="0.35">
      <c r="B27" s="14">
        <v>15</v>
      </c>
      <c r="C27" s="219" t="s">
        <v>111</v>
      </c>
      <c r="D27" s="219" t="s">
        <v>133</v>
      </c>
      <c r="E27" s="232">
        <v>600</v>
      </c>
      <c r="F27" s="139"/>
      <c r="G27" s="140"/>
      <c r="H27" s="141"/>
      <c r="I27" s="142"/>
      <c r="J27" s="143">
        <f t="shared" si="0"/>
        <v>6.5984758180707851E-3</v>
      </c>
      <c r="K27" s="143">
        <f t="shared" si="1"/>
        <v>2.8997474658261141E-3</v>
      </c>
      <c r="L27" s="144"/>
      <c r="M27" s="145"/>
      <c r="N27" s="146">
        <v>1</v>
      </c>
      <c r="O27" s="105">
        <f t="shared" si="2"/>
        <v>2.7777777777777776E-2</v>
      </c>
      <c r="P27" s="121">
        <f t="shared" si="6"/>
        <v>0</v>
      </c>
      <c r="Q27" s="120">
        <f t="shared" si="7"/>
        <v>0</v>
      </c>
      <c r="R27" s="120">
        <f t="shared" si="8"/>
        <v>0</v>
      </c>
      <c r="S27" s="120">
        <f t="shared" si="9"/>
        <v>0</v>
      </c>
      <c r="T27" s="120">
        <f t="shared" si="10"/>
        <v>0</v>
      </c>
      <c r="U27" s="120">
        <f t="shared" si="11"/>
        <v>83.5</v>
      </c>
      <c r="V27" s="122">
        <f t="shared" si="12"/>
        <v>136.11111111111111</v>
      </c>
      <c r="W27" s="122">
        <f t="shared" si="13"/>
        <v>36.701388888888886</v>
      </c>
      <c r="X27" s="122">
        <f t="shared" si="14"/>
        <v>0</v>
      </c>
      <c r="Y27" s="122">
        <f t="shared" si="14"/>
        <v>0</v>
      </c>
      <c r="Z27" s="122">
        <f t="shared" si="14"/>
        <v>0</v>
      </c>
      <c r="AA27" s="122">
        <f t="shared" si="15"/>
        <v>0</v>
      </c>
      <c r="AB27" s="122">
        <f t="shared" si="16"/>
        <v>0</v>
      </c>
      <c r="AC27" s="122">
        <f t="shared" si="17"/>
        <v>0</v>
      </c>
      <c r="AD27" s="122">
        <f t="shared" si="17"/>
        <v>0</v>
      </c>
      <c r="AE27" s="122">
        <f t="shared" si="3"/>
        <v>0</v>
      </c>
      <c r="AF27" s="122">
        <f t="shared" si="3"/>
        <v>0</v>
      </c>
      <c r="AG27" s="122">
        <f t="shared" si="3"/>
        <v>0</v>
      </c>
      <c r="AH27" s="122">
        <f t="shared" si="3"/>
        <v>0</v>
      </c>
      <c r="AI27" s="122">
        <f t="shared" si="3"/>
        <v>0</v>
      </c>
      <c r="AJ27" s="122">
        <f t="shared" si="3"/>
        <v>0</v>
      </c>
      <c r="AK27" s="122">
        <f t="shared" si="3"/>
        <v>0</v>
      </c>
      <c r="AL27" s="122">
        <f t="shared" si="3"/>
        <v>0</v>
      </c>
      <c r="AM27" s="120">
        <f t="shared" si="4"/>
        <v>0</v>
      </c>
      <c r="AN27" s="133" t="str">
        <f t="shared" si="5"/>
        <v>560 Capital 1 SaveUp</v>
      </c>
    </row>
    <row r="28" spans="2:40" x14ac:dyDescent="0.35">
      <c r="B28" s="14">
        <v>16</v>
      </c>
      <c r="C28" s="219" t="s">
        <v>112</v>
      </c>
      <c r="D28" s="219" t="s">
        <v>134</v>
      </c>
      <c r="E28" s="230">
        <v>3899.9799999999996</v>
      </c>
      <c r="F28" s="41"/>
      <c r="G28" s="147"/>
      <c r="H28" s="148"/>
      <c r="I28" s="149"/>
      <c r="J28" s="38">
        <f t="shared" si="0"/>
        <v>4.2889872868266163E-2</v>
      </c>
      <c r="K28" s="38">
        <f t="shared" si="1"/>
        <v>1.8848261869620877E-2</v>
      </c>
      <c r="L28" s="39"/>
      <c r="M28" s="40"/>
      <c r="N28" s="150">
        <v>1</v>
      </c>
      <c r="O28" s="106">
        <f t="shared" si="2"/>
        <v>2.7777777777777776E-2</v>
      </c>
      <c r="P28" s="121">
        <f t="shared" si="6"/>
        <v>0</v>
      </c>
      <c r="Q28" s="120">
        <f t="shared" si="7"/>
        <v>0</v>
      </c>
      <c r="R28" s="120">
        <f t="shared" si="8"/>
        <v>0</v>
      </c>
      <c r="S28" s="120">
        <f t="shared" si="9"/>
        <v>0</v>
      </c>
      <c r="T28" s="120">
        <f t="shared" si="10"/>
        <v>0</v>
      </c>
      <c r="U28" s="120">
        <f t="shared" si="11"/>
        <v>83.5</v>
      </c>
      <c r="V28" s="122">
        <f t="shared" si="12"/>
        <v>136.11111111111111</v>
      </c>
      <c r="W28" s="122">
        <f t="shared" si="13"/>
        <v>36.701388888888886</v>
      </c>
      <c r="X28" s="122">
        <f t="shared" si="14"/>
        <v>0</v>
      </c>
      <c r="Y28" s="122">
        <f t="shared" si="14"/>
        <v>0</v>
      </c>
      <c r="Z28" s="122">
        <f t="shared" si="14"/>
        <v>0</v>
      </c>
      <c r="AA28" s="122">
        <f t="shared" si="15"/>
        <v>0</v>
      </c>
      <c r="AB28" s="122">
        <f t="shared" si="16"/>
        <v>0</v>
      </c>
      <c r="AC28" s="122">
        <f t="shared" si="17"/>
        <v>0</v>
      </c>
      <c r="AD28" s="122">
        <f t="shared" si="17"/>
        <v>0</v>
      </c>
      <c r="AE28" s="122">
        <f t="shared" si="3"/>
        <v>0</v>
      </c>
      <c r="AF28" s="122">
        <f t="shared" si="3"/>
        <v>0</v>
      </c>
      <c r="AG28" s="122">
        <f t="shared" si="3"/>
        <v>0</v>
      </c>
      <c r="AH28" s="122">
        <f t="shared" si="3"/>
        <v>0</v>
      </c>
      <c r="AI28" s="122">
        <f t="shared" si="3"/>
        <v>0</v>
      </c>
      <c r="AJ28" s="122">
        <f t="shared" si="3"/>
        <v>0</v>
      </c>
      <c r="AK28" s="122">
        <f t="shared" si="3"/>
        <v>0</v>
      </c>
      <c r="AL28" s="122">
        <f t="shared" si="3"/>
        <v>0</v>
      </c>
      <c r="AM28" s="120">
        <f t="shared" si="4"/>
        <v>0</v>
      </c>
      <c r="AN28" s="133" t="str">
        <f t="shared" si="5"/>
        <v>562 LISC FOC 2020</v>
      </c>
    </row>
    <row r="29" spans="2:40" x14ac:dyDescent="0.35">
      <c r="B29" s="14">
        <v>17</v>
      </c>
      <c r="C29" s="219" t="s">
        <v>113</v>
      </c>
      <c r="D29" s="219" t="s">
        <v>128</v>
      </c>
      <c r="E29" s="230">
        <v>0</v>
      </c>
      <c r="F29" s="41"/>
      <c r="G29" s="147"/>
      <c r="H29" s="148"/>
      <c r="I29" s="149"/>
      <c r="J29" s="38">
        <f t="shared" si="0"/>
        <v>0</v>
      </c>
      <c r="K29" s="38">
        <f t="shared" si="1"/>
        <v>0</v>
      </c>
      <c r="L29" s="39"/>
      <c r="M29" s="40"/>
      <c r="N29" s="150">
        <v>1</v>
      </c>
      <c r="O29" s="106">
        <f t="shared" si="2"/>
        <v>2.7777777777777776E-2</v>
      </c>
      <c r="P29" s="121">
        <f t="shared" si="6"/>
        <v>0</v>
      </c>
      <c r="Q29" s="120">
        <f t="shared" si="7"/>
        <v>0</v>
      </c>
      <c r="R29" s="120">
        <f t="shared" si="8"/>
        <v>0</v>
      </c>
      <c r="S29" s="120">
        <f t="shared" si="9"/>
        <v>0</v>
      </c>
      <c r="T29" s="120">
        <f t="shared" si="10"/>
        <v>0</v>
      </c>
      <c r="U29" s="120">
        <f t="shared" si="11"/>
        <v>83.5</v>
      </c>
      <c r="V29" s="122">
        <f t="shared" si="12"/>
        <v>136.11111111111111</v>
      </c>
      <c r="W29" s="122">
        <f t="shared" si="13"/>
        <v>36.701388888888886</v>
      </c>
      <c r="X29" s="122">
        <f t="shared" si="14"/>
        <v>0</v>
      </c>
      <c r="Y29" s="122">
        <f t="shared" si="14"/>
        <v>0</v>
      </c>
      <c r="Z29" s="122">
        <f t="shared" si="14"/>
        <v>0</v>
      </c>
      <c r="AA29" s="122">
        <f t="shared" si="15"/>
        <v>0</v>
      </c>
      <c r="AB29" s="122">
        <f t="shared" si="16"/>
        <v>0</v>
      </c>
      <c r="AC29" s="122">
        <f t="shared" si="17"/>
        <v>0</v>
      </c>
      <c r="AD29" s="122">
        <f t="shared" si="17"/>
        <v>0</v>
      </c>
      <c r="AE29" s="122">
        <f t="shared" si="3"/>
        <v>0</v>
      </c>
      <c r="AF29" s="122">
        <f t="shared" si="3"/>
        <v>0</v>
      </c>
      <c r="AG29" s="122">
        <f t="shared" si="3"/>
        <v>0</v>
      </c>
      <c r="AH29" s="122">
        <f t="shared" si="3"/>
        <v>0</v>
      </c>
      <c r="AI29" s="122">
        <f t="shared" si="3"/>
        <v>0</v>
      </c>
      <c r="AJ29" s="122">
        <f t="shared" si="3"/>
        <v>0</v>
      </c>
      <c r="AK29" s="122">
        <f t="shared" si="3"/>
        <v>0</v>
      </c>
      <c r="AL29" s="122">
        <f t="shared" si="3"/>
        <v>0</v>
      </c>
      <c r="AM29" s="120">
        <f t="shared" si="4"/>
        <v>0</v>
      </c>
      <c r="AN29" s="133" t="str">
        <f t="shared" si="5"/>
        <v>563 Pru - FOC</v>
      </c>
    </row>
    <row r="30" spans="2:40" ht="15" thickBot="1" x14ac:dyDescent="0.4">
      <c r="B30" s="14">
        <v>18</v>
      </c>
      <c r="C30" s="219" t="s">
        <v>114</v>
      </c>
      <c r="D30" s="219" t="s">
        <v>131</v>
      </c>
      <c r="E30" s="233">
        <v>0</v>
      </c>
      <c r="F30" s="43"/>
      <c r="G30" s="151"/>
      <c r="H30" s="152"/>
      <c r="I30" s="153"/>
      <c r="J30" s="154">
        <f t="shared" si="0"/>
        <v>0</v>
      </c>
      <c r="K30" s="154">
        <f t="shared" si="1"/>
        <v>0</v>
      </c>
      <c r="L30" s="155"/>
      <c r="M30" s="156"/>
      <c r="N30" s="157">
        <v>0.5</v>
      </c>
      <c r="O30" s="158">
        <f t="shared" si="2"/>
        <v>1.3888888888888888E-2</v>
      </c>
      <c r="P30" s="121">
        <f t="shared" si="6"/>
        <v>0</v>
      </c>
      <c r="Q30" s="120">
        <f t="shared" si="7"/>
        <v>0</v>
      </c>
      <c r="R30" s="120">
        <f t="shared" si="8"/>
        <v>0</v>
      </c>
      <c r="S30" s="120">
        <f t="shared" si="9"/>
        <v>0</v>
      </c>
      <c r="T30" s="120">
        <f t="shared" si="10"/>
        <v>0</v>
      </c>
      <c r="U30" s="120">
        <f t="shared" si="11"/>
        <v>41.75</v>
      </c>
      <c r="V30" s="122">
        <f t="shared" si="12"/>
        <v>68.055555555555557</v>
      </c>
      <c r="W30" s="122">
        <f t="shared" si="13"/>
        <v>18.350694444444443</v>
      </c>
      <c r="X30" s="122">
        <f t="shared" si="14"/>
        <v>0</v>
      </c>
      <c r="Y30" s="122">
        <f t="shared" si="14"/>
        <v>0</v>
      </c>
      <c r="Z30" s="122">
        <f t="shared" si="14"/>
        <v>0</v>
      </c>
      <c r="AA30" s="122">
        <f t="shared" si="15"/>
        <v>0</v>
      </c>
      <c r="AB30" s="122">
        <f t="shared" si="16"/>
        <v>0</v>
      </c>
      <c r="AC30" s="122">
        <f t="shared" si="17"/>
        <v>0</v>
      </c>
      <c r="AD30" s="122">
        <f t="shared" si="17"/>
        <v>0</v>
      </c>
      <c r="AE30" s="122">
        <f t="shared" si="3"/>
        <v>0</v>
      </c>
      <c r="AF30" s="122">
        <f t="shared" si="3"/>
        <v>0</v>
      </c>
      <c r="AG30" s="122">
        <f t="shared" si="3"/>
        <v>0</v>
      </c>
      <c r="AH30" s="122">
        <f t="shared" si="3"/>
        <v>0</v>
      </c>
      <c r="AI30" s="122">
        <f t="shared" si="3"/>
        <v>0</v>
      </c>
      <c r="AJ30" s="122">
        <f t="shared" si="3"/>
        <v>0</v>
      </c>
      <c r="AK30" s="122">
        <f t="shared" si="3"/>
        <v>0</v>
      </c>
      <c r="AL30" s="122">
        <f t="shared" si="3"/>
        <v>0</v>
      </c>
      <c r="AM30" s="120">
        <f t="shared" si="4"/>
        <v>0</v>
      </c>
      <c r="AN30" s="133" t="str">
        <f t="shared" si="5"/>
        <v>334F FOC</v>
      </c>
    </row>
    <row r="31" spans="2:40" x14ac:dyDescent="0.35">
      <c r="B31" s="14">
        <v>19</v>
      </c>
      <c r="C31" s="220" t="s">
        <v>115</v>
      </c>
      <c r="D31" s="220" t="s">
        <v>135</v>
      </c>
      <c r="E31" s="232">
        <v>0</v>
      </c>
      <c r="F31" s="139">
        <v>23000</v>
      </c>
      <c r="G31" s="140"/>
      <c r="H31" s="141"/>
      <c r="I31" s="142">
        <f>'[1]Salary Details'!P46</f>
        <v>29400</v>
      </c>
      <c r="J31" s="143">
        <f t="shared" si="0"/>
        <v>0</v>
      </c>
      <c r="K31" s="143">
        <f t="shared" si="1"/>
        <v>0</v>
      </c>
      <c r="L31" s="144">
        <v>500</v>
      </c>
      <c r="M31" s="145">
        <f>L31/$L$44</f>
        <v>3.125E-2</v>
      </c>
      <c r="N31" s="146">
        <v>0.5</v>
      </c>
      <c r="O31" s="105">
        <f t="shared" si="2"/>
        <v>1.3888888888888888E-2</v>
      </c>
      <c r="P31" s="121">
        <f t="shared" si="6"/>
        <v>0</v>
      </c>
      <c r="Q31" s="120">
        <f t="shared" si="7"/>
        <v>0</v>
      </c>
      <c r="R31" s="120">
        <f t="shared" si="8"/>
        <v>0</v>
      </c>
      <c r="S31" s="120">
        <f t="shared" si="9"/>
        <v>0</v>
      </c>
      <c r="T31" s="120">
        <f t="shared" si="10"/>
        <v>0</v>
      </c>
      <c r="U31" s="120">
        <f t="shared" si="11"/>
        <v>41.75</v>
      </c>
      <c r="V31" s="122">
        <f t="shared" si="12"/>
        <v>68.055555555555557</v>
      </c>
      <c r="W31" s="122">
        <f t="shared" si="13"/>
        <v>18.350694444444443</v>
      </c>
      <c r="X31" s="122">
        <f t="shared" si="14"/>
        <v>0</v>
      </c>
      <c r="Y31" s="122">
        <f t="shared" si="14"/>
        <v>0</v>
      </c>
      <c r="Z31" s="122">
        <f t="shared" si="14"/>
        <v>0</v>
      </c>
      <c r="AA31" s="122">
        <f t="shared" si="15"/>
        <v>0</v>
      </c>
      <c r="AB31" s="122">
        <f t="shared" si="16"/>
        <v>0</v>
      </c>
      <c r="AC31" s="122">
        <f t="shared" si="17"/>
        <v>0</v>
      </c>
      <c r="AD31" s="122">
        <f t="shared" si="17"/>
        <v>0</v>
      </c>
      <c r="AE31" s="122">
        <f t="shared" si="3"/>
        <v>49.395625000000003</v>
      </c>
      <c r="AF31" s="122">
        <f t="shared" si="3"/>
        <v>6.1303124999999996</v>
      </c>
      <c r="AG31" s="122">
        <f t="shared" si="3"/>
        <v>0</v>
      </c>
      <c r="AH31" s="122">
        <f t="shared" si="3"/>
        <v>12.65625</v>
      </c>
      <c r="AI31" s="122">
        <f t="shared" si="3"/>
        <v>13.1875</v>
      </c>
      <c r="AJ31" s="122">
        <f t="shared" si="3"/>
        <v>0</v>
      </c>
      <c r="AK31" s="122">
        <f t="shared" si="3"/>
        <v>57.348750000000003</v>
      </c>
      <c r="AL31" s="122">
        <f t="shared" si="3"/>
        <v>145.4375</v>
      </c>
      <c r="AM31" s="120">
        <f t="shared" si="4"/>
        <v>0</v>
      </c>
      <c r="AN31" s="133" t="str">
        <f t="shared" si="5"/>
        <v>335 NRTC 19</v>
      </c>
    </row>
    <row r="32" spans="2:40" x14ac:dyDescent="0.35">
      <c r="B32" s="14">
        <v>20</v>
      </c>
      <c r="C32" s="220" t="s">
        <v>116</v>
      </c>
      <c r="D32" s="220" t="s">
        <v>136</v>
      </c>
      <c r="E32" s="230">
        <v>2657.56</v>
      </c>
      <c r="F32" s="41"/>
      <c r="G32" s="147"/>
      <c r="H32" s="148"/>
      <c r="I32" s="149"/>
      <c r="J32" s="38">
        <f t="shared" si="0"/>
        <v>2.9226408991786992E-2</v>
      </c>
      <c r="K32" s="38">
        <f t="shared" si="1"/>
        <v>1.2843754792134746E-2</v>
      </c>
      <c r="L32" s="39"/>
      <c r="M32" s="40"/>
      <c r="N32" s="150">
        <v>0.5</v>
      </c>
      <c r="O32" s="106">
        <f t="shared" si="2"/>
        <v>1.3888888888888888E-2</v>
      </c>
      <c r="P32" s="121">
        <f t="shared" si="6"/>
        <v>0</v>
      </c>
      <c r="Q32" s="120">
        <f t="shared" si="7"/>
        <v>0</v>
      </c>
      <c r="R32" s="120">
        <f t="shared" si="8"/>
        <v>0</v>
      </c>
      <c r="S32" s="120">
        <f t="shared" si="9"/>
        <v>0</v>
      </c>
      <c r="T32" s="120">
        <f t="shared" si="10"/>
        <v>0</v>
      </c>
      <c r="U32" s="120">
        <f t="shared" si="11"/>
        <v>41.75</v>
      </c>
      <c r="V32" s="122">
        <f t="shared" si="12"/>
        <v>68.055555555555557</v>
      </c>
      <c r="W32" s="122">
        <f t="shared" si="13"/>
        <v>18.350694444444443</v>
      </c>
      <c r="X32" s="122">
        <f t="shared" si="14"/>
        <v>0</v>
      </c>
      <c r="Y32" s="122">
        <f t="shared" si="14"/>
        <v>0</v>
      </c>
      <c r="Z32" s="122">
        <f t="shared" si="14"/>
        <v>0</v>
      </c>
      <c r="AA32" s="122">
        <f t="shared" si="15"/>
        <v>0</v>
      </c>
      <c r="AB32" s="122">
        <f t="shared" si="16"/>
        <v>0</v>
      </c>
      <c r="AC32" s="122">
        <f t="shared" si="17"/>
        <v>0</v>
      </c>
      <c r="AD32" s="122">
        <f t="shared" si="17"/>
        <v>0</v>
      </c>
      <c r="AE32" s="122">
        <f t="shared" si="3"/>
        <v>0</v>
      </c>
      <c r="AF32" s="122">
        <f t="shared" si="3"/>
        <v>0</v>
      </c>
      <c r="AG32" s="122">
        <f t="shared" si="3"/>
        <v>0</v>
      </c>
      <c r="AH32" s="122">
        <f t="shared" si="3"/>
        <v>0</v>
      </c>
      <c r="AI32" s="122">
        <f t="shared" si="3"/>
        <v>0</v>
      </c>
      <c r="AJ32" s="122">
        <f t="shared" si="3"/>
        <v>0</v>
      </c>
      <c r="AK32" s="122">
        <f t="shared" si="3"/>
        <v>0</v>
      </c>
      <c r="AL32" s="122">
        <f t="shared" si="3"/>
        <v>0</v>
      </c>
      <c r="AM32" s="120">
        <f t="shared" si="4"/>
        <v>0</v>
      </c>
      <c r="AN32" s="133" t="str">
        <f t="shared" si="5"/>
        <v>220 Coding</v>
      </c>
    </row>
    <row r="33" spans="2:40" ht="15" thickBot="1" x14ac:dyDescent="0.4">
      <c r="B33" s="14">
        <v>21</v>
      </c>
      <c r="C33" s="220" t="s">
        <v>117</v>
      </c>
      <c r="D33" s="220" t="s">
        <v>137</v>
      </c>
      <c r="E33" s="233">
        <v>5761.34</v>
      </c>
      <c r="F33" s="43">
        <v>24000</v>
      </c>
      <c r="G33" s="151"/>
      <c r="H33" s="152">
        <v>0.5</v>
      </c>
      <c r="I33" s="153">
        <f>'[1]Salary Details'!Q46</f>
        <v>109094.06</v>
      </c>
      <c r="J33" s="154">
        <f t="shared" si="0"/>
        <v>6.3360104449473237E-2</v>
      </c>
      <c r="K33" s="154">
        <f t="shared" si="1"/>
        <v>2.7844051774604372E-2</v>
      </c>
      <c r="L33" s="155">
        <v>500</v>
      </c>
      <c r="M33" s="156">
        <f>L33/$L$44</f>
        <v>3.125E-2</v>
      </c>
      <c r="N33" s="157">
        <v>0.5</v>
      </c>
      <c r="O33" s="158">
        <f t="shared" si="2"/>
        <v>1.3888888888888888E-2</v>
      </c>
      <c r="P33" s="121">
        <f t="shared" si="6"/>
        <v>0</v>
      </c>
      <c r="Q33" s="120">
        <f t="shared" si="7"/>
        <v>0</v>
      </c>
      <c r="R33" s="120">
        <f t="shared" si="8"/>
        <v>0</v>
      </c>
      <c r="S33" s="120">
        <f t="shared" si="9"/>
        <v>0</v>
      </c>
      <c r="T33" s="120">
        <f t="shared" si="10"/>
        <v>0</v>
      </c>
      <c r="U33" s="120">
        <f t="shared" si="11"/>
        <v>41.75</v>
      </c>
      <c r="V33" s="122">
        <f t="shared" si="12"/>
        <v>68.055555555555557</v>
      </c>
      <c r="W33" s="122">
        <f t="shared" si="13"/>
        <v>18.350694444444443</v>
      </c>
      <c r="X33" s="122">
        <f t="shared" si="14"/>
        <v>0</v>
      </c>
      <c r="Y33" s="122">
        <f t="shared" si="14"/>
        <v>0</v>
      </c>
      <c r="Z33" s="122">
        <f t="shared" si="14"/>
        <v>0</v>
      </c>
      <c r="AA33" s="122">
        <f t="shared" si="15"/>
        <v>0</v>
      </c>
      <c r="AB33" s="122">
        <f t="shared" si="16"/>
        <v>0</v>
      </c>
      <c r="AC33" s="122">
        <f t="shared" si="17"/>
        <v>0</v>
      </c>
      <c r="AD33" s="122">
        <f t="shared" si="17"/>
        <v>0</v>
      </c>
      <c r="AE33" s="122">
        <f t="shared" si="3"/>
        <v>49.395625000000003</v>
      </c>
      <c r="AF33" s="122">
        <f t="shared" si="3"/>
        <v>6.1303124999999996</v>
      </c>
      <c r="AG33" s="122">
        <f t="shared" si="3"/>
        <v>0</v>
      </c>
      <c r="AH33" s="122">
        <f t="shared" si="3"/>
        <v>12.65625</v>
      </c>
      <c r="AI33" s="122">
        <f t="shared" si="3"/>
        <v>13.1875</v>
      </c>
      <c r="AJ33" s="122">
        <f t="shared" si="3"/>
        <v>0</v>
      </c>
      <c r="AK33" s="122">
        <f t="shared" si="3"/>
        <v>57.348750000000003</v>
      </c>
      <c r="AL33" s="122">
        <f t="shared" si="3"/>
        <v>145.4375</v>
      </c>
      <c r="AM33" s="120">
        <f t="shared" si="4"/>
        <v>0</v>
      </c>
      <c r="AN33" s="133" t="str">
        <f t="shared" si="5"/>
        <v>368 WF Neigh Revit</v>
      </c>
    </row>
    <row r="34" spans="2:40" x14ac:dyDescent="0.35">
      <c r="B34" s="14">
        <v>22</v>
      </c>
      <c r="C34" s="215" t="s">
        <v>118</v>
      </c>
      <c r="D34" s="215" t="s">
        <v>138</v>
      </c>
      <c r="E34" s="232">
        <v>0</v>
      </c>
      <c r="F34" s="139">
        <v>56000</v>
      </c>
      <c r="G34" s="140"/>
      <c r="H34" s="159"/>
      <c r="I34" s="142">
        <f>'[1]Salary Details'!R46</f>
        <v>250000.06</v>
      </c>
      <c r="J34" s="143">
        <f t="shared" si="0"/>
        <v>0</v>
      </c>
      <c r="K34" s="143">
        <f t="shared" si="1"/>
        <v>0</v>
      </c>
      <c r="L34" s="144">
        <v>1750</v>
      </c>
      <c r="M34" s="145">
        <f>L34/$L$44</f>
        <v>0.109375</v>
      </c>
      <c r="N34" s="146">
        <v>1</v>
      </c>
      <c r="O34" s="105">
        <f t="shared" si="2"/>
        <v>2.7777777777777776E-2</v>
      </c>
      <c r="P34" s="121">
        <f t="shared" si="6"/>
        <v>0</v>
      </c>
      <c r="Q34" s="120">
        <f t="shared" si="7"/>
        <v>0</v>
      </c>
      <c r="R34" s="120">
        <f t="shared" si="8"/>
        <v>0</v>
      </c>
      <c r="S34" s="120">
        <f t="shared" si="9"/>
        <v>0</v>
      </c>
      <c r="T34" s="120">
        <f t="shared" si="10"/>
        <v>0</v>
      </c>
      <c r="U34" s="120">
        <f t="shared" si="11"/>
        <v>83.5</v>
      </c>
      <c r="V34" s="122">
        <f t="shared" si="12"/>
        <v>136.11111111111111</v>
      </c>
      <c r="W34" s="122">
        <f t="shared" si="13"/>
        <v>36.701388888888886</v>
      </c>
      <c r="X34" s="122">
        <f t="shared" si="14"/>
        <v>0</v>
      </c>
      <c r="Y34" s="122">
        <f t="shared" si="14"/>
        <v>0</v>
      </c>
      <c r="Z34" s="122">
        <f t="shared" si="14"/>
        <v>0</v>
      </c>
      <c r="AA34" s="122">
        <f t="shared" si="15"/>
        <v>0</v>
      </c>
      <c r="AB34" s="122">
        <f t="shared" si="16"/>
        <v>0</v>
      </c>
      <c r="AC34" s="122">
        <f t="shared" si="17"/>
        <v>0</v>
      </c>
      <c r="AD34" s="122">
        <f t="shared" si="17"/>
        <v>0</v>
      </c>
      <c r="AE34" s="122">
        <f t="shared" si="3"/>
        <v>172.88468750000001</v>
      </c>
      <c r="AF34" s="122">
        <f t="shared" si="3"/>
        <v>21.456093749999997</v>
      </c>
      <c r="AG34" s="122">
        <f t="shared" si="3"/>
        <v>0</v>
      </c>
      <c r="AH34" s="122">
        <f t="shared" si="3"/>
        <v>44.296875</v>
      </c>
      <c r="AI34" s="122">
        <f t="shared" si="3"/>
        <v>46.15625</v>
      </c>
      <c r="AJ34" s="122">
        <f t="shared" si="3"/>
        <v>0</v>
      </c>
      <c r="AK34" s="122">
        <f t="shared" si="3"/>
        <v>200.72062500000001</v>
      </c>
      <c r="AL34" s="122">
        <f t="shared" si="3"/>
        <v>509.03125</v>
      </c>
      <c r="AM34" s="120">
        <f t="shared" si="4"/>
        <v>0</v>
      </c>
      <c r="AN34" s="133" t="str">
        <f t="shared" si="5"/>
        <v>610 CEO</v>
      </c>
    </row>
    <row r="35" spans="2:40" x14ac:dyDescent="0.35">
      <c r="B35" s="14">
        <v>23</v>
      </c>
      <c r="C35" s="215" t="s">
        <v>119</v>
      </c>
      <c r="D35" s="215" t="s">
        <v>124</v>
      </c>
      <c r="E35" s="230">
        <v>0</v>
      </c>
      <c r="F35" s="41"/>
      <c r="G35" s="147"/>
      <c r="H35" s="160"/>
      <c r="I35" s="149"/>
      <c r="J35" s="38">
        <f t="shared" si="0"/>
        <v>0</v>
      </c>
      <c r="K35" s="38">
        <f t="shared" si="1"/>
        <v>0</v>
      </c>
      <c r="L35" s="39"/>
      <c r="M35" s="40"/>
      <c r="N35" s="150">
        <v>1</v>
      </c>
      <c r="O35" s="106">
        <f t="shared" si="2"/>
        <v>2.7777777777777776E-2</v>
      </c>
      <c r="P35" s="121">
        <f t="shared" si="6"/>
        <v>0</v>
      </c>
      <c r="Q35" s="120">
        <f t="shared" si="7"/>
        <v>0</v>
      </c>
      <c r="R35" s="120">
        <f t="shared" si="8"/>
        <v>0</v>
      </c>
      <c r="S35" s="120">
        <f t="shared" si="9"/>
        <v>0</v>
      </c>
      <c r="T35" s="120">
        <f t="shared" si="10"/>
        <v>0</v>
      </c>
      <c r="U35" s="120">
        <f t="shared" si="11"/>
        <v>83.5</v>
      </c>
      <c r="V35" s="122">
        <f t="shared" si="12"/>
        <v>136.11111111111111</v>
      </c>
      <c r="W35" s="122">
        <f t="shared" si="13"/>
        <v>36.701388888888886</v>
      </c>
      <c r="X35" s="122">
        <f t="shared" si="14"/>
        <v>0</v>
      </c>
      <c r="Y35" s="122">
        <f t="shared" si="14"/>
        <v>0</v>
      </c>
      <c r="Z35" s="122">
        <f t="shared" si="14"/>
        <v>0</v>
      </c>
      <c r="AA35" s="122">
        <f t="shared" si="15"/>
        <v>0</v>
      </c>
      <c r="AB35" s="122">
        <f t="shared" si="16"/>
        <v>0</v>
      </c>
      <c r="AC35" s="122">
        <f t="shared" si="17"/>
        <v>0</v>
      </c>
      <c r="AD35" s="122">
        <f t="shared" si="17"/>
        <v>0</v>
      </c>
      <c r="AE35" s="122">
        <f t="shared" si="3"/>
        <v>0</v>
      </c>
      <c r="AF35" s="122">
        <f t="shared" si="3"/>
        <v>0</v>
      </c>
      <c r="AG35" s="122">
        <f t="shared" si="3"/>
        <v>0</v>
      </c>
      <c r="AH35" s="122">
        <f t="shared" si="3"/>
        <v>0</v>
      </c>
      <c r="AI35" s="122">
        <f t="shared" si="3"/>
        <v>0</v>
      </c>
      <c r="AJ35" s="122">
        <f t="shared" si="3"/>
        <v>0</v>
      </c>
      <c r="AK35" s="122">
        <f t="shared" si="3"/>
        <v>0</v>
      </c>
      <c r="AL35" s="122">
        <f t="shared" si="3"/>
        <v>0</v>
      </c>
      <c r="AM35" s="120">
        <f t="shared" si="4"/>
        <v>0</v>
      </c>
      <c r="AN35" s="133" t="str">
        <f t="shared" si="5"/>
        <v>620 CFO</v>
      </c>
    </row>
    <row r="36" spans="2:40" x14ac:dyDescent="0.35">
      <c r="B36" s="14">
        <v>24</v>
      </c>
      <c r="C36" s="215" t="s">
        <v>120</v>
      </c>
      <c r="D36" s="215" t="s">
        <v>124</v>
      </c>
      <c r="E36" s="230">
        <v>0</v>
      </c>
      <c r="F36" s="41"/>
      <c r="G36" s="147"/>
      <c r="H36" s="160"/>
      <c r="I36" s="149"/>
      <c r="J36" s="38">
        <f t="shared" si="0"/>
        <v>0</v>
      </c>
      <c r="K36" s="38">
        <f t="shared" si="1"/>
        <v>0</v>
      </c>
      <c r="L36" s="39"/>
      <c r="M36" s="40"/>
      <c r="N36" s="150"/>
      <c r="O36" s="106">
        <f t="shared" si="2"/>
        <v>0</v>
      </c>
      <c r="P36" s="121">
        <f t="shared" si="6"/>
        <v>0</v>
      </c>
      <c r="Q36" s="120">
        <f t="shared" si="7"/>
        <v>0</v>
      </c>
      <c r="R36" s="120">
        <f t="shared" si="8"/>
        <v>0</v>
      </c>
      <c r="S36" s="120">
        <f t="shared" si="9"/>
        <v>0</v>
      </c>
      <c r="T36" s="120">
        <f t="shared" si="10"/>
        <v>0</v>
      </c>
      <c r="U36" s="120">
        <f t="shared" si="11"/>
        <v>0</v>
      </c>
      <c r="V36" s="122">
        <f t="shared" si="12"/>
        <v>0</v>
      </c>
      <c r="W36" s="122">
        <f t="shared" si="13"/>
        <v>0</v>
      </c>
      <c r="X36" s="122">
        <f t="shared" si="14"/>
        <v>0</v>
      </c>
      <c r="Y36" s="122">
        <f t="shared" si="14"/>
        <v>0</v>
      </c>
      <c r="Z36" s="122">
        <f t="shared" si="14"/>
        <v>0</v>
      </c>
      <c r="AA36" s="122">
        <f t="shared" si="15"/>
        <v>0</v>
      </c>
      <c r="AB36" s="122">
        <f t="shared" si="16"/>
        <v>0</v>
      </c>
      <c r="AC36" s="122">
        <f t="shared" si="17"/>
        <v>0</v>
      </c>
      <c r="AD36" s="122">
        <f t="shared" si="17"/>
        <v>0</v>
      </c>
      <c r="AE36" s="122">
        <f t="shared" si="3"/>
        <v>0</v>
      </c>
      <c r="AF36" s="122">
        <f t="shared" si="3"/>
        <v>0</v>
      </c>
      <c r="AG36" s="122">
        <f t="shared" si="3"/>
        <v>0</v>
      </c>
      <c r="AH36" s="122">
        <f t="shared" si="3"/>
        <v>0</v>
      </c>
      <c r="AI36" s="122">
        <f t="shared" si="3"/>
        <v>0</v>
      </c>
      <c r="AJ36" s="122">
        <f t="shared" si="3"/>
        <v>0</v>
      </c>
      <c r="AK36" s="122">
        <f t="shared" si="3"/>
        <v>0</v>
      </c>
      <c r="AL36" s="122">
        <f t="shared" si="3"/>
        <v>0</v>
      </c>
      <c r="AM36" s="120">
        <f t="shared" si="4"/>
        <v>0</v>
      </c>
      <c r="AN36" s="133" t="str">
        <f t="shared" si="5"/>
        <v>630 COO</v>
      </c>
    </row>
    <row r="37" spans="2:40" ht="15" thickBot="1" x14ac:dyDescent="0.4">
      <c r="B37" s="14">
        <v>25</v>
      </c>
      <c r="C37" s="215" t="s">
        <v>121</v>
      </c>
      <c r="D37" s="215" t="s">
        <v>124</v>
      </c>
      <c r="E37" s="233">
        <v>1192.3</v>
      </c>
      <c r="F37" s="43"/>
      <c r="G37" s="151"/>
      <c r="H37" s="161"/>
      <c r="I37" s="153"/>
      <c r="J37" s="154">
        <f t="shared" si="0"/>
        <v>1.3112271196476328E-2</v>
      </c>
      <c r="K37" s="154">
        <f t="shared" si="1"/>
        <v>5.7622815058407922E-3</v>
      </c>
      <c r="L37" s="155"/>
      <c r="M37" s="156"/>
      <c r="N37" s="157"/>
      <c r="O37" s="158">
        <f t="shared" si="2"/>
        <v>0</v>
      </c>
      <c r="P37" s="121">
        <f t="shared" si="6"/>
        <v>0</v>
      </c>
      <c r="Q37" s="120">
        <f t="shared" si="7"/>
        <v>0</v>
      </c>
      <c r="R37" s="120">
        <f t="shared" si="8"/>
        <v>0</v>
      </c>
      <c r="S37" s="120">
        <f t="shared" si="9"/>
        <v>0</v>
      </c>
      <c r="T37" s="120">
        <f t="shared" si="10"/>
        <v>0</v>
      </c>
      <c r="U37" s="120">
        <f t="shared" si="11"/>
        <v>0</v>
      </c>
      <c r="V37" s="122">
        <f t="shared" si="12"/>
        <v>0</v>
      </c>
      <c r="W37" s="122">
        <f t="shared" si="13"/>
        <v>0</v>
      </c>
      <c r="X37" s="122">
        <f t="shared" si="14"/>
        <v>0</v>
      </c>
      <c r="Y37" s="122">
        <f t="shared" si="14"/>
        <v>0</v>
      </c>
      <c r="Z37" s="122">
        <f t="shared" si="14"/>
        <v>0</v>
      </c>
      <c r="AA37" s="122">
        <f t="shared" si="15"/>
        <v>0</v>
      </c>
      <c r="AB37" s="122">
        <f t="shared" si="16"/>
        <v>0</v>
      </c>
      <c r="AC37" s="122">
        <f t="shared" si="17"/>
        <v>0</v>
      </c>
      <c r="AD37" s="122">
        <f t="shared" si="17"/>
        <v>0</v>
      </c>
      <c r="AE37" s="122">
        <f t="shared" si="3"/>
        <v>0</v>
      </c>
      <c r="AF37" s="122">
        <f t="shared" si="3"/>
        <v>0</v>
      </c>
      <c r="AG37" s="122">
        <f t="shared" si="3"/>
        <v>0</v>
      </c>
      <c r="AH37" s="122">
        <f t="shared" si="3"/>
        <v>0</v>
      </c>
      <c r="AI37" s="122">
        <f t="shared" si="3"/>
        <v>0</v>
      </c>
      <c r="AJ37" s="122">
        <f t="shared" si="3"/>
        <v>0</v>
      </c>
      <c r="AK37" s="122">
        <f t="shared" si="3"/>
        <v>0</v>
      </c>
      <c r="AL37" s="122">
        <f t="shared" si="3"/>
        <v>0</v>
      </c>
      <c r="AM37" s="120">
        <f t="shared" si="4"/>
        <v>0</v>
      </c>
      <c r="AN37" s="133" t="str">
        <f t="shared" si="5"/>
        <v>700 Fundraising</v>
      </c>
    </row>
    <row r="38" spans="2:40" ht="15" thickBot="1" x14ac:dyDescent="0.4">
      <c r="B38" s="14">
        <v>26</v>
      </c>
      <c r="C38" s="221" t="s">
        <v>122</v>
      </c>
      <c r="D38" s="221" t="s">
        <v>135</v>
      </c>
      <c r="E38" s="232">
        <v>1934.4800000000002</v>
      </c>
      <c r="F38" s="139">
        <v>19000</v>
      </c>
      <c r="G38" s="140"/>
      <c r="H38" s="159"/>
      <c r="I38" s="142">
        <f>'[1]Salary Details'!S46</f>
        <v>80000.179999999993</v>
      </c>
      <c r="J38" s="143"/>
      <c r="K38" s="143">
        <f t="shared" si="1"/>
        <v>9.3491724628188364E-3</v>
      </c>
      <c r="L38" s="144">
        <v>500</v>
      </c>
      <c r="M38" s="145">
        <f t="shared" ref="M38:M43" si="18">L38/$L$44</f>
        <v>3.125E-2</v>
      </c>
      <c r="N38" s="146">
        <f>'[1]Salary Details'!S50</f>
        <v>1</v>
      </c>
      <c r="O38" s="105">
        <f t="shared" si="2"/>
        <v>2.7777777777777776E-2</v>
      </c>
      <c r="P38" s="119"/>
      <c r="Q38" s="120"/>
      <c r="R38" s="120"/>
      <c r="S38" s="120"/>
      <c r="T38" s="120"/>
      <c r="U38" s="120">
        <f t="shared" si="11"/>
        <v>83.5</v>
      </c>
      <c r="V38" s="122">
        <f t="shared" si="12"/>
        <v>136.11111111111111</v>
      </c>
      <c r="W38" s="122">
        <f t="shared" si="13"/>
        <v>36.701388888888886</v>
      </c>
      <c r="X38" s="122">
        <f t="shared" si="14"/>
        <v>0</v>
      </c>
      <c r="Y38" s="122">
        <f t="shared" si="14"/>
        <v>0</v>
      </c>
      <c r="Z38" s="122">
        <f t="shared" si="14"/>
        <v>0</v>
      </c>
      <c r="AA38" s="122">
        <f t="shared" si="15"/>
        <v>0</v>
      </c>
      <c r="AB38" s="122">
        <f t="shared" si="16"/>
        <v>0</v>
      </c>
      <c r="AC38" s="122">
        <f t="shared" si="17"/>
        <v>0</v>
      </c>
      <c r="AD38" s="122">
        <f t="shared" si="17"/>
        <v>0</v>
      </c>
      <c r="AE38" s="122">
        <f t="shared" ref="AE38:AL43" si="19">$M38*AE$7</f>
        <v>49.395625000000003</v>
      </c>
      <c r="AF38" s="122">
        <f t="shared" si="19"/>
        <v>6.1303124999999996</v>
      </c>
      <c r="AG38" s="122">
        <f t="shared" si="19"/>
        <v>0</v>
      </c>
      <c r="AH38" s="122">
        <f t="shared" si="19"/>
        <v>12.65625</v>
      </c>
      <c r="AI38" s="122">
        <f t="shared" si="19"/>
        <v>13.1875</v>
      </c>
      <c r="AJ38" s="122">
        <f t="shared" si="19"/>
        <v>0</v>
      </c>
      <c r="AK38" s="122">
        <f t="shared" si="19"/>
        <v>57.348750000000003</v>
      </c>
      <c r="AL38" s="122">
        <f t="shared" si="19"/>
        <v>145.4375</v>
      </c>
      <c r="AM38" s="120">
        <f t="shared" si="4"/>
        <v>0</v>
      </c>
      <c r="AN38" s="133" t="str">
        <f t="shared" si="5"/>
        <v>339 ULEC Opport Corp</v>
      </c>
    </row>
    <row r="39" spans="2:40" ht="15" thickBot="1" x14ac:dyDescent="0.4">
      <c r="B39" s="14">
        <v>27</v>
      </c>
      <c r="C39" s="191" t="s">
        <v>29</v>
      </c>
      <c r="D39" s="191"/>
      <c r="E39" s="192">
        <v>114050</v>
      </c>
      <c r="F39" s="193">
        <v>36000</v>
      </c>
      <c r="G39" s="194"/>
      <c r="H39" s="195">
        <v>0.5</v>
      </c>
      <c r="I39" s="196">
        <v>1000000</v>
      </c>
      <c r="J39" s="193"/>
      <c r="K39" s="193">
        <f t="shared" si="1"/>
        <v>0.55119366412911386</v>
      </c>
      <c r="L39" s="197">
        <v>500</v>
      </c>
      <c r="M39" s="193">
        <f t="shared" si="18"/>
        <v>3.125E-2</v>
      </c>
      <c r="N39" s="198">
        <v>0</v>
      </c>
      <c r="O39" s="193">
        <f t="shared" si="2"/>
        <v>0</v>
      </c>
      <c r="P39" s="199"/>
      <c r="Q39" s="200"/>
      <c r="R39" s="200"/>
      <c r="S39" s="200"/>
      <c r="T39" s="200"/>
      <c r="U39" s="200">
        <f t="shared" si="11"/>
        <v>0</v>
      </c>
      <c r="V39" s="201">
        <f t="shared" si="12"/>
        <v>0</v>
      </c>
      <c r="W39" s="201">
        <f t="shared" si="13"/>
        <v>0</v>
      </c>
      <c r="X39" s="201">
        <f t="shared" si="14"/>
        <v>0</v>
      </c>
      <c r="Y39" s="201">
        <f t="shared" si="14"/>
        <v>0</v>
      </c>
      <c r="Z39" s="201">
        <f t="shared" si="14"/>
        <v>0</v>
      </c>
      <c r="AA39" s="201">
        <f t="shared" si="15"/>
        <v>0</v>
      </c>
      <c r="AB39" s="201">
        <f t="shared" si="16"/>
        <v>0</v>
      </c>
      <c r="AC39" s="203">
        <f t="shared" si="17"/>
        <v>0</v>
      </c>
      <c r="AD39" s="203">
        <f t="shared" si="17"/>
        <v>0</v>
      </c>
      <c r="AE39" s="204">
        <f t="shared" si="19"/>
        <v>49.395625000000003</v>
      </c>
      <c r="AF39" s="204">
        <f t="shared" si="19"/>
        <v>6.1303124999999996</v>
      </c>
      <c r="AG39" s="204">
        <f t="shared" si="19"/>
        <v>0</v>
      </c>
      <c r="AH39" s="204">
        <f t="shared" si="19"/>
        <v>12.65625</v>
      </c>
      <c r="AI39" s="204">
        <f t="shared" si="19"/>
        <v>13.1875</v>
      </c>
      <c r="AJ39" s="204">
        <f t="shared" si="19"/>
        <v>0</v>
      </c>
      <c r="AK39" s="204">
        <f t="shared" si="19"/>
        <v>57.348750000000003</v>
      </c>
      <c r="AL39" s="205">
        <f t="shared" si="19"/>
        <v>145.4375</v>
      </c>
      <c r="AM39" s="200">
        <f t="shared" si="4"/>
        <v>0</v>
      </c>
      <c r="AN39" s="202" t="str">
        <f t="shared" si="5"/>
        <v>Participants</v>
      </c>
    </row>
    <row r="40" spans="2:40" x14ac:dyDescent="0.35">
      <c r="B40" s="14">
        <v>28</v>
      </c>
      <c r="C40" s="131" t="s">
        <v>30</v>
      </c>
      <c r="D40" s="131"/>
      <c r="E40" s="138"/>
      <c r="F40" s="139">
        <v>8000</v>
      </c>
      <c r="G40" s="169"/>
      <c r="H40" s="159"/>
      <c r="I40" s="170"/>
      <c r="J40" s="143"/>
      <c r="K40" s="143">
        <f t="shared" si="1"/>
        <v>0</v>
      </c>
      <c r="L40" s="171">
        <v>750</v>
      </c>
      <c r="M40" s="172">
        <f t="shared" si="18"/>
        <v>4.6875E-2</v>
      </c>
      <c r="N40" s="146"/>
      <c r="O40" s="105">
        <f t="shared" si="2"/>
        <v>0</v>
      </c>
      <c r="P40" s="119"/>
      <c r="Q40" s="120"/>
      <c r="R40" s="120"/>
      <c r="S40" s="120"/>
      <c r="T40" s="120"/>
      <c r="U40" s="120">
        <f t="shared" ref="U40" si="20">O40*$U$9</f>
        <v>0</v>
      </c>
      <c r="V40" s="122">
        <f t="shared" si="12"/>
        <v>0</v>
      </c>
      <c r="W40" s="122">
        <f t="shared" si="13"/>
        <v>0</v>
      </c>
      <c r="X40" s="122">
        <f t="shared" si="14"/>
        <v>0</v>
      </c>
      <c r="Y40" s="122">
        <f t="shared" si="14"/>
        <v>0</v>
      </c>
      <c r="Z40" s="122">
        <f t="shared" si="14"/>
        <v>0</v>
      </c>
      <c r="AA40" s="122">
        <f t="shared" si="15"/>
        <v>0</v>
      </c>
      <c r="AB40" s="122">
        <f t="shared" si="16"/>
        <v>0</v>
      </c>
      <c r="AC40" s="135">
        <f t="shared" si="17"/>
        <v>0</v>
      </c>
      <c r="AD40" s="135">
        <f t="shared" si="17"/>
        <v>0</v>
      </c>
      <c r="AE40" s="135">
        <f t="shared" si="19"/>
        <v>74.093437500000007</v>
      </c>
      <c r="AF40" s="135">
        <f t="shared" si="19"/>
        <v>9.1954687499999999</v>
      </c>
      <c r="AG40" s="135">
        <f t="shared" si="19"/>
        <v>0</v>
      </c>
      <c r="AH40" s="135">
        <f t="shared" si="19"/>
        <v>18.984375</v>
      </c>
      <c r="AI40" s="135">
        <f t="shared" si="19"/>
        <v>19.78125</v>
      </c>
      <c r="AJ40" s="135">
        <f t="shared" si="19"/>
        <v>0</v>
      </c>
      <c r="AK40" s="135">
        <f t="shared" si="19"/>
        <v>86.023125000000007</v>
      </c>
      <c r="AL40" s="135">
        <f t="shared" si="19"/>
        <v>218.15625</v>
      </c>
      <c r="AM40" s="120">
        <f t="shared" si="4"/>
        <v>0</v>
      </c>
      <c r="AN40" s="133" t="str">
        <f t="shared" si="5"/>
        <v>Training Space</v>
      </c>
    </row>
    <row r="41" spans="2:40" x14ac:dyDescent="0.35">
      <c r="B41" s="14">
        <v>29</v>
      </c>
      <c r="C41" s="131" t="s">
        <v>31</v>
      </c>
      <c r="D41" s="131"/>
      <c r="E41" s="35"/>
      <c r="F41" s="41">
        <v>13000</v>
      </c>
      <c r="G41" s="173"/>
      <c r="H41" s="160"/>
      <c r="I41" s="174"/>
      <c r="J41" s="38"/>
      <c r="K41" s="38">
        <f t="shared" si="1"/>
        <v>0</v>
      </c>
      <c r="L41" s="136">
        <v>1250</v>
      </c>
      <c r="M41" s="137">
        <f t="shared" si="18"/>
        <v>7.8125E-2</v>
      </c>
      <c r="N41" s="150"/>
      <c r="O41" s="106">
        <f t="shared" si="2"/>
        <v>0</v>
      </c>
      <c r="P41" s="119"/>
      <c r="Q41" s="120"/>
      <c r="R41" s="120"/>
      <c r="S41" s="120"/>
      <c r="T41" s="120"/>
      <c r="U41" s="120"/>
      <c r="V41" s="122">
        <f t="shared" si="12"/>
        <v>0</v>
      </c>
      <c r="W41" s="122">
        <f t="shared" si="13"/>
        <v>0</v>
      </c>
      <c r="X41" s="122">
        <f t="shared" si="14"/>
        <v>0</v>
      </c>
      <c r="Y41" s="122">
        <f t="shared" si="14"/>
        <v>0</v>
      </c>
      <c r="Z41" s="122">
        <f t="shared" si="14"/>
        <v>0</v>
      </c>
      <c r="AA41" s="122">
        <f t="shared" si="15"/>
        <v>0</v>
      </c>
      <c r="AB41" s="122">
        <f t="shared" si="16"/>
        <v>0</v>
      </c>
      <c r="AC41" s="135">
        <f t="shared" si="17"/>
        <v>0</v>
      </c>
      <c r="AD41" s="135">
        <f t="shared" si="17"/>
        <v>0</v>
      </c>
      <c r="AE41" s="135">
        <f t="shared" si="19"/>
        <v>123.4890625</v>
      </c>
      <c r="AF41" s="135">
        <f t="shared" si="19"/>
        <v>15.325781249999999</v>
      </c>
      <c r="AG41" s="135">
        <f t="shared" si="19"/>
        <v>0</v>
      </c>
      <c r="AH41" s="135">
        <f t="shared" si="19"/>
        <v>31.640625</v>
      </c>
      <c r="AI41" s="135">
        <f t="shared" si="19"/>
        <v>32.96875</v>
      </c>
      <c r="AJ41" s="135">
        <f t="shared" si="19"/>
        <v>0</v>
      </c>
      <c r="AK41" s="135">
        <f t="shared" si="19"/>
        <v>143.37187500000002</v>
      </c>
      <c r="AL41" s="135">
        <f t="shared" si="19"/>
        <v>363.59375</v>
      </c>
      <c r="AM41" s="120">
        <f t="shared" si="4"/>
        <v>0</v>
      </c>
      <c r="AN41" s="133" t="str">
        <f t="shared" si="5"/>
        <v>Conference Rooms</v>
      </c>
    </row>
    <row r="42" spans="2:40" x14ac:dyDescent="0.35">
      <c r="C42" s="131" t="s">
        <v>32</v>
      </c>
      <c r="D42" s="131"/>
      <c r="E42" s="35"/>
      <c r="F42" s="41">
        <v>14000</v>
      </c>
      <c r="G42" s="173"/>
      <c r="H42" s="160"/>
      <c r="I42" s="174"/>
      <c r="J42" s="38"/>
      <c r="K42" s="38">
        <f>J42/$I$44</f>
        <v>0</v>
      </c>
      <c r="L42" s="136">
        <v>1250</v>
      </c>
      <c r="M42" s="137">
        <f t="shared" si="18"/>
        <v>7.8125E-2</v>
      </c>
      <c r="N42" s="150"/>
      <c r="O42" s="106">
        <f t="shared" si="2"/>
        <v>0</v>
      </c>
      <c r="P42" s="119"/>
      <c r="Q42" s="120"/>
      <c r="R42" s="120"/>
      <c r="S42" s="120"/>
      <c r="T42" s="120"/>
      <c r="U42" s="120"/>
      <c r="V42" s="122"/>
      <c r="W42" s="122"/>
      <c r="X42" s="122"/>
      <c r="Y42" s="122"/>
      <c r="Z42" s="122"/>
      <c r="AA42" s="122"/>
      <c r="AB42" s="122"/>
      <c r="AC42" s="135">
        <f t="shared" si="17"/>
        <v>0</v>
      </c>
      <c r="AD42" s="135">
        <f t="shared" si="17"/>
        <v>0</v>
      </c>
      <c r="AE42" s="135">
        <f t="shared" si="19"/>
        <v>123.4890625</v>
      </c>
      <c r="AF42" s="135">
        <f t="shared" si="19"/>
        <v>15.325781249999999</v>
      </c>
      <c r="AG42" s="135">
        <f t="shared" si="19"/>
        <v>0</v>
      </c>
      <c r="AH42" s="135">
        <f t="shared" si="19"/>
        <v>31.640625</v>
      </c>
      <c r="AI42" s="135">
        <f t="shared" si="19"/>
        <v>32.96875</v>
      </c>
      <c r="AJ42" s="135">
        <f t="shared" si="19"/>
        <v>0</v>
      </c>
      <c r="AK42" s="135">
        <f t="shared" si="19"/>
        <v>143.37187500000002</v>
      </c>
      <c r="AL42" s="135">
        <f t="shared" si="19"/>
        <v>363.59375</v>
      </c>
      <c r="AM42" s="120">
        <f t="shared" si="4"/>
        <v>0</v>
      </c>
      <c r="AN42" s="133" t="str">
        <f t="shared" si="5"/>
        <v>Common Areas</v>
      </c>
    </row>
    <row r="43" spans="2:40" ht="15" thickBot="1" x14ac:dyDescent="0.4">
      <c r="C43" s="131" t="s">
        <v>33</v>
      </c>
      <c r="D43" s="131"/>
      <c r="E43" s="42"/>
      <c r="F43" s="43">
        <v>5000</v>
      </c>
      <c r="G43" s="165"/>
      <c r="H43" s="161"/>
      <c r="I43" s="166"/>
      <c r="J43" s="154"/>
      <c r="K43" s="154">
        <f>J43/$I$44</f>
        <v>0</v>
      </c>
      <c r="L43" s="175">
        <v>500</v>
      </c>
      <c r="M43" s="176">
        <f t="shared" si="18"/>
        <v>3.125E-2</v>
      </c>
      <c r="N43" s="157"/>
      <c r="O43" s="158"/>
      <c r="P43" s="119"/>
      <c r="Q43" s="120"/>
      <c r="R43" s="120"/>
      <c r="S43" s="120"/>
      <c r="T43" s="120"/>
      <c r="U43" s="120"/>
      <c r="V43" s="122"/>
      <c r="W43" s="122"/>
      <c r="X43" s="122"/>
      <c r="Y43" s="122"/>
      <c r="Z43" s="122"/>
      <c r="AA43" s="122"/>
      <c r="AB43" s="122"/>
      <c r="AC43" s="135">
        <f t="shared" si="17"/>
        <v>0</v>
      </c>
      <c r="AD43" s="135">
        <f t="shared" si="17"/>
        <v>0</v>
      </c>
      <c r="AE43" s="135">
        <f t="shared" si="19"/>
        <v>49.395625000000003</v>
      </c>
      <c r="AF43" s="135">
        <f t="shared" si="19"/>
        <v>6.1303124999999996</v>
      </c>
      <c r="AG43" s="135">
        <f t="shared" si="19"/>
        <v>0</v>
      </c>
      <c r="AH43" s="135">
        <f t="shared" si="19"/>
        <v>12.65625</v>
      </c>
      <c r="AI43" s="135">
        <f t="shared" si="19"/>
        <v>13.1875</v>
      </c>
      <c r="AJ43" s="135">
        <f t="shared" si="19"/>
        <v>0</v>
      </c>
      <c r="AK43" s="135">
        <f t="shared" si="19"/>
        <v>57.348750000000003</v>
      </c>
      <c r="AL43" s="135">
        <f t="shared" si="19"/>
        <v>145.4375</v>
      </c>
      <c r="AM43" s="120">
        <f t="shared" si="4"/>
        <v>0</v>
      </c>
      <c r="AN43" s="133" t="str">
        <f t="shared" si="5"/>
        <v>Kitchen Space</v>
      </c>
    </row>
    <row r="44" spans="2:40" ht="15" thickBot="1" x14ac:dyDescent="0.4">
      <c r="C44" s="132"/>
      <c r="D44" s="206"/>
      <c r="E44" s="112">
        <f>SUM(E13:E43)</f>
        <v>206914.56999999998</v>
      </c>
      <c r="F44" s="43">
        <f>SUM(F14:F43)</f>
        <v>539000</v>
      </c>
      <c r="I44" s="167">
        <f>SUM(I14:I43)</f>
        <v>2647780.42</v>
      </c>
      <c r="J44" s="154">
        <f>SUM(J38:J43)</f>
        <v>0</v>
      </c>
      <c r="K44" s="154">
        <f>SUM(K14:K43)</f>
        <v>1</v>
      </c>
      <c r="L44" s="155">
        <f>SUM(L12:L43)</f>
        <v>16000</v>
      </c>
      <c r="M44" s="156">
        <f>SUM(M12:M43)</f>
        <v>1</v>
      </c>
      <c r="N44" s="168">
        <f>SUM(N12:N43)</f>
        <v>36</v>
      </c>
      <c r="O44" s="158">
        <f>SUM(O12:O43)</f>
        <v>1</v>
      </c>
      <c r="P44" s="123">
        <f>SUM(P14:P37)</f>
        <v>0</v>
      </c>
      <c r="Q44" s="123">
        <f>SUM(Q14:Q37)</f>
        <v>0</v>
      </c>
      <c r="R44" s="123">
        <f>SUM(R14:R37)</f>
        <v>0</v>
      </c>
      <c r="S44" s="123">
        <f>SUM(S14:S37)</f>
        <v>0</v>
      </c>
      <c r="T44" s="123">
        <f>SUM(T14:T37)</f>
        <v>0</v>
      </c>
      <c r="U44" s="124">
        <f t="shared" ref="U44:AB44" si="21">SUM(U14:U39)</f>
        <v>3006</v>
      </c>
      <c r="V44" s="125">
        <f t="shared" si="21"/>
        <v>4900.0000000000027</v>
      </c>
      <c r="W44" s="125">
        <f t="shared" si="21"/>
        <v>1321.2499999999998</v>
      </c>
      <c r="X44" s="125">
        <f t="shared" si="21"/>
        <v>0</v>
      </c>
      <c r="Y44" s="125">
        <f t="shared" ref="Y44:Z44" si="22">SUM(Y14:Y39)</f>
        <v>0</v>
      </c>
      <c r="Z44" s="125">
        <f t="shared" si="22"/>
        <v>0</v>
      </c>
      <c r="AA44" s="125">
        <f t="shared" si="21"/>
        <v>0</v>
      </c>
      <c r="AB44" s="125">
        <f t="shared" si="21"/>
        <v>0</v>
      </c>
      <c r="AC44" s="125">
        <f t="shared" ref="AC44:AM44" si="23">SUM(AC14:AC43)</f>
        <v>0</v>
      </c>
      <c r="AD44" s="125">
        <f t="shared" ref="AD44" si="24">SUM(AD14:AD43)</f>
        <v>0</v>
      </c>
      <c r="AE44" s="125">
        <f t="shared" si="23"/>
        <v>1580.6600000000005</v>
      </c>
      <c r="AF44" s="125">
        <f t="shared" ref="AF44" si="25">SUM(AF14:AF43)</f>
        <v>196.17000000000004</v>
      </c>
      <c r="AG44" s="125">
        <f t="shared" si="23"/>
        <v>0</v>
      </c>
      <c r="AH44" s="125">
        <f t="shared" ref="AH44:AJ44" si="26">SUM(AH14:AH43)</f>
        <v>405</v>
      </c>
      <c r="AI44" s="125">
        <f t="shared" si="26"/>
        <v>422</v>
      </c>
      <c r="AJ44" s="125">
        <f t="shared" si="26"/>
        <v>0</v>
      </c>
      <c r="AK44" s="125">
        <f t="shared" si="23"/>
        <v>1835.1600000000005</v>
      </c>
      <c r="AL44" s="125">
        <f t="shared" si="23"/>
        <v>4654</v>
      </c>
      <c r="AM44" s="125">
        <f t="shared" si="23"/>
        <v>0</v>
      </c>
      <c r="AN44" s="134"/>
    </row>
    <row r="45" spans="2:40" x14ac:dyDescent="0.35">
      <c r="E45" s="91"/>
      <c r="I45" s="104">
        <f>SUM(I14:I38)</f>
        <v>1647780.42</v>
      </c>
      <c r="J45" s="45"/>
      <c r="K45" s="45"/>
      <c r="L45" s="44"/>
      <c r="M45" s="44"/>
      <c r="N45" s="45"/>
      <c r="O45" s="45"/>
      <c r="P45" s="46">
        <f t="shared" ref="P45:AM45" si="27">P7-P44</f>
        <v>0</v>
      </c>
      <c r="Q45" s="46">
        <f t="shared" si="27"/>
        <v>0</v>
      </c>
      <c r="R45" s="46">
        <f t="shared" si="27"/>
        <v>0</v>
      </c>
      <c r="S45" s="46">
        <f t="shared" si="27"/>
        <v>0</v>
      </c>
      <c r="T45" s="46">
        <f t="shared" si="27"/>
        <v>0</v>
      </c>
      <c r="U45" s="46">
        <f t="shared" si="27"/>
        <v>0</v>
      </c>
      <c r="V45" s="46">
        <f t="shared" si="27"/>
        <v>0</v>
      </c>
      <c r="W45" s="46">
        <f t="shared" si="27"/>
        <v>0</v>
      </c>
      <c r="X45" s="46">
        <f t="shared" si="27"/>
        <v>0</v>
      </c>
      <c r="Y45" s="46">
        <f t="shared" ref="Y45:Z45" si="28">Y7-Y44</f>
        <v>724.55</v>
      </c>
      <c r="Z45" s="46">
        <f t="shared" si="28"/>
        <v>0</v>
      </c>
      <c r="AA45" s="46">
        <f t="shared" si="27"/>
        <v>0</v>
      </c>
      <c r="AB45" s="46">
        <f t="shared" si="27"/>
        <v>0</v>
      </c>
      <c r="AC45" s="46">
        <f t="shared" si="27"/>
        <v>0</v>
      </c>
      <c r="AD45" s="46">
        <f t="shared" ref="AD45" si="29">AD7-AD44</f>
        <v>0</v>
      </c>
      <c r="AE45" s="46">
        <f t="shared" si="27"/>
        <v>0</v>
      </c>
      <c r="AF45" s="46">
        <f t="shared" ref="AF45" si="30">AF7-AF44</f>
        <v>0</v>
      </c>
      <c r="AG45" s="46">
        <f t="shared" si="27"/>
        <v>0</v>
      </c>
      <c r="AH45" s="46">
        <f t="shared" ref="AH45:AJ45" si="31">AH7-AH44</f>
        <v>0</v>
      </c>
      <c r="AI45" s="46">
        <f t="shared" si="31"/>
        <v>0</v>
      </c>
      <c r="AJ45" s="46">
        <f t="shared" si="31"/>
        <v>0</v>
      </c>
      <c r="AK45" s="46">
        <f t="shared" si="27"/>
        <v>0</v>
      </c>
      <c r="AL45" s="46">
        <f t="shared" si="27"/>
        <v>0</v>
      </c>
      <c r="AM45" s="46">
        <f t="shared" si="27"/>
        <v>0</v>
      </c>
    </row>
    <row r="46" spans="2:40" ht="15.5" x14ac:dyDescent="0.45">
      <c r="E46" s="91"/>
      <c r="P46" s="94" t="s">
        <v>0</v>
      </c>
      <c r="Q46" s="11" t="s">
        <v>1</v>
      </c>
      <c r="R46" s="11" t="s">
        <v>2</v>
      </c>
      <c r="S46" s="11" t="s">
        <v>3</v>
      </c>
      <c r="T46" s="11" t="s">
        <v>4</v>
      </c>
      <c r="U46" s="11" t="s">
        <v>5</v>
      </c>
      <c r="V46" s="12" t="s">
        <v>6</v>
      </c>
      <c r="W46" s="13" t="s">
        <v>7</v>
      </c>
      <c r="X46" s="13" t="s">
        <v>8</v>
      </c>
      <c r="Y46" s="13" t="s">
        <v>8</v>
      </c>
      <c r="Z46" s="13" t="s">
        <v>8</v>
      </c>
      <c r="AA46" s="13" t="s">
        <v>9</v>
      </c>
      <c r="AB46" s="13" t="s">
        <v>10</v>
      </c>
      <c r="AC46" s="13" t="s">
        <v>11</v>
      </c>
      <c r="AD46" s="13" t="s">
        <v>11</v>
      </c>
      <c r="AE46" s="13" t="s">
        <v>12</v>
      </c>
      <c r="AF46" s="13" t="s">
        <v>12</v>
      </c>
      <c r="AG46" s="13" t="s">
        <v>13</v>
      </c>
      <c r="AH46" s="13" t="s">
        <v>13</v>
      </c>
      <c r="AI46" s="13" t="s">
        <v>13</v>
      </c>
      <c r="AJ46" s="13" t="s">
        <v>13</v>
      </c>
      <c r="AK46" s="13" t="s">
        <v>14</v>
      </c>
      <c r="AL46" s="13" t="s">
        <v>15</v>
      </c>
      <c r="AM46" s="13" t="s">
        <v>87</v>
      </c>
    </row>
    <row r="47" spans="2:40" x14ac:dyDescent="0.35">
      <c r="B47" s="14">
        <v>26</v>
      </c>
      <c r="C47" s="131"/>
      <c r="D47" s="207"/>
      <c r="E47" s="162">
        <f>SUM(E14:E37)</f>
        <v>90930.089999999982</v>
      </c>
      <c r="F47" s="163">
        <f>SUM(F14:F37)</f>
        <v>444000</v>
      </c>
      <c r="G47" s="163">
        <f>SUM(G14:G37)</f>
        <v>0</v>
      </c>
      <c r="H47" s="163"/>
      <c r="I47" s="163"/>
      <c r="J47" s="164">
        <f>SUM(J14:J37)</f>
        <v>1.0000000000000002</v>
      </c>
      <c r="K47" s="38"/>
      <c r="L47" s="39"/>
      <c r="M47" s="40"/>
      <c r="N47" s="23"/>
      <c r="O47" s="106">
        <f>N47/$N$44</f>
        <v>0</v>
      </c>
      <c r="P47" s="98" t="s">
        <v>18</v>
      </c>
      <c r="Q47" s="25" t="s">
        <v>18</v>
      </c>
      <c r="R47" s="25" t="s">
        <v>18</v>
      </c>
      <c r="S47" s="25" t="s">
        <v>18</v>
      </c>
      <c r="T47" s="25" t="s">
        <v>18</v>
      </c>
      <c r="U47" s="26" t="s">
        <v>19</v>
      </c>
      <c r="V47" s="26" t="s">
        <v>19</v>
      </c>
      <c r="W47" s="26" t="s">
        <v>19</v>
      </c>
      <c r="X47" s="26" t="s">
        <v>19</v>
      </c>
      <c r="Y47" s="26" t="s">
        <v>19</v>
      </c>
      <c r="Z47" s="26" t="s">
        <v>19</v>
      </c>
      <c r="AA47" s="26" t="s">
        <v>19</v>
      </c>
      <c r="AB47" s="26" t="s">
        <v>19</v>
      </c>
      <c r="AC47" s="27" t="s">
        <v>20</v>
      </c>
      <c r="AD47" s="27" t="s">
        <v>20</v>
      </c>
      <c r="AE47" s="27" t="s">
        <v>20</v>
      </c>
      <c r="AF47" s="27" t="s">
        <v>20</v>
      </c>
      <c r="AG47" s="27" t="s">
        <v>20</v>
      </c>
      <c r="AH47" s="27" t="s">
        <v>20</v>
      </c>
      <c r="AI47" s="27" t="s">
        <v>20</v>
      </c>
      <c r="AJ47" s="27" t="s">
        <v>20</v>
      </c>
      <c r="AK47" s="27" t="s">
        <v>20</v>
      </c>
      <c r="AL47" s="27" t="s">
        <v>20</v>
      </c>
      <c r="AM47" s="100" t="s">
        <v>18</v>
      </c>
      <c r="AN47" s="133"/>
    </row>
    <row r="49" spans="3:8" x14ac:dyDescent="0.35">
      <c r="C49" s="36" t="s">
        <v>34</v>
      </c>
      <c r="D49" s="36"/>
      <c r="E49" s="36" t="s">
        <v>35</v>
      </c>
      <c r="F49" s="36"/>
      <c r="G49" s="47">
        <v>14</v>
      </c>
      <c r="H49" s="48">
        <v>5500</v>
      </c>
    </row>
    <row r="50" spans="3:8" ht="15" thickBot="1" x14ac:dyDescent="0.4">
      <c r="C50" s="36"/>
      <c r="D50" s="36"/>
      <c r="E50" s="36"/>
      <c r="F50" s="36"/>
      <c r="G50" s="47"/>
      <c r="H50" s="47"/>
    </row>
    <row r="51" spans="3:8" x14ac:dyDescent="0.35">
      <c r="C51" s="50" t="s">
        <v>36</v>
      </c>
      <c r="D51" s="51"/>
      <c r="E51" s="51" t="s">
        <v>37</v>
      </c>
      <c r="F51" s="52" t="s">
        <v>38</v>
      </c>
      <c r="G51" s="47"/>
      <c r="H51" s="47">
        <v>0</v>
      </c>
    </row>
    <row r="52" spans="3:8" x14ac:dyDescent="0.35">
      <c r="C52" s="53" t="s">
        <v>39</v>
      </c>
      <c r="D52" s="208"/>
      <c r="E52" s="54" t="s">
        <v>37</v>
      </c>
      <c r="F52" s="55" t="s">
        <v>38</v>
      </c>
      <c r="G52" s="56">
        <v>2</v>
      </c>
      <c r="H52" s="56">
        <v>250</v>
      </c>
    </row>
    <row r="53" spans="3:8" x14ac:dyDescent="0.35">
      <c r="C53" s="53" t="s">
        <v>26</v>
      </c>
      <c r="D53" s="208"/>
      <c r="E53" s="54" t="s">
        <v>40</v>
      </c>
      <c r="F53" s="55" t="s">
        <v>38</v>
      </c>
      <c r="G53" s="56">
        <v>4</v>
      </c>
      <c r="H53" s="56">
        <v>1500</v>
      </c>
    </row>
    <row r="54" spans="3:8" x14ac:dyDescent="0.35">
      <c r="C54" s="57" t="s">
        <v>32</v>
      </c>
      <c r="D54" s="209"/>
      <c r="E54" s="58" t="s">
        <v>41</v>
      </c>
      <c r="F54" s="59" t="s">
        <v>38</v>
      </c>
      <c r="G54" s="47"/>
      <c r="H54" s="47">
        <v>250</v>
      </c>
    </row>
    <row r="55" spans="3:8" x14ac:dyDescent="0.35">
      <c r="C55" s="57"/>
      <c r="D55" s="209"/>
      <c r="E55" s="58"/>
      <c r="F55" s="59"/>
      <c r="G55" s="47"/>
      <c r="H55" s="47"/>
    </row>
    <row r="56" spans="3:8" x14ac:dyDescent="0.35">
      <c r="C56" s="57" t="s">
        <v>42</v>
      </c>
      <c r="D56" s="209"/>
      <c r="E56" s="58" t="s">
        <v>43</v>
      </c>
      <c r="F56" s="59" t="s">
        <v>44</v>
      </c>
      <c r="G56" s="47"/>
      <c r="H56" s="47">
        <v>750</v>
      </c>
    </row>
    <row r="57" spans="3:8" x14ac:dyDescent="0.35">
      <c r="C57" s="57" t="s">
        <v>45</v>
      </c>
      <c r="D57" s="209"/>
      <c r="E57" s="58" t="s">
        <v>43</v>
      </c>
      <c r="F57" s="59" t="s">
        <v>44</v>
      </c>
      <c r="G57" s="47"/>
      <c r="H57" s="47">
        <v>1250</v>
      </c>
    </row>
    <row r="58" spans="3:8" x14ac:dyDescent="0.35">
      <c r="C58" s="57"/>
      <c r="D58" s="209"/>
      <c r="E58" s="58"/>
      <c r="F58" s="59"/>
      <c r="G58" s="47"/>
      <c r="H58" s="47"/>
    </row>
    <row r="59" spans="3:8" x14ac:dyDescent="0.35">
      <c r="C59" s="57" t="s">
        <v>46</v>
      </c>
      <c r="D59" s="209"/>
      <c r="E59" s="58" t="s">
        <v>47</v>
      </c>
      <c r="F59" s="59" t="s">
        <v>48</v>
      </c>
      <c r="G59" s="47"/>
      <c r="H59" s="47">
        <v>0</v>
      </c>
    </row>
    <row r="60" spans="3:8" x14ac:dyDescent="0.35">
      <c r="C60" s="53" t="s">
        <v>49</v>
      </c>
      <c r="D60" s="208"/>
      <c r="E60" s="54" t="s">
        <v>47</v>
      </c>
      <c r="F60" s="55" t="s">
        <v>48</v>
      </c>
      <c r="G60" s="56">
        <v>1.5</v>
      </c>
      <c r="H60" s="56">
        <v>500</v>
      </c>
    </row>
    <row r="61" spans="3:8" x14ac:dyDescent="0.35">
      <c r="C61" s="60" t="s">
        <v>50</v>
      </c>
      <c r="D61" s="210"/>
      <c r="E61" s="61" t="s">
        <v>47</v>
      </c>
      <c r="F61" s="62" t="s">
        <v>48</v>
      </c>
      <c r="G61" s="63">
        <v>0.5</v>
      </c>
      <c r="H61" s="63">
        <v>250</v>
      </c>
    </row>
    <row r="62" spans="3:8" x14ac:dyDescent="0.35">
      <c r="C62" s="57" t="s">
        <v>51</v>
      </c>
      <c r="D62" s="209"/>
      <c r="E62" s="58" t="s">
        <v>47</v>
      </c>
      <c r="F62" s="59" t="s">
        <v>48</v>
      </c>
      <c r="G62" s="47">
        <v>1</v>
      </c>
      <c r="H62" s="47">
        <v>250</v>
      </c>
    </row>
    <row r="63" spans="3:8" x14ac:dyDescent="0.35">
      <c r="C63" s="57" t="s">
        <v>33</v>
      </c>
      <c r="D63" s="209"/>
      <c r="E63" s="58" t="s">
        <v>47</v>
      </c>
      <c r="F63" s="59" t="s">
        <v>48</v>
      </c>
      <c r="G63" s="47"/>
      <c r="H63" s="47">
        <v>500</v>
      </c>
    </row>
    <row r="64" spans="3:8" x14ac:dyDescent="0.35">
      <c r="C64" s="64" t="s">
        <v>52</v>
      </c>
      <c r="D64" s="211"/>
      <c r="E64" s="65" t="s">
        <v>47</v>
      </c>
      <c r="F64" s="66" t="s">
        <v>48</v>
      </c>
      <c r="G64" s="67">
        <v>1</v>
      </c>
      <c r="H64" s="67">
        <v>500</v>
      </c>
    </row>
    <row r="65" spans="3:8" x14ac:dyDescent="0.35">
      <c r="C65" s="57"/>
      <c r="D65" s="209"/>
      <c r="E65" s="58"/>
      <c r="F65" s="59"/>
      <c r="G65" s="47"/>
      <c r="H65" s="47">
        <v>0</v>
      </c>
    </row>
    <row r="66" spans="3:8" ht="15" thickBot="1" x14ac:dyDescent="0.4">
      <c r="C66" s="68"/>
      <c r="D66" s="69"/>
      <c r="E66" s="69"/>
      <c r="F66" s="70"/>
      <c r="G66" s="47"/>
      <c r="H66" s="47">
        <v>0</v>
      </c>
    </row>
    <row r="67" spans="3:8" ht="15" thickBot="1" x14ac:dyDescent="0.4">
      <c r="C67" s="36"/>
      <c r="D67" s="36"/>
      <c r="E67" s="36"/>
      <c r="F67" s="36"/>
      <c r="G67" s="47"/>
      <c r="H67" s="47"/>
    </row>
    <row r="68" spans="3:8" x14ac:dyDescent="0.35">
      <c r="C68" s="71" t="s">
        <v>53</v>
      </c>
      <c r="D68" s="72"/>
      <c r="E68" s="72" t="s">
        <v>41</v>
      </c>
      <c r="F68" s="73" t="s">
        <v>38</v>
      </c>
      <c r="G68" s="74">
        <v>5</v>
      </c>
      <c r="H68" s="74">
        <v>1000</v>
      </c>
    </row>
    <row r="69" spans="3:8" x14ac:dyDescent="0.35">
      <c r="C69" s="75" t="s">
        <v>32</v>
      </c>
      <c r="D69" s="212"/>
      <c r="E69" s="76" t="s">
        <v>54</v>
      </c>
      <c r="F69" s="77" t="s">
        <v>44</v>
      </c>
      <c r="G69" s="47"/>
      <c r="H69" s="47">
        <v>500</v>
      </c>
    </row>
    <row r="70" spans="3:8" x14ac:dyDescent="0.35">
      <c r="C70" s="78" t="s">
        <v>55</v>
      </c>
      <c r="D70" s="213"/>
      <c r="E70" s="79" t="s">
        <v>56</v>
      </c>
      <c r="F70" s="80" t="s">
        <v>38</v>
      </c>
      <c r="G70" s="81">
        <v>2</v>
      </c>
      <c r="H70" s="81">
        <v>750</v>
      </c>
    </row>
    <row r="71" spans="3:8" x14ac:dyDescent="0.35">
      <c r="C71" s="75"/>
      <c r="D71" s="212"/>
      <c r="E71" s="76"/>
      <c r="F71" s="77"/>
      <c r="G71" s="47"/>
      <c r="H71" s="47"/>
    </row>
    <row r="72" spans="3:8" x14ac:dyDescent="0.35">
      <c r="C72" s="82" t="s">
        <v>57</v>
      </c>
      <c r="D72" s="214"/>
      <c r="E72" s="83" t="s">
        <v>54</v>
      </c>
      <c r="F72" s="84" t="s">
        <v>44</v>
      </c>
      <c r="G72" s="85">
        <v>1</v>
      </c>
      <c r="H72" s="85">
        <v>250</v>
      </c>
    </row>
    <row r="73" spans="3:8" x14ac:dyDescent="0.35">
      <c r="C73" s="75" t="s">
        <v>58</v>
      </c>
      <c r="D73" s="212"/>
      <c r="E73" s="76" t="s">
        <v>54</v>
      </c>
      <c r="F73" s="77" t="s">
        <v>44</v>
      </c>
      <c r="G73" s="47"/>
      <c r="H73" s="47">
        <v>0</v>
      </c>
    </row>
    <row r="74" spans="3:8" x14ac:dyDescent="0.35">
      <c r="C74" s="75" t="s">
        <v>59</v>
      </c>
      <c r="D74" s="212"/>
      <c r="E74" s="76" t="s">
        <v>54</v>
      </c>
      <c r="F74" s="77" t="s">
        <v>44</v>
      </c>
      <c r="G74" s="47">
        <v>1</v>
      </c>
      <c r="H74" s="47">
        <v>1000</v>
      </c>
    </row>
    <row r="75" spans="3:8" x14ac:dyDescent="0.35">
      <c r="C75" s="75" t="s">
        <v>60</v>
      </c>
      <c r="D75" s="212"/>
      <c r="E75" s="76" t="s">
        <v>54</v>
      </c>
      <c r="F75" s="77" t="s">
        <v>44</v>
      </c>
      <c r="G75" s="47">
        <v>1</v>
      </c>
      <c r="H75" s="47">
        <v>500</v>
      </c>
    </row>
    <row r="76" spans="3:8" x14ac:dyDescent="0.35">
      <c r="C76" s="75" t="s">
        <v>32</v>
      </c>
      <c r="D76" s="212"/>
      <c r="E76" s="76" t="s">
        <v>54</v>
      </c>
      <c r="F76" s="77" t="s">
        <v>44</v>
      </c>
      <c r="G76" s="47"/>
      <c r="H76" s="47">
        <v>500</v>
      </c>
    </row>
    <row r="77" spans="3:8" x14ac:dyDescent="0.35">
      <c r="C77" s="75" t="s">
        <v>61</v>
      </c>
      <c r="D77" s="212"/>
      <c r="E77" s="76" t="s">
        <v>54</v>
      </c>
      <c r="F77" s="77" t="s">
        <v>44</v>
      </c>
      <c r="G77" s="47"/>
      <c r="H77" s="47">
        <v>0</v>
      </c>
    </row>
    <row r="78" spans="3:8" ht="15" thickBot="1" x14ac:dyDescent="0.4">
      <c r="C78" s="86" t="s">
        <v>62</v>
      </c>
      <c r="D78" s="87"/>
      <c r="E78" s="87" t="s">
        <v>54</v>
      </c>
      <c r="F78" s="88" t="s">
        <v>44</v>
      </c>
      <c r="G78" s="47"/>
      <c r="H78" s="47">
        <v>0</v>
      </c>
    </row>
    <row r="79" spans="3:8" x14ac:dyDescent="0.35">
      <c r="C79" s="36"/>
      <c r="D79" s="36"/>
      <c r="E79" s="36"/>
      <c r="F79" s="36"/>
      <c r="G79" s="47"/>
      <c r="H79" s="47"/>
    </row>
    <row r="80" spans="3:8" x14ac:dyDescent="0.35">
      <c r="C80" s="36" t="s">
        <v>63</v>
      </c>
      <c r="D80" s="36"/>
      <c r="E80" s="36" t="s">
        <v>64</v>
      </c>
      <c r="F80" s="36" t="s">
        <v>65</v>
      </c>
      <c r="G80" s="47"/>
      <c r="H80" s="47"/>
    </row>
    <row r="81" spans="3:8" x14ac:dyDescent="0.35">
      <c r="C81" s="36" t="s">
        <v>24</v>
      </c>
      <c r="D81" s="36"/>
      <c r="E81" s="36" t="s">
        <v>66</v>
      </c>
      <c r="F81" s="36"/>
      <c r="G81" s="47"/>
      <c r="H81" s="48"/>
    </row>
    <row r="82" spans="3:8" x14ac:dyDescent="0.35">
      <c r="G82" s="1"/>
      <c r="H82" s="89"/>
    </row>
    <row r="83" spans="3:8" x14ac:dyDescent="0.35">
      <c r="C83" s="236" t="s">
        <v>67</v>
      </c>
      <c r="G83" s="90">
        <f>SUM(G49:G82)</f>
        <v>34</v>
      </c>
      <c r="H83" s="90">
        <f>SUM(H49:H82)</f>
        <v>16000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621"/>
  <sheetViews>
    <sheetView workbookViewId="0">
      <selection activeCell="B1" sqref="B1:C1048576"/>
    </sheetView>
  </sheetViews>
  <sheetFormatPr defaultRowHeight="14.5" x14ac:dyDescent="0.35"/>
  <cols>
    <col min="1" max="1" width="9.54296875" style="252" bestFit="1" customWidth="1"/>
    <col min="2" max="2" width="14.90625" style="237" bestFit="1" customWidth="1"/>
    <col min="3" max="3" width="86.08984375" style="237" bestFit="1" customWidth="1"/>
    <col min="4" max="4" width="22.36328125" style="252" customWidth="1"/>
    <col min="5" max="5" width="33.54296875" style="252" customWidth="1"/>
    <col min="6" max="6" width="86.81640625" style="252" customWidth="1"/>
    <col min="7" max="16384" width="8.7265625" style="252"/>
  </cols>
  <sheetData>
    <row r="1" spans="2:6" x14ac:dyDescent="0.35">
      <c r="B1" s="237" t="s">
        <v>953</v>
      </c>
      <c r="C1" s="237" t="s">
        <v>146</v>
      </c>
      <c r="D1" s="253"/>
      <c r="E1" s="253"/>
      <c r="F1" s="253"/>
    </row>
    <row r="2" spans="2:6" x14ac:dyDescent="0.35">
      <c r="B2" s="237">
        <v>1000</v>
      </c>
      <c r="C2" s="237" t="s">
        <v>733</v>
      </c>
      <c r="D2" s="254"/>
      <c r="E2" s="254"/>
      <c r="F2" s="254"/>
    </row>
    <row r="3" spans="2:6" x14ac:dyDescent="0.35">
      <c r="B3" s="237">
        <v>1001</v>
      </c>
      <c r="C3" s="237" t="s">
        <v>954</v>
      </c>
      <c r="D3" s="254"/>
      <c r="E3" s="254"/>
      <c r="F3" s="254"/>
    </row>
    <row r="4" spans="2:6" x14ac:dyDescent="0.35">
      <c r="B4" s="237">
        <v>1005</v>
      </c>
      <c r="C4" s="237" t="s">
        <v>955</v>
      </c>
      <c r="D4" s="254"/>
      <c r="E4" s="254"/>
      <c r="F4" s="254"/>
    </row>
    <row r="5" spans="2:6" x14ac:dyDescent="0.35">
      <c r="B5" s="237">
        <v>1010</v>
      </c>
      <c r="C5" s="237" t="s">
        <v>956</v>
      </c>
      <c r="D5" s="254"/>
      <c r="E5" s="254"/>
      <c r="F5" s="254"/>
    </row>
    <row r="6" spans="2:6" x14ac:dyDescent="0.35">
      <c r="B6" s="237">
        <v>1012</v>
      </c>
      <c r="C6" s="237" t="s">
        <v>957</v>
      </c>
      <c r="D6" s="254"/>
      <c r="E6" s="254"/>
      <c r="F6" s="254"/>
    </row>
    <row r="7" spans="2:6" x14ac:dyDescent="0.35">
      <c r="B7" s="237">
        <v>1014</v>
      </c>
      <c r="C7" s="237" t="s">
        <v>958</v>
      </c>
      <c r="D7" s="254"/>
      <c r="E7" s="254"/>
      <c r="F7" s="254"/>
    </row>
    <row r="8" spans="2:6" x14ac:dyDescent="0.35">
      <c r="B8" s="237">
        <v>1015</v>
      </c>
      <c r="C8" s="237" t="s">
        <v>959</v>
      </c>
      <c r="D8" s="254"/>
      <c r="E8" s="254"/>
      <c r="F8" s="254"/>
    </row>
    <row r="9" spans="2:6" x14ac:dyDescent="0.35">
      <c r="B9" s="237">
        <v>1016</v>
      </c>
      <c r="C9" s="237" t="s">
        <v>960</v>
      </c>
      <c r="D9" s="254"/>
      <c r="E9" s="254"/>
      <c r="F9" s="254"/>
    </row>
    <row r="10" spans="2:6" x14ac:dyDescent="0.35">
      <c r="B10" s="237">
        <v>1017</v>
      </c>
      <c r="C10" s="237" t="s">
        <v>961</v>
      </c>
      <c r="D10" s="254"/>
      <c r="E10" s="254"/>
      <c r="F10" s="254"/>
    </row>
    <row r="11" spans="2:6" x14ac:dyDescent="0.35">
      <c r="B11" s="237">
        <v>1021</v>
      </c>
      <c r="C11" s="237" t="s">
        <v>734</v>
      </c>
      <c r="D11" s="254"/>
      <c r="E11" s="254"/>
      <c r="F11" s="254"/>
    </row>
    <row r="12" spans="2:6" x14ac:dyDescent="0.35">
      <c r="B12" s="237">
        <v>1025</v>
      </c>
      <c r="C12" s="237" t="s">
        <v>962</v>
      </c>
      <c r="D12" s="254"/>
      <c r="E12" s="254"/>
      <c r="F12" s="254"/>
    </row>
    <row r="13" spans="2:6" x14ac:dyDescent="0.35">
      <c r="B13" s="237">
        <v>1030</v>
      </c>
      <c r="C13" s="237" t="s">
        <v>963</v>
      </c>
      <c r="D13" s="254"/>
      <c r="E13" s="254"/>
      <c r="F13" s="254"/>
    </row>
    <row r="14" spans="2:6" x14ac:dyDescent="0.35">
      <c r="B14" s="237">
        <v>1035</v>
      </c>
      <c r="C14" s="237" t="s">
        <v>964</v>
      </c>
      <c r="D14" s="254"/>
      <c r="E14" s="254"/>
      <c r="F14" s="254"/>
    </row>
    <row r="15" spans="2:6" x14ac:dyDescent="0.35">
      <c r="B15" s="237">
        <v>1040</v>
      </c>
      <c r="C15" s="237" t="s">
        <v>965</v>
      </c>
      <c r="D15" s="254"/>
      <c r="E15" s="254"/>
      <c r="F15" s="254"/>
    </row>
    <row r="16" spans="2:6" x14ac:dyDescent="0.35">
      <c r="B16" s="237">
        <v>1045</v>
      </c>
      <c r="C16" s="237" t="s">
        <v>966</v>
      </c>
      <c r="D16" s="254"/>
      <c r="E16" s="254"/>
      <c r="F16" s="254"/>
    </row>
    <row r="17" spans="2:6" x14ac:dyDescent="0.35">
      <c r="B17" s="237">
        <v>1050</v>
      </c>
      <c r="C17" s="237" t="s">
        <v>967</v>
      </c>
      <c r="D17" s="254"/>
      <c r="E17" s="254"/>
      <c r="F17" s="254"/>
    </row>
    <row r="18" spans="2:6" x14ac:dyDescent="0.35">
      <c r="B18" s="237">
        <v>1070</v>
      </c>
      <c r="C18" s="237" t="s">
        <v>968</v>
      </c>
      <c r="D18" s="254"/>
      <c r="E18" s="254"/>
      <c r="F18" s="254"/>
    </row>
    <row r="19" spans="2:6" x14ac:dyDescent="0.35">
      <c r="B19" s="237">
        <v>1071</v>
      </c>
      <c r="C19" s="237" t="s">
        <v>882</v>
      </c>
      <c r="D19" s="254"/>
      <c r="E19" s="254"/>
      <c r="F19" s="254"/>
    </row>
    <row r="20" spans="2:6" x14ac:dyDescent="0.35">
      <c r="B20" s="237">
        <v>1072</v>
      </c>
      <c r="C20" s="237" t="s">
        <v>883</v>
      </c>
      <c r="D20" s="254"/>
      <c r="E20" s="254"/>
      <c r="F20" s="254"/>
    </row>
    <row r="21" spans="2:6" x14ac:dyDescent="0.35">
      <c r="B21" s="237">
        <v>1085</v>
      </c>
      <c r="C21" s="237" t="s">
        <v>969</v>
      </c>
      <c r="D21" s="254"/>
      <c r="E21" s="254"/>
      <c r="F21" s="254"/>
    </row>
    <row r="22" spans="2:6" x14ac:dyDescent="0.35">
      <c r="B22" s="237">
        <v>1086</v>
      </c>
      <c r="C22" s="237" t="s">
        <v>970</v>
      </c>
      <c r="D22" s="254"/>
      <c r="E22" s="254"/>
      <c r="F22" s="254"/>
    </row>
    <row r="23" spans="2:6" x14ac:dyDescent="0.35">
      <c r="B23" s="237">
        <v>1087</v>
      </c>
      <c r="C23" s="237" t="s">
        <v>971</v>
      </c>
      <c r="D23" s="254"/>
      <c r="E23" s="254"/>
      <c r="F23" s="254"/>
    </row>
    <row r="24" spans="2:6" x14ac:dyDescent="0.35">
      <c r="B24" s="237">
        <v>1090</v>
      </c>
      <c r="C24" s="237" t="s">
        <v>972</v>
      </c>
      <c r="D24" s="254"/>
      <c r="E24" s="254"/>
      <c r="F24" s="254"/>
    </row>
    <row r="25" spans="2:6" x14ac:dyDescent="0.35">
      <c r="B25" s="237">
        <v>1091</v>
      </c>
      <c r="C25" s="237" t="s">
        <v>735</v>
      </c>
      <c r="D25" s="254"/>
      <c r="E25" s="254"/>
      <c r="F25" s="254"/>
    </row>
    <row r="26" spans="2:6" x14ac:dyDescent="0.35">
      <c r="B26" s="237">
        <v>1092</v>
      </c>
      <c r="C26" s="237" t="s">
        <v>736</v>
      </c>
      <c r="D26" s="254"/>
      <c r="E26" s="254"/>
      <c r="F26" s="254"/>
    </row>
    <row r="27" spans="2:6" x14ac:dyDescent="0.35">
      <c r="B27" s="237">
        <v>1093</v>
      </c>
      <c r="C27" s="237" t="s">
        <v>973</v>
      </c>
      <c r="D27" s="254"/>
      <c r="E27" s="254"/>
      <c r="F27" s="254"/>
    </row>
    <row r="28" spans="2:6" x14ac:dyDescent="0.35">
      <c r="B28" s="237">
        <v>1100</v>
      </c>
      <c r="C28" s="237" t="s">
        <v>737</v>
      </c>
      <c r="D28" s="254"/>
      <c r="E28" s="254"/>
      <c r="F28" s="254"/>
    </row>
    <row r="29" spans="2:6" x14ac:dyDescent="0.35">
      <c r="B29" s="237">
        <v>1101</v>
      </c>
      <c r="C29" s="237" t="s">
        <v>738</v>
      </c>
      <c r="D29" s="254"/>
      <c r="E29" s="254"/>
      <c r="F29" s="254"/>
    </row>
    <row r="30" spans="2:6" x14ac:dyDescent="0.35">
      <c r="B30" s="237">
        <v>1400</v>
      </c>
      <c r="C30" s="237" t="s">
        <v>739</v>
      </c>
      <c r="D30" s="254"/>
      <c r="E30" s="254"/>
      <c r="F30" s="254"/>
    </row>
    <row r="31" spans="2:6" x14ac:dyDescent="0.35">
      <c r="B31" s="237">
        <v>1410</v>
      </c>
      <c r="C31" s="237" t="s">
        <v>974</v>
      </c>
      <c r="D31" s="254"/>
      <c r="E31" s="254"/>
      <c r="F31" s="254"/>
    </row>
    <row r="32" spans="2:6" x14ac:dyDescent="0.35">
      <c r="B32" s="237">
        <v>1420</v>
      </c>
      <c r="C32" s="237" t="s">
        <v>975</v>
      </c>
      <c r="D32" s="254"/>
      <c r="E32" s="254"/>
      <c r="F32" s="254"/>
    </row>
    <row r="33" spans="2:6" x14ac:dyDescent="0.35">
      <c r="B33" s="237">
        <v>1421</v>
      </c>
      <c r="C33" s="237" t="s">
        <v>740</v>
      </c>
      <c r="D33" s="254"/>
      <c r="E33" s="254"/>
      <c r="F33" s="254"/>
    </row>
    <row r="34" spans="2:6" x14ac:dyDescent="0.35">
      <c r="B34" s="237">
        <v>1422</v>
      </c>
      <c r="C34" s="237" t="s">
        <v>976</v>
      </c>
      <c r="D34" s="254"/>
      <c r="E34" s="254"/>
      <c r="F34" s="254"/>
    </row>
    <row r="35" spans="2:6" x14ac:dyDescent="0.35">
      <c r="B35" s="237">
        <v>1430</v>
      </c>
      <c r="C35" s="237" t="s">
        <v>977</v>
      </c>
      <c r="D35" s="254"/>
      <c r="E35" s="254"/>
      <c r="F35" s="254"/>
    </row>
    <row r="36" spans="2:6" x14ac:dyDescent="0.35">
      <c r="B36" s="237">
        <v>1440</v>
      </c>
      <c r="C36" s="237" t="s">
        <v>741</v>
      </c>
      <c r="D36" s="254"/>
      <c r="E36" s="254"/>
      <c r="F36" s="254"/>
    </row>
    <row r="37" spans="2:6" x14ac:dyDescent="0.35">
      <c r="B37" s="237">
        <v>1445</v>
      </c>
      <c r="C37" s="237" t="s">
        <v>978</v>
      </c>
      <c r="D37" s="254"/>
      <c r="E37" s="254"/>
      <c r="F37" s="254"/>
    </row>
    <row r="38" spans="2:6" x14ac:dyDescent="0.35">
      <c r="B38" s="237">
        <v>1446</v>
      </c>
      <c r="C38" s="237" t="s">
        <v>979</v>
      </c>
      <c r="D38" s="254"/>
      <c r="E38" s="254"/>
      <c r="F38" s="254"/>
    </row>
    <row r="39" spans="2:6" x14ac:dyDescent="0.35">
      <c r="B39" s="237">
        <v>1447</v>
      </c>
      <c r="C39" s="237" t="s">
        <v>980</v>
      </c>
      <c r="D39" s="254"/>
      <c r="E39" s="254"/>
      <c r="F39" s="254"/>
    </row>
    <row r="40" spans="2:6" x14ac:dyDescent="0.35">
      <c r="B40" s="237">
        <v>1450</v>
      </c>
      <c r="C40" s="237" t="s">
        <v>742</v>
      </c>
      <c r="D40" s="254"/>
      <c r="E40" s="254"/>
      <c r="F40" s="254"/>
    </row>
    <row r="41" spans="2:6" x14ac:dyDescent="0.35">
      <c r="B41" s="237">
        <v>1450.1</v>
      </c>
      <c r="C41" s="237" t="s">
        <v>981</v>
      </c>
      <c r="D41" s="254"/>
      <c r="E41" s="254"/>
      <c r="F41" s="254"/>
    </row>
    <row r="42" spans="2:6" x14ac:dyDescent="0.35">
      <c r="B42" s="237">
        <v>1451</v>
      </c>
      <c r="C42" s="237" t="s">
        <v>743</v>
      </c>
      <c r="D42" s="254"/>
      <c r="E42" s="254"/>
      <c r="F42" s="254"/>
    </row>
    <row r="43" spans="2:6" x14ac:dyDescent="0.35">
      <c r="B43" s="237">
        <v>1451.1</v>
      </c>
      <c r="C43" s="237" t="s">
        <v>982</v>
      </c>
      <c r="D43" s="254"/>
      <c r="E43" s="254"/>
      <c r="F43" s="254"/>
    </row>
    <row r="44" spans="2:6" x14ac:dyDescent="0.35">
      <c r="B44" s="237">
        <v>1452</v>
      </c>
      <c r="C44" s="237" t="s">
        <v>744</v>
      </c>
      <c r="D44" s="254"/>
      <c r="E44" s="254"/>
      <c r="F44" s="254"/>
    </row>
    <row r="45" spans="2:6" x14ac:dyDescent="0.35">
      <c r="B45" s="237">
        <v>1452.1</v>
      </c>
      <c r="C45" s="237" t="s">
        <v>745</v>
      </c>
      <c r="D45" s="254"/>
      <c r="E45" s="254"/>
      <c r="F45" s="254"/>
    </row>
    <row r="46" spans="2:6" x14ac:dyDescent="0.35">
      <c r="B46" s="237">
        <v>1452.2</v>
      </c>
      <c r="C46" s="237" t="s">
        <v>983</v>
      </c>
      <c r="D46" s="254"/>
      <c r="E46" s="254"/>
      <c r="F46" s="254"/>
    </row>
    <row r="47" spans="2:6" x14ac:dyDescent="0.35">
      <c r="B47" s="237">
        <v>1452.3</v>
      </c>
      <c r="C47" s="237" t="s">
        <v>746</v>
      </c>
      <c r="D47" s="254"/>
      <c r="E47" s="254"/>
      <c r="F47" s="254"/>
    </row>
    <row r="48" spans="2:6" x14ac:dyDescent="0.35">
      <c r="B48" s="237">
        <v>1453</v>
      </c>
      <c r="C48" s="237" t="s">
        <v>747</v>
      </c>
      <c r="D48" s="254"/>
      <c r="E48" s="254"/>
      <c r="F48" s="254"/>
    </row>
    <row r="49" spans="2:6" x14ac:dyDescent="0.35">
      <c r="B49" s="237">
        <v>1454</v>
      </c>
      <c r="C49" s="237" t="s">
        <v>984</v>
      </c>
      <c r="D49" s="254"/>
      <c r="E49" s="254"/>
      <c r="F49" s="254"/>
    </row>
    <row r="50" spans="2:6" x14ac:dyDescent="0.35">
      <c r="B50" s="237">
        <v>1454.1</v>
      </c>
      <c r="C50" s="237" t="s">
        <v>748</v>
      </c>
      <c r="D50" s="254"/>
      <c r="E50" s="254"/>
      <c r="F50" s="254"/>
    </row>
    <row r="51" spans="2:6" x14ac:dyDescent="0.35">
      <c r="B51" s="237">
        <v>1454.2</v>
      </c>
      <c r="C51" s="237" t="s">
        <v>985</v>
      </c>
      <c r="D51" s="254"/>
      <c r="E51" s="254"/>
      <c r="F51" s="254"/>
    </row>
    <row r="52" spans="2:6" x14ac:dyDescent="0.35">
      <c r="B52" s="237">
        <v>1455</v>
      </c>
      <c r="C52" s="237" t="s">
        <v>749</v>
      </c>
      <c r="D52" s="254"/>
      <c r="E52" s="254"/>
      <c r="F52" s="254"/>
    </row>
    <row r="53" spans="2:6" x14ac:dyDescent="0.35">
      <c r="B53" s="237">
        <v>1456</v>
      </c>
      <c r="C53" s="237" t="s">
        <v>750</v>
      </c>
      <c r="D53" s="254"/>
      <c r="E53" s="254"/>
      <c r="F53" s="254"/>
    </row>
    <row r="54" spans="2:6" x14ac:dyDescent="0.35">
      <c r="B54" s="237">
        <v>1457</v>
      </c>
      <c r="C54" s="237" t="s">
        <v>751</v>
      </c>
      <c r="D54" s="254"/>
      <c r="E54" s="254"/>
      <c r="F54" s="254"/>
    </row>
    <row r="55" spans="2:6" x14ac:dyDescent="0.35">
      <c r="B55" s="237">
        <v>1457.1</v>
      </c>
      <c r="C55" s="237" t="s">
        <v>986</v>
      </c>
      <c r="D55" s="254"/>
      <c r="E55" s="254"/>
      <c r="F55" s="254"/>
    </row>
    <row r="56" spans="2:6" x14ac:dyDescent="0.35">
      <c r="B56" s="237">
        <v>1458</v>
      </c>
      <c r="C56" s="237" t="s">
        <v>752</v>
      </c>
      <c r="D56" s="254"/>
      <c r="E56" s="254"/>
      <c r="F56" s="254"/>
    </row>
    <row r="57" spans="2:6" x14ac:dyDescent="0.35">
      <c r="B57" s="237">
        <v>1458.2</v>
      </c>
      <c r="C57" s="237" t="s">
        <v>753</v>
      </c>
      <c r="D57" s="254"/>
      <c r="E57" s="254"/>
      <c r="F57" s="254"/>
    </row>
    <row r="58" spans="2:6" x14ac:dyDescent="0.35">
      <c r="B58" s="237">
        <v>1460</v>
      </c>
      <c r="C58" s="237" t="s">
        <v>754</v>
      </c>
      <c r="D58" s="254"/>
      <c r="E58" s="254"/>
      <c r="F58" s="254"/>
    </row>
    <row r="59" spans="2:6" x14ac:dyDescent="0.35">
      <c r="B59" s="237">
        <v>1461</v>
      </c>
      <c r="C59" s="237" t="s">
        <v>755</v>
      </c>
      <c r="D59" s="254"/>
      <c r="E59" s="254"/>
      <c r="F59" s="254"/>
    </row>
    <row r="60" spans="2:6" x14ac:dyDescent="0.35">
      <c r="B60" s="237">
        <v>1462</v>
      </c>
      <c r="C60" s="237" t="s">
        <v>756</v>
      </c>
      <c r="D60" s="254"/>
      <c r="E60" s="254"/>
      <c r="F60" s="254"/>
    </row>
    <row r="61" spans="2:6" x14ac:dyDescent="0.35">
      <c r="B61" s="237">
        <v>1463</v>
      </c>
      <c r="C61" s="237" t="s">
        <v>987</v>
      </c>
      <c r="D61" s="254"/>
      <c r="E61" s="254"/>
      <c r="F61" s="254"/>
    </row>
    <row r="62" spans="2:6" x14ac:dyDescent="0.35">
      <c r="B62" s="237">
        <v>1463.1</v>
      </c>
      <c r="C62" s="237" t="s">
        <v>988</v>
      </c>
      <c r="D62" s="254"/>
      <c r="E62" s="254"/>
      <c r="F62" s="254"/>
    </row>
    <row r="63" spans="2:6" x14ac:dyDescent="0.35">
      <c r="B63" s="237">
        <v>1463.2</v>
      </c>
      <c r="C63" s="237" t="s">
        <v>989</v>
      </c>
      <c r="D63" s="254"/>
      <c r="E63" s="254"/>
      <c r="F63" s="254"/>
    </row>
    <row r="64" spans="2:6" x14ac:dyDescent="0.35">
      <c r="B64" s="237">
        <v>1463.3</v>
      </c>
      <c r="C64" s="237" t="s">
        <v>990</v>
      </c>
      <c r="D64" s="254"/>
      <c r="E64" s="254"/>
      <c r="F64" s="254"/>
    </row>
    <row r="65" spans="2:6" x14ac:dyDescent="0.35">
      <c r="B65" s="237">
        <v>1463.4</v>
      </c>
      <c r="C65" s="237" t="s">
        <v>991</v>
      </c>
      <c r="D65" s="254"/>
      <c r="E65" s="254"/>
      <c r="F65" s="254"/>
    </row>
    <row r="66" spans="2:6" x14ac:dyDescent="0.35">
      <c r="B66" s="237">
        <v>1464</v>
      </c>
      <c r="C66" s="237" t="s">
        <v>757</v>
      </c>
      <c r="D66" s="254"/>
      <c r="E66" s="254"/>
      <c r="F66" s="254"/>
    </row>
    <row r="67" spans="2:6" x14ac:dyDescent="0.35">
      <c r="B67" s="237">
        <v>1465</v>
      </c>
      <c r="C67" s="237" t="s">
        <v>758</v>
      </c>
      <c r="D67" s="254"/>
      <c r="E67" s="254"/>
      <c r="F67" s="254"/>
    </row>
    <row r="68" spans="2:6" x14ac:dyDescent="0.35">
      <c r="B68" s="237">
        <v>1465.1</v>
      </c>
      <c r="C68" s="237" t="s">
        <v>899</v>
      </c>
      <c r="D68" s="254"/>
      <c r="E68" s="254"/>
      <c r="F68" s="254"/>
    </row>
    <row r="69" spans="2:6" x14ac:dyDescent="0.35">
      <c r="B69" s="237">
        <v>1465.2</v>
      </c>
      <c r="C69" s="237" t="s">
        <v>759</v>
      </c>
      <c r="D69" s="254"/>
      <c r="E69" s="254"/>
      <c r="F69" s="254"/>
    </row>
    <row r="70" spans="2:6" x14ac:dyDescent="0.35">
      <c r="B70" s="237">
        <v>1465.3</v>
      </c>
      <c r="C70" s="237" t="s">
        <v>760</v>
      </c>
      <c r="D70" s="254"/>
      <c r="E70" s="254"/>
      <c r="F70" s="254"/>
    </row>
    <row r="71" spans="2:6" x14ac:dyDescent="0.35">
      <c r="B71" s="237">
        <v>1467</v>
      </c>
      <c r="C71" s="237" t="s">
        <v>761</v>
      </c>
      <c r="D71" s="254"/>
      <c r="E71" s="254"/>
      <c r="F71" s="254"/>
    </row>
    <row r="72" spans="2:6" x14ac:dyDescent="0.35">
      <c r="B72" s="237">
        <v>1468</v>
      </c>
      <c r="C72" s="237" t="s">
        <v>762</v>
      </c>
      <c r="D72" s="254"/>
      <c r="E72" s="254"/>
      <c r="F72" s="254"/>
    </row>
    <row r="73" spans="2:6" x14ac:dyDescent="0.35">
      <c r="B73" s="237">
        <v>1469</v>
      </c>
      <c r="C73" s="237" t="s">
        <v>992</v>
      </c>
      <c r="D73" s="254"/>
      <c r="E73" s="254"/>
      <c r="F73" s="254"/>
    </row>
    <row r="74" spans="2:6" x14ac:dyDescent="0.35">
      <c r="B74" s="237">
        <v>1470</v>
      </c>
      <c r="C74" s="237" t="s">
        <v>993</v>
      </c>
      <c r="D74" s="254"/>
      <c r="E74" s="254"/>
      <c r="F74" s="254"/>
    </row>
    <row r="75" spans="2:6" x14ac:dyDescent="0.35">
      <c r="B75" s="237">
        <v>1471</v>
      </c>
      <c r="C75" s="237" t="s">
        <v>994</v>
      </c>
      <c r="D75" s="254"/>
      <c r="E75" s="254"/>
      <c r="F75" s="254"/>
    </row>
    <row r="76" spans="2:6" x14ac:dyDescent="0.35">
      <c r="B76" s="237">
        <v>1472</v>
      </c>
      <c r="C76" s="237" t="s">
        <v>995</v>
      </c>
      <c r="D76" s="254"/>
      <c r="E76" s="254"/>
      <c r="F76" s="254"/>
    </row>
    <row r="77" spans="2:6" x14ac:dyDescent="0.35">
      <c r="B77" s="237">
        <v>1473</v>
      </c>
      <c r="C77" s="237" t="s">
        <v>996</v>
      </c>
      <c r="D77" s="254"/>
      <c r="E77" s="254"/>
      <c r="F77" s="254"/>
    </row>
    <row r="78" spans="2:6" x14ac:dyDescent="0.35">
      <c r="B78" s="237">
        <v>1474</v>
      </c>
      <c r="C78" s="237" t="s">
        <v>997</v>
      </c>
      <c r="D78" s="254"/>
      <c r="E78" s="254"/>
      <c r="F78" s="254"/>
    </row>
    <row r="79" spans="2:6" x14ac:dyDescent="0.35">
      <c r="B79" s="237">
        <v>1475</v>
      </c>
      <c r="C79" s="237" t="s">
        <v>998</v>
      </c>
      <c r="D79" s="254"/>
      <c r="E79" s="254"/>
      <c r="F79" s="254"/>
    </row>
    <row r="80" spans="2:6" x14ac:dyDescent="0.35">
      <c r="B80" s="237">
        <v>1476</v>
      </c>
      <c r="C80" s="237" t="s">
        <v>999</v>
      </c>
      <c r="D80" s="254"/>
      <c r="E80" s="254"/>
      <c r="F80" s="254"/>
    </row>
    <row r="81" spans="2:6" x14ac:dyDescent="0.35">
      <c r="B81" s="237">
        <v>1477</v>
      </c>
      <c r="C81" s="237" t="s">
        <v>1000</v>
      </c>
      <c r="D81" s="254"/>
      <c r="E81" s="254"/>
      <c r="F81" s="254"/>
    </row>
    <row r="82" spans="2:6" x14ac:dyDescent="0.35">
      <c r="B82" s="237">
        <v>1478</v>
      </c>
      <c r="C82" s="237" t="s">
        <v>1001</v>
      </c>
      <c r="D82" s="254"/>
      <c r="E82" s="254"/>
      <c r="F82" s="254"/>
    </row>
    <row r="83" spans="2:6" x14ac:dyDescent="0.35">
      <c r="B83" s="237">
        <v>1479</v>
      </c>
      <c r="C83" s="237" t="s">
        <v>1002</v>
      </c>
      <c r="D83" s="254"/>
      <c r="E83" s="254"/>
      <c r="F83" s="254"/>
    </row>
    <row r="84" spans="2:6" x14ac:dyDescent="0.35">
      <c r="B84" s="237">
        <v>1479.1</v>
      </c>
      <c r="C84" s="237" t="s">
        <v>1003</v>
      </c>
      <c r="D84" s="254"/>
      <c r="E84" s="254"/>
      <c r="F84" s="254"/>
    </row>
    <row r="85" spans="2:6" x14ac:dyDescent="0.35">
      <c r="B85" s="237">
        <v>1480</v>
      </c>
      <c r="C85" s="237" t="s">
        <v>1004</v>
      </c>
      <c r="D85" s="254"/>
      <c r="E85" s="254"/>
      <c r="F85" s="254"/>
    </row>
    <row r="86" spans="2:6" x14ac:dyDescent="0.35">
      <c r="B86" s="237">
        <v>1481</v>
      </c>
      <c r="C86" s="237" t="s">
        <v>1005</v>
      </c>
      <c r="D86" s="254"/>
      <c r="E86" s="254"/>
      <c r="F86" s="254"/>
    </row>
    <row r="87" spans="2:6" x14ac:dyDescent="0.35">
      <c r="B87" s="237">
        <v>1482</v>
      </c>
      <c r="C87" s="237" t="s">
        <v>1006</v>
      </c>
      <c r="D87" s="254"/>
      <c r="E87" s="254"/>
      <c r="F87" s="254"/>
    </row>
    <row r="88" spans="2:6" x14ac:dyDescent="0.35">
      <c r="B88" s="237">
        <v>1499</v>
      </c>
      <c r="C88" s="237" t="s">
        <v>763</v>
      </c>
      <c r="D88" s="254"/>
      <c r="E88" s="254"/>
      <c r="F88" s="254"/>
    </row>
    <row r="89" spans="2:6" x14ac:dyDescent="0.35">
      <c r="B89" s="237">
        <v>1600</v>
      </c>
      <c r="C89" s="237" t="s">
        <v>764</v>
      </c>
      <c r="D89" s="254"/>
      <c r="E89" s="254"/>
      <c r="F89" s="254"/>
    </row>
    <row r="90" spans="2:6" x14ac:dyDescent="0.35">
      <c r="B90" s="237">
        <v>1610</v>
      </c>
      <c r="C90" s="237" t="s">
        <v>1007</v>
      </c>
      <c r="D90" s="254"/>
      <c r="E90" s="254"/>
      <c r="F90" s="254"/>
    </row>
    <row r="91" spans="2:6" x14ac:dyDescent="0.35">
      <c r="B91" s="237">
        <v>1620</v>
      </c>
      <c r="C91" s="237" t="s">
        <v>1008</v>
      </c>
      <c r="D91" s="254"/>
      <c r="E91" s="254"/>
      <c r="F91" s="254"/>
    </row>
    <row r="92" spans="2:6" x14ac:dyDescent="0.35">
      <c r="B92" s="237">
        <v>1630</v>
      </c>
      <c r="C92" s="237" t="s">
        <v>1009</v>
      </c>
      <c r="D92" s="254"/>
      <c r="E92" s="254"/>
      <c r="F92" s="254"/>
    </row>
    <row r="93" spans="2:6" x14ac:dyDescent="0.35">
      <c r="B93" s="237">
        <v>1640</v>
      </c>
      <c r="C93" s="237" t="s">
        <v>1010</v>
      </c>
      <c r="D93" s="254"/>
      <c r="E93" s="254"/>
      <c r="F93" s="254"/>
    </row>
    <row r="94" spans="2:6" x14ac:dyDescent="0.35">
      <c r="B94" s="237">
        <v>1650</v>
      </c>
      <c r="C94" s="237" t="s">
        <v>1011</v>
      </c>
      <c r="D94" s="254"/>
      <c r="E94" s="254"/>
      <c r="F94" s="254"/>
    </row>
    <row r="95" spans="2:6" x14ac:dyDescent="0.35">
      <c r="B95" s="237">
        <v>1660</v>
      </c>
      <c r="C95" s="237" t="s">
        <v>908</v>
      </c>
      <c r="D95" s="254"/>
      <c r="E95" s="254"/>
      <c r="F95" s="254"/>
    </row>
    <row r="96" spans="2:6" x14ac:dyDescent="0.35">
      <c r="B96" s="237">
        <v>1670</v>
      </c>
      <c r="C96" s="237" t="s">
        <v>1012</v>
      </c>
      <c r="D96" s="254"/>
      <c r="E96" s="254"/>
      <c r="F96" s="254"/>
    </row>
    <row r="97" spans="2:6" x14ac:dyDescent="0.35">
      <c r="B97" s="237">
        <v>1700</v>
      </c>
      <c r="C97" s="237" t="s">
        <v>765</v>
      </c>
      <c r="D97" s="254"/>
      <c r="E97" s="254"/>
      <c r="F97" s="254"/>
    </row>
    <row r="98" spans="2:6" x14ac:dyDescent="0.35">
      <c r="B98" s="237">
        <v>1720</v>
      </c>
      <c r="C98" s="237" t="s">
        <v>1013</v>
      </c>
      <c r="D98" s="254"/>
      <c r="E98" s="254"/>
      <c r="F98" s="254"/>
    </row>
    <row r="99" spans="2:6" x14ac:dyDescent="0.35">
      <c r="B99" s="237">
        <v>1730</v>
      </c>
      <c r="C99" s="237" t="s">
        <v>1014</v>
      </c>
      <c r="D99" s="254"/>
      <c r="E99" s="254"/>
      <c r="F99" s="254"/>
    </row>
    <row r="100" spans="2:6" x14ac:dyDescent="0.35">
      <c r="B100" s="237">
        <v>1740</v>
      </c>
      <c r="C100" s="237" t="s">
        <v>1015</v>
      </c>
      <c r="D100" s="254"/>
      <c r="E100" s="254"/>
      <c r="F100" s="254"/>
    </row>
    <row r="101" spans="2:6" x14ac:dyDescent="0.35">
      <c r="B101" s="237">
        <v>1750</v>
      </c>
      <c r="C101" s="237" t="s">
        <v>1016</v>
      </c>
      <c r="D101" s="254"/>
      <c r="E101" s="254"/>
      <c r="F101" s="254"/>
    </row>
    <row r="102" spans="2:6" x14ac:dyDescent="0.35">
      <c r="B102" s="237">
        <v>1760</v>
      </c>
      <c r="C102" s="237" t="s">
        <v>1017</v>
      </c>
      <c r="D102" s="254"/>
      <c r="E102" s="254"/>
      <c r="F102" s="254"/>
    </row>
    <row r="103" spans="2:6" x14ac:dyDescent="0.35">
      <c r="B103" s="237">
        <v>2000</v>
      </c>
      <c r="C103" s="237" t="s">
        <v>766</v>
      </c>
      <c r="D103" s="254"/>
      <c r="E103" s="254"/>
      <c r="F103" s="254"/>
    </row>
    <row r="104" spans="2:6" x14ac:dyDescent="0.35">
      <c r="B104" s="237">
        <v>2100</v>
      </c>
      <c r="C104" s="237" t="s">
        <v>767</v>
      </c>
      <c r="D104" s="254"/>
      <c r="E104" s="254"/>
      <c r="F104" s="254"/>
    </row>
    <row r="105" spans="2:6" x14ac:dyDescent="0.35">
      <c r="B105" s="237">
        <v>2105</v>
      </c>
      <c r="C105" s="237" t="s">
        <v>1018</v>
      </c>
      <c r="D105" s="254"/>
      <c r="E105" s="254"/>
      <c r="F105" s="254"/>
    </row>
    <row r="106" spans="2:6" x14ac:dyDescent="0.35">
      <c r="B106" s="237">
        <v>2150</v>
      </c>
      <c r="C106" s="237" t="s">
        <v>1019</v>
      </c>
      <c r="D106" s="254"/>
      <c r="E106" s="254"/>
      <c r="F106" s="254"/>
    </row>
    <row r="107" spans="2:6" x14ac:dyDescent="0.35">
      <c r="B107" s="237">
        <v>2150.1</v>
      </c>
      <c r="C107" s="237" t="s">
        <v>1020</v>
      </c>
      <c r="D107" s="254"/>
      <c r="E107" s="254"/>
      <c r="F107" s="254"/>
    </row>
    <row r="108" spans="2:6" x14ac:dyDescent="0.35">
      <c r="B108" s="237">
        <v>2152</v>
      </c>
      <c r="C108" s="237" t="s">
        <v>1021</v>
      </c>
      <c r="D108" s="254"/>
      <c r="E108" s="254"/>
      <c r="F108" s="254"/>
    </row>
    <row r="109" spans="2:6" x14ac:dyDescent="0.35">
      <c r="B109" s="237">
        <v>2156</v>
      </c>
      <c r="C109" s="237" t="s">
        <v>884</v>
      </c>
      <c r="D109" s="254"/>
      <c r="E109" s="254"/>
      <c r="F109" s="254"/>
    </row>
    <row r="110" spans="2:6" x14ac:dyDescent="0.35">
      <c r="B110" s="237">
        <v>2157</v>
      </c>
      <c r="C110" s="237" t="s">
        <v>768</v>
      </c>
      <c r="D110" s="254"/>
      <c r="E110" s="254"/>
      <c r="F110" s="254"/>
    </row>
    <row r="111" spans="2:6" x14ac:dyDescent="0.35">
      <c r="B111" s="237">
        <v>2160</v>
      </c>
      <c r="C111" s="237" t="s">
        <v>769</v>
      </c>
      <c r="D111" s="254"/>
      <c r="E111" s="254"/>
      <c r="F111" s="254"/>
    </row>
    <row r="112" spans="2:6" x14ac:dyDescent="0.35">
      <c r="B112" s="237">
        <v>2161</v>
      </c>
      <c r="C112" s="237" t="s">
        <v>1022</v>
      </c>
      <c r="D112" s="254"/>
      <c r="E112" s="254"/>
      <c r="F112" s="254"/>
    </row>
    <row r="113" spans="2:6" x14ac:dyDescent="0.35">
      <c r="B113" s="237">
        <v>2162</v>
      </c>
      <c r="C113" s="237" t="s">
        <v>1023</v>
      </c>
      <c r="D113" s="254"/>
      <c r="E113" s="254"/>
      <c r="F113" s="254"/>
    </row>
    <row r="114" spans="2:6" x14ac:dyDescent="0.35">
      <c r="B114" s="237">
        <v>2163</v>
      </c>
      <c r="C114" s="237" t="s">
        <v>1024</v>
      </c>
      <c r="D114" s="254"/>
      <c r="E114" s="254"/>
      <c r="F114" s="254"/>
    </row>
    <row r="115" spans="2:6" x14ac:dyDescent="0.35">
      <c r="B115" s="237">
        <v>2164</v>
      </c>
      <c r="C115" s="237" t="s">
        <v>1025</v>
      </c>
      <c r="D115" s="254"/>
      <c r="E115" s="254"/>
      <c r="F115" s="254"/>
    </row>
    <row r="116" spans="2:6" x14ac:dyDescent="0.35">
      <c r="B116" s="237">
        <v>2165</v>
      </c>
      <c r="C116" s="237" t="s">
        <v>1026</v>
      </c>
      <c r="D116" s="254"/>
      <c r="E116" s="254"/>
      <c r="F116" s="254"/>
    </row>
    <row r="117" spans="2:6" x14ac:dyDescent="0.35">
      <c r="B117" s="237">
        <v>2167</v>
      </c>
      <c r="C117" s="237" t="s">
        <v>1027</v>
      </c>
      <c r="D117" s="254"/>
      <c r="E117" s="254"/>
      <c r="F117" s="254"/>
    </row>
    <row r="118" spans="2:6" x14ac:dyDescent="0.35">
      <c r="B118" s="237">
        <v>2200</v>
      </c>
      <c r="C118" s="237" t="s">
        <v>770</v>
      </c>
      <c r="D118" s="254"/>
      <c r="E118" s="254"/>
      <c r="F118" s="254"/>
    </row>
    <row r="119" spans="2:6" x14ac:dyDescent="0.35">
      <c r="B119" s="237">
        <v>2201</v>
      </c>
      <c r="C119" s="237" t="s">
        <v>885</v>
      </c>
      <c r="D119" s="254"/>
      <c r="E119" s="254"/>
      <c r="F119" s="254"/>
    </row>
    <row r="120" spans="2:6" x14ac:dyDescent="0.35">
      <c r="B120" s="237">
        <v>2210</v>
      </c>
      <c r="C120" s="237" t="s">
        <v>1028</v>
      </c>
      <c r="D120" s="254"/>
      <c r="E120" s="254"/>
      <c r="F120" s="254"/>
    </row>
    <row r="121" spans="2:6" x14ac:dyDescent="0.35">
      <c r="B121" s="237">
        <v>2220</v>
      </c>
      <c r="C121" s="237" t="s">
        <v>1029</v>
      </c>
      <c r="D121" s="254"/>
      <c r="E121" s="254"/>
      <c r="F121" s="254"/>
    </row>
    <row r="122" spans="2:6" x14ac:dyDescent="0.35">
      <c r="B122" s="237">
        <v>2222</v>
      </c>
      <c r="C122" s="237" t="s">
        <v>1030</v>
      </c>
      <c r="D122" s="254"/>
      <c r="E122" s="254"/>
      <c r="F122" s="254"/>
    </row>
    <row r="123" spans="2:6" x14ac:dyDescent="0.35">
      <c r="B123" s="237">
        <v>2230</v>
      </c>
      <c r="C123" s="237" t="s">
        <v>1031</v>
      </c>
      <c r="D123" s="254"/>
      <c r="E123" s="254"/>
      <c r="F123" s="254"/>
    </row>
    <row r="124" spans="2:6" x14ac:dyDescent="0.35">
      <c r="B124" s="237">
        <v>2240</v>
      </c>
      <c r="C124" s="237" t="s">
        <v>1032</v>
      </c>
      <c r="D124" s="254"/>
      <c r="E124" s="254"/>
      <c r="F124" s="254"/>
    </row>
    <row r="125" spans="2:6" x14ac:dyDescent="0.35">
      <c r="B125" s="237">
        <v>2241</v>
      </c>
      <c r="C125" s="237" t="s">
        <v>1033</v>
      </c>
      <c r="D125" s="254"/>
      <c r="E125" s="254"/>
      <c r="F125" s="254"/>
    </row>
    <row r="126" spans="2:6" x14ac:dyDescent="0.35">
      <c r="B126" s="237">
        <v>2242</v>
      </c>
      <c r="C126" s="237" t="s">
        <v>772</v>
      </c>
      <c r="D126" s="254"/>
      <c r="E126" s="254"/>
      <c r="F126" s="254"/>
    </row>
    <row r="127" spans="2:6" x14ac:dyDescent="0.35">
      <c r="B127" s="237">
        <v>2243</v>
      </c>
      <c r="C127" s="237" t="s">
        <v>773</v>
      </c>
      <c r="D127" s="254"/>
      <c r="E127" s="254"/>
      <c r="F127" s="254"/>
    </row>
    <row r="128" spans="2:6" x14ac:dyDescent="0.35">
      <c r="B128" s="237">
        <v>2244</v>
      </c>
      <c r="C128" s="237" t="s">
        <v>774</v>
      </c>
      <c r="D128" s="254"/>
      <c r="E128" s="254"/>
      <c r="F128" s="254"/>
    </row>
    <row r="129" spans="2:6" x14ac:dyDescent="0.35">
      <c r="B129" s="237">
        <v>2250</v>
      </c>
      <c r="C129" s="237" t="s">
        <v>1034</v>
      </c>
      <c r="D129" s="254"/>
      <c r="E129" s="254"/>
      <c r="F129" s="254"/>
    </row>
    <row r="130" spans="2:6" x14ac:dyDescent="0.35">
      <c r="B130" s="237">
        <v>2260</v>
      </c>
      <c r="C130" s="237" t="s">
        <v>1035</v>
      </c>
      <c r="D130" s="254"/>
      <c r="E130" s="254"/>
      <c r="F130" s="254"/>
    </row>
    <row r="131" spans="2:6" x14ac:dyDescent="0.35">
      <c r="B131" s="237">
        <v>2261</v>
      </c>
      <c r="C131" s="237" t="s">
        <v>771</v>
      </c>
      <c r="D131" s="254"/>
      <c r="E131" s="254"/>
      <c r="F131" s="254"/>
    </row>
    <row r="132" spans="2:6" x14ac:dyDescent="0.35">
      <c r="B132" s="237">
        <v>2270</v>
      </c>
      <c r="C132" s="237" t="s">
        <v>1036</v>
      </c>
      <c r="D132" s="254"/>
      <c r="E132" s="254"/>
      <c r="F132" s="254"/>
    </row>
    <row r="133" spans="2:6" x14ac:dyDescent="0.35">
      <c r="B133" s="237">
        <v>2300</v>
      </c>
      <c r="C133" s="237" t="s">
        <v>775</v>
      </c>
      <c r="D133" s="254"/>
      <c r="E133" s="254"/>
      <c r="F133" s="254"/>
    </row>
    <row r="134" spans="2:6" x14ac:dyDescent="0.35">
      <c r="B134" s="237">
        <v>2301</v>
      </c>
      <c r="C134" s="237" t="s">
        <v>1037</v>
      </c>
      <c r="D134" s="254"/>
      <c r="E134" s="254"/>
      <c r="F134" s="254"/>
    </row>
    <row r="135" spans="2:6" x14ac:dyDescent="0.35">
      <c r="B135" s="237">
        <v>2302</v>
      </c>
      <c r="C135" s="237" t="s">
        <v>1038</v>
      </c>
      <c r="D135" s="254"/>
      <c r="E135" s="254"/>
      <c r="F135" s="254"/>
    </row>
    <row r="136" spans="2:6" x14ac:dyDescent="0.35">
      <c r="B136" s="237">
        <v>2302.1</v>
      </c>
      <c r="C136" s="237" t="s">
        <v>776</v>
      </c>
      <c r="D136" s="254"/>
      <c r="E136" s="254"/>
      <c r="F136" s="254"/>
    </row>
    <row r="137" spans="2:6" x14ac:dyDescent="0.35">
      <c r="B137" s="237">
        <v>2302.1999999999998</v>
      </c>
      <c r="C137" s="237" t="s">
        <v>1039</v>
      </c>
      <c r="D137" s="254"/>
      <c r="E137" s="254"/>
      <c r="F137" s="254"/>
    </row>
    <row r="138" spans="2:6" x14ac:dyDescent="0.35">
      <c r="B138" s="237">
        <v>2303</v>
      </c>
      <c r="C138" s="237" t="s">
        <v>777</v>
      </c>
      <c r="D138" s="254"/>
      <c r="E138" s="254"/>
      <c r="F138" s="254"/>
    </row>
    <row r="139" spans="2:6" x14ac:dyDescent="0.35">
      <c r="B139" s="237">
        <v>2303.1</v>
      </c>
      <c r="C139" s="237" t="s">
        <v>1040</v>
      </c>
      <c r="D139" s="254"/>
      <c r="E139" s="254"/>
      <c r="F139" s="254"/>
    </row>
    <row r="140" spans="2:6" x14ac:dyDescent="0.35">
      <c r="B140" s="237">
        <v>2304</v>
      </c>
      <c r="C140" s="237" t="s">
        <v>1041</v>
      </c>
      <c r="D140" s="254"/>
      <c r="E140" s="254"/>
      <c r="F140" s="254"/>
    </row>
    <row r="141" spans="2:6" x14ac:dyDescent="0.35">
      <c r="B141" s="237">
        <v>2304.1</v>
      </c>
      <c r="C141" s="237" t="s">
        <v>778</v>
      </c>
      <c r="D141" s="254"/>
      <c r="E141" s="254"/>
      <c r="F141" s="254"/>
    </row>
    <row r="142" spans="2:6" x14ac:dyDescent="0.35">
      <c r="B142" s="237">
        <v>2305</v>
      </c>
      <c r="C142" s="237" t="s">
        <v>1042</v>
      </c>
      <c r="D142" s="254"/>
      <c r="E142" s="254"/>
      <c r="F142" s="254"/>
    </row>
    <row r="143" spans="2:6" x14ac:dyDescent="0.35">
      <c r="B143" s="237">
        <v>2306</v>
      </c>
      <c r="C143" s="237" t="s">
        <v>1043</v>
      </c>
      <c r="D143" s="254"/>
      <c r="E143" s="254"/>
      <c r="F143" s="254"/>
    </row>
    <row r="144" spans="2:6" x14ac:dyDescent="0.35">
      <c r="B144" s="237">
        <v>2307</v>
      </c>
      <c r="C144" s="237" t="s">
        <v>779</v>
      </c>
      <c r="D144" s="254"/>
      <c r="E144" s="254"/>
      <c r="F144" s="254"/>
    </row>
    <row r="145" spans="2:6" x14ac:dyDescent="0.35">
      <c r="B145" s="237">
        <v>2307.1</v>
      </c>
      <c r="C145" s="237" t="s">
        <v>1044</v>
      </c>
      <c r="D145" s="254"/>
      <c r="E145" s="254"/>
      <c r="F145" s="254"/>
    </row>
    <row r="146" spans="2:6" x14ac:dyDescent="0.35">
      <c r="B146" s="237">
        <v>2307.1999999999998</v>
      </c>
      <c r="C146" s="237" t="s">
        <v>1045</v>
      </c>
      <c r="D146" s="254"/>
      <c r="E146" s="254"/>
      <c r="F146" s="254"/>
    </row>
    <row r="147" spans="2:6" x14ac:dyDescent="0.35">
      <c r="B147" s="237">
        <v>2307.3000000000002</v>
      </c>
      <c r="C147" s="237" t="s">
        <v>1046</v>
      </c>
      <c r="D147" s="254"/>
      <c r="E147" s="254"/>
      <c r="F147" s="254"/>
    </row>
    <row r="148" spans="2:6" x14ac:dyDescent="0.35">
      <c r="B148" s="237">
        <v>2307.4</v>
      </c>
      <c r="C148" s="237" t="s">
        <v>1047</v>
      </c>
      <c r="D148" s="254"/>
      <c r="E148" s="254"/>
      <c r="F148" s="254"/>
    </row>
    <row r="149" spans="2:6" x14ac:dyDescent="0.35">
      <c r="B149" s="237">
        <v>2400</v>
      </c>
      <c r="C149" s="237" t="s">
        <v>780</v>
      </c>
      <c r="D149" s="254"/>
      <c r="E149" s="254"/>
      <c r="F149" s="254"/>
    </row>
    <row r="150" spans="2:6" x14ac:dyDescent="0.35">
      <c r="B150" s="237">
        <v>2410</v>
      </c>
      <c r="C150" s="237" t="s">
        <v>1048</v>
      </c>
      <c r="D150" s="254"/>
      <c r="E150" s="254"/>
      <c r="F150" s="254"/>
    </row>
    <row r="151" spans="2:6" x14ac:dyDescent="0.35">
      <c r="B151" s="237">
        <v>2428</v>
      </c>
      <c r="C151" s="237" t="s">
        <v>1049</v>
      </c>
      <c r="D151" s="254"/>
      <c r="E151" s="254"/>
      <c r="F151" s="254"/>
    </row>
    <row r="152" spans="2:6" x14ac:dyDescent="0.35">
      <c r="B152" s="237">
        <v>2429</v>
      </c>
      <c r="C152" s="237" t="s">
        <v>1050</v>
      </c>
      <c r="D152" s="254"/>
      <c r="E152" s="254"/>
      <c r="F152" s="254"/>
    </row>
    <row r="153" spans="2:6" x14ac:dyDescent="0.35">
      <c r="B153" s="237">
        <v>2430</v>
      </c>
      <c r="C153" s="237" t="s">
        <v>1051</v>
      </c>
      <c r="D153" s="254"/>
      <c r="E153" s="254"/>
      <c r="F153" s="254"/>
    </row>
    <row r="154" spans="2:6" x14ac:dyDescent="0.35">
      <c r="B154" s="237">
        <v>2431</v>
      </c>
      <c r="C154" s="237" t="s">
        <v>1052</v>
      </c>
      <c r="D154" s="254"/>
      <c r="E154" s="254"/>
      <c r="F154" s="254"/>
    </row>
    <row r="155" spans="2:6" x14ac:dyDescent="0.35">
      <c r="B155" s="237">
        <v>2432</v>
      </c>
      <c r="C155" s="237" t="s">
        <v>1053</v>
      </c>
      <c r="D155" s="254"/>
      <c r="E155" s="254"/>
      <c r="F155" s="254"/>
    </row>
    <row r="156" spans="2:6" x14ac:dyDescent="0.35">
      <c r="B156" s="237">
        <v>3000</v>
      </c>
      <c r="C156" s="237" t="s">
        <v>781</v>
      </c>
      <c r="D156" s="254"/>
      <c r="E156" s="254"/>
      <c r="F156" s="254"/>
    </row>
    <row r="157" spans="2:6" x14ac:dyDescent="0.35">
      <c r="B157" s="237">
        <v>3100</v>
      </c>
      <c r="C157" s="237" t="s">
        <v>782</v>
      </c>
      <c r="D157" s="254"/>
      <c r="E157" s="254"/>
      <c r="F157" s="254"/>
    </row>
    <row r="158" spans="2:6" x14ac:dyDescent="0.35">
      <c r="B158" s="237">
        <v>3110</v>
      </c>
      <c r="C158" s="237" t="s">
        <v>1054</v>
      </c>
      <c r="D158" s="254"/>
      <c r="E158" s="254"/>
      <c r="F158" s="254"/>
    </row>
    <row r="159" spans="2:6" x14ac:dyDescent="0.35">
      <c r="B159" s="237">
        <v>3120</v>
      </c>
      <c r="C159" s="237" t="s">
        <v>1055</v>
      </c>
      <c r="D159" s="254"/>
      <c r="E159" s="254"/>
      <c r="F159" s="254"/>
    </row>
    <row r="160" spans="2:6" x14ac:dyDescent="0.35">
      <c r="B160" s="237">
        <v>3200</v>
      </c>
      <c r="C160" s="237" t="s">
        <v>886</v>
      </c>
      <c r="D160" s="254"/>
      <c r="E160" s="254"/>
      <c r="F160" s="254"/>
    </row>
    <row r="161" spans="2:6" x14ac:dyDescent="0.35">
      <c r="B161" s="237">
        <v>4000</v>
      </c>
      <c r="C161" s="237" t="s">
        <v>783</v>
      </c>
      <c r="D161" s="254"/>
      <c r="E161" s="254"/>
      <c r="F161" s="254"/>
    </row>
    <row r="162" spans="2:6" x14ac:dyDescent="0.35">
      <c r="B162" s="237">
        <v>4010</v>
      </c>
      <c r="C162" s="237" t="s">
        <v>1056</v>
      </c>
      <c r="D162" s="254"/>
      <c r="E162" s="254"/>
      <c r="F162" s="254"/>
    </row>
    <row r="163" spans="2:6" x14ac:dyDescent="0.35">
      <c r="B163" s="237">
        <v>4011</v>
      </c>
      <c r="C163" s="237" t="s">
        <v>1057</v>
      </c>
      <c r="D163" s="254"/>
      <c r="E163" s="254"/>
      <c r="F163" s="254"/>
    </row>
    <row r="164" spans="2:6" x14ac:dyDescent="0.35">
      <c r="B164" s="237">
        <v>4012</v>
      </c>
      <c r="C164" s="237" t="s">
        <v>1058</v>
      </c>
      <c r="D164" s="254"/>
      <c r="E164" s="254"/>
      <c r="F164" s="254"/>
    </row>
    <row r="165" spans="2:6" x14ac:dyDescent="0.35">
      <c r="B165" s="237">
        <v>4013</v>
      </c>
      <c r="C165" s="237" t="s">
        <v>1059</v>
      </c>
      <c r="D165" s="254"/>
      <c r="E165" s="254"/>
      <c r="F165" s="254"/>
    </row>
    <row r="166" spans="2:6" x14ac:dyDescent="0.35">
      <c r="B166" s="237">
        <v>4014</v>
      </c>
      <c r="C166" s="237" t="s">
        <v>777</v>
      </c>
      <c r="D166" s="254"/>
      <c r="E166" s="254"/>
      <c r="F166" s="254"/>
    </row>
    <row r="167" spans="2:6" x14ac:dyDescent="0.35">
      <c r="B167" s="237">
        <v>4015</v>
      </c>
      <c r="C167" s="237" t="s">
        <v>1060</v>
      </c>
      <c r="D167" s="254"/>
      <c r="E167" s="254"/>
      <c r="F167" s="254"/>
    </row>
    <row r="168" spans="2:6" x14ac:dyDescent="0.35">
      <c r="B168" s="237">
        <v>4016</v>
      </c>
      <c r="C168" s="237" t="s">
        <v>887</v>
      </c>
      <c r="D168" s="254"/>
      <c r="E168" s="254"/>
      <c r="F168" s="254"/>
    </row>
    <row r="169" spans="2:6" x14ac:dyDescent="0.35">
      <c r="B169" s="237">
        <v>4017</v>
      </c>
      <c r="C169" s="237" t="s">
        <v>888</v>
      </c>
      <c r="D169" s="254"/>
      <c r="E169" s="254"/>
      <c r="F169" s="254"/>
    </row>
    <row r="170" spans="2:6" x14ac:dyDescent="0.35">
      <c r="B170" s="237">
        <v>4018</v>
      </c>
      <c r="C170" s="237" t="s">
        <v>1061</v>
      </c>
      <c r="D170" s="254"/>
      <c r="E170" s="254"/>
      <c r="F170" s="254"/>
    </row>
    <row r="171" spans="2:6" x14ac:dyDescent="0.35">
      <c r="B171" s="237">
        <v>4018.1</v>
      </c>
      <c r="C171" s="237" t="s">
        <v>1062</v>
      </c>
      <c r="D171" s="254"/>
      <c r="E171" s="254"/>
      <c r="F171" s="254"/>
    </row>
    <row r="172" spans="2:6" x14ac:dyDescent="0.35">
      <c r="B172" s="237">
        <v>4018.2</v>
      </c>
      <c r="C172" s="237" t="s">
        <v>1063</v>
      </c>
      <c r="D172" s="254"/>
      <c r="E172" s="254"/>
      <c r="F172" s="254"/>
    </row>
    <row r="173" spans="2:6" x14ac:dyDescent="0.35">
      <c r="B173" s="237">
        <v>4019</v>
      </c>
      <c r="C173" s="237" t="s">
        <v>889</v>
      </c>
      <c r="D173" s="254"/>
      <c r="E173" s="254"/>
      <c r="F173" s="254"/>
    </row>
    <row r="174" spans="2:6" x14ac:dyDescent="0.35">
      <c r="B174" s="237">
        <v>4020</v>
      </c>
      <c r="C174" s="237" t="s">
        <v>1064</v>
      </c>
      <c r="D174" s="254"/>
      <c r="E174" s="254"/>
      <c r="F174" s="254"/>
    </row>
    <row r="175" spans="2:6" x14ac:dyDescent="0.35">
      <c r="B175" s="237">
        <v>4021</v>
      </c>
      <c r="C175" s="237" t="s">
        <v>784</v>
      </c>
      <c r="D175" s="254"/>
      <c r="E175" s="254"/>
      <c r="F175" s="254"/>
    </row>
    <row r="176" spans="2:6" x14ac:dyDescent="0.35">
      <c r="B176" s="237">
        <v>4022</v>
      </c>
      <c r="C176" s="237" t="s">
        <v>890</v>
      </c>
      <c r="D176" s="254"/>
      <c r="E176" s="254"/>
      <c r="F176" s="254"/>
    </row>
    <row r="177" spans="2:6" x14ac:dyDescent="0.35">
      <c r="B177" s="237">
        <v>4023</v>
      </c>
      <c r="C177" s="237" t="s">
        <v>785</v>
      </c>
      <c r="D177" s="254"/>
      <c r="E177" s="254"/>
      <c r="F177" s="254"/>
    </row>
    <row r="178" spans="2:6" x14ac:dyDescent="0.35">
      <c r="B178" s="237">
        <v>4024</v>
      </c>
      <c r="C178" s="237" t="s">
        <v>891</v>
      </c>
      <c r="D178" s="254"/>
      <c r="E178" s="254"/>
      <c r="F178" s="254"/>
    </row>
    <row r="179" spans="2:6" x14ac:dyDescent="0.35">
      <c r="B179" s="237">
        <v>4025</v>
      </c>
      <c r="C179" s="237" t="s">
        <v>1065</v>
      </c>
      <c r="D179" s="254"/>
      <c r="E179" s="254"/>
      <c r="F179" s="254"/>
    </row>
    <row r="180" spans="2:6" x14ac:dyDescent="0.35">
      <c r="B180" s="237">
        <v>4026</v>
      </c>
      <c r="C180" s="237" t="s">
        <v>1066</v>
      </c>
      <c r="D180" s="254"/>
      <c r="E180" s="254"/>
      <c r="F180" s="254"/>
    </row>
    <row r="181" spans="2:6" x14ac:dyDescent="0.35">
      <c r="B181" s="237">
        <v>4027</v>
      </c>
      <c r="C181" s="237" t="s">
        <v>1067</v>
      </c>
      <c r="D181" s="254"/>
      <c r="E181" s="254"/>
      <c r="F181" s="254"/>
    </row>
    <row r="182" spans="2:6" x14ac:dyDescent="0.35">
      <c r="B182" s="237">
        <v>4027.1</v>
      </c>
      <c r="C182" s="237" t="s">
        <v>1068</v>
      </c>
      <c r="D182" s="254"/>
      <c r="E182" s="254"/>
      <c r="F182" s="254"/>
    </row>
    <row r="183" spans="2:6" x14ac:dyDescent="0.35">
      <c r="B183" s="237">
        <v>4028</v>
      </c>
      <c r="C183" s="237" t="s">
        <v>1069</v>
      </c>
      <c r="D183" s="254"/>
      <c r="E183" s="254"/>
      <c r="F183" s="254"/>
    </row>
    <row r="184" spans="2:6" x14ac:dyDescent="0.35">
      <c r="B184" s="237">
        <v>4029</v>
      </c>
      <c r="C184" s="237" t="s">
        <v>1070</v>
      </c>
      <c r="D184" s="254"/>
      <c r="E184" s="254"/>
      <c r="F184" s="254"/>
    </row>
    <row r="185" spans="2:6" x14ac:dyDescent="0.35">
      <c r="B185" s="237">
        <v>4070</v>
      </c>
      <c r="C185" s="237" t="s">
        <v>1071</v>
      </c>
      <c r="D185" s="254"/>
      <c r="E185" s="254"/>
      <c r="F185" s="254"/>
    </row>
    <row r="186" spans="2:6" x14ac:dyDescent="0.35">
      <c r="B186" s="237">
        <v>4071</v>
      </c>
      <c r="C186" s="237" t="s">
        <v>786</v>
      </c>
      <c r="D186" s="254"/>
      <c r="E186" s="254"/>
      <c r="F186" s="254"/>
    </row>
    <row r="187" spans="2:6" x14ac:dyDescent="0.35">
      <c r="B187" s="237">
        <v>4072</v>
      </c>
      <c r="C187" s="237" t="s">
        <v>1072</v>
      </c>
      <c r="D187" s="254"/>
      <c r="E187" s="254"/>
      <c r="F187" s="254"/>
    </row>
    <row r="188" spans="2:6" x14ac:dyDescent="0.35">
      <c r="B188" s="237">
        <v>4073</v>
      </c>
      <c r="C188" s="237" t="s">
        <v>1073</v>
      </c>
      <c r="D188" s="254"/>
      <c r="E188" s="254"/>
      <c r="F188" s="254"/>
    </row>
    <row r="189" spans="2:6" x14ac:dyDescent="0.35">
      <c r="B189" s="237">
        <v>4074</v>
      </c>
      <c r="C189" s="237" t="s">
        <v>1074</v>
      </c>
      <c r="D189" s="254"/>
      <c r="E189" s="254"/>
      <c r="F189" s="254"/>
    </row>
    <row r="190" spans="2:6" x14ac:dyDescent="0.35">
      <c r="B190" s="237">
        <v>4100</v>
      </c>
      <c r="C190" s="237" t="s">
        <v>892</v>
      </c>
      <c r="D190" s="254"/>
      <c r="E190" s="254"/>
      <c r="F190" s="254"/>
    </row>
    <row r="191" spans="2:6" x14ac:dyDescent="0.35">
      <c r="B191" s="237">
        <v>4110</v>
      </c>
      <c r="C191" s="237" t="s">
        <v>1075</v>
      </c>
      <c r="D191" s="254"/>
      <c r="E191" s="254"/>
      <c r="F191" s="254"/>
    </row>
    <row r="192" spans="2:6" x14ac:dyDescent="0.35">
      <c r="B192" s="237">
        <v>4120</v>
      </c>
      <c r="C192" s="237" t="s">
        <v>1076</v>
      </c>
      <c r="D192" s="254"/>
      <c r="E192" s="254"/>
      <c r="F192" s="254"/>
    </row>
    <row r="193" spans="2:6" x14ac:dyDescent="0.35">
      <c r="B193" s="237">
        <v>4130</v>
      </c>
      <c r="C193" s="237" t="s">
        <v>1077</v>
      </c>
      <c r="D193" s="254"/>
      <c r="E193" s="254"/>
      <c r="F193" s="254"/>
    </row>
    <row r="194" spans="2:6" x14ac:dyDescent="0.35">
      <c r="B194" s="237">
        <v>4140</v>
      </c>
      <c r="C194" s="237" t="s">
        <v>1078</v>
      </c>
      <c r="D194" s="254"/>
      <c r="E194" s="254"/>
      <c r="F194" s="254"/>
    </row>
    <row r="195" spans="2:6" x14ac:dyDescent="0.35">
      <c r="B195" s="237">
        <v>4200</v>
      </c>
      <c r="C195" s="237" t="s">
        <v>893</v>
      </c>
      <c r="D195" s="254"/>
      <c r="E195" s="254"/>
      <c r="F195" s="254"/>
    </row>
    <row r="196" spans="2:6" x14ac:dyDescent="0.35">
      <c r="B196" s="237">
        <v>4210</v>
      </c>
      <c r="C196" s="237" t="s">
        <v>1079</v>
      </c>
      <c r="D196" s="254"/>
      <c r="E196" s="254"/>
      <c r="F196" s="254"/>
    </row>
    <row r="197" spans="2:6" x14ac:dyDescent="0.35">
      <c r="B197" s="237">
        <v>4230</v>
      </c>
      <c r="C197" s="237" t="s">
        <v>1080</v>
      </c>
      <c r="D197" s="254"/>
      <c r="E197" s="254"/>
      <c r="F197" s="254"/>
    </row>
    <row r="198" spans="2:6" x14ac:dyDescent="0.35">
      <c r="B198" s="237">
        <v>4250</v>
      </c>
      <c r="C198" s="237" t="s">
        <v>1081</v>
      </c>
      <c r="D198" s="254"/>
      <c r="E198" s="254"/>
      <c r="F198" s="254"/>
    </row>
    <row r="199" spans="2:6" x14ac:dyDescent="0.35">
      <c r="B199" s="237">
        <v>4500</v>
      </c>
      <c r="C199" s="237" t="s">
        <v>787</v>
      </c>
      <c r="D199" s="254"/>
      <c r="E199" s="254"/>
      <c r="F199" s="254"/>
    </row>
    <row r="200" spans="2:6" x14ac:dyDescent="0.35">
      <c r="B200" s="237">
        <v>4520</v>
      </c>
      <c r="C200" s="237" t="s">
        <v>1082</v>
      </c>
      <c r="D200" s="254"/>
      <c r="E200" s="254"/>
      <c r="F200" s="254"/>
    </row>
    <row r="201" spans="2:6" x14ac:dyDescent="0.35">
      <c r="B201" s="237">
        <v>4521</v>
      </c>
      <c r="C201" s="237" t="s">
        <v>788</v>
      </c>
      <c r="D201" s="254"/>
      <c r="E201" s="254"/>
      <c r="F201" s="254"/>
    </row>
    <row r="202" spans="2:6" x14ac:dyDescent="0.35">
      <c r="B202" s="237">
        <v>4521.1000000000004</v>
      </c>
      <c r="C202" s="237" t="s">
        <v>789</v>
      </c>
      <c r="D202" s="254"/>
      <c r="E202" s="254"/>
      <c r="F202" s="254"/>
    </row>
    <row r="203" spans="2:6" x14ac:dyDescent="0.35">
      <c r="B203" s="237">
        <v>4521.2</v>
      </c>
      <c r="C203" s="237" t="s">
        <v>1083</v>
      </c>
      <c r="D203" s="254"/>
      <c r="E203" s="254"/>
      <c r="F203" s="254"/>
    </row>
    <row r="204" spans="2:6" x14ac:dyDescent="0.35">
      <c r="B204" s="237">
        <v>4521.3</v>
      </c>
      <c r="C204" s="237" t="s">
        <v>1084</v>
      </c>
      <c r="D204" s="254"/>
      <c r="E204" s="254"/>
      <c r="F204" s="254"/>
    </row>
    <row r="205" spans="2:6" x14ac:dyDescent="0.35">
      <c r="B205" s="237">
        <v>4522</v>
      </c>
      <c r="C205" s="237" t="s">
        <v>1085</v>
      </c>
      <c r="D205" s="254"/>
      <c r="E205" s="254"/>
      <c r="F205" s="254"/>
    </row>
    <row r="206" spans="2:6" x14ac:dyDescent="0.35">
      <c r="B206" s="237">
        <v>4523</v>
      </c>
      <c r="C206" s="237" t="s">
        <v>1086</v>
      </c>
      <c r="D206" s="254"/>
      <c r="E206" s="254"/>
      <c r="F206" s="254"/>
    </row>
    <row r="207" spans="2:6" x14ac:dyDescent="0.35">
      <c r="B207" s="237">
        <v>4523.2</v>
      </c>
      <c r="C207" s="237" t="s">
        <v>1087</v>
      </c>
      <c r="D207" s="254"/>
      <c r="E207" s="254"/>
      <c r="F207" s="254"/>
    </row>
    <row r="208" spans="2:6" x14ac:dyDescent="0.35">
      <c r="B208" s="237">
        <v>4525</v>
      </c>
      <c r="C208" s="237" t="s">
        <v>1088</v>
      </c>
      <c r="D208" s="254"/>
      <c r="E208" s="254"/>
      <c r="F208" s="254"/>
    </row>
    <row r="209" spans="2:6" x14ac:dyDescent="0.35">
      <c r="B209" s="237">
        <v>4526</v>
      </c>
      <c r="C209" s="237" t="s">
        <v>1089</v>
      </c>
      <c r="D209" s="254"/>
      <c r="E209" s="254"/>
      <c r="F209" s="254"/>
    </row>
    <row r="210" spans="2:6" x14ac:dyDescent="0.35">
      <c r="B210" s="237">
        <v>4526.1000000000004</v>
      </c>
      <c r="C210" s="237" t="s">
        <v>1090</v>
      </c>
      <c r="D210" s="254"/>
      <c r="E210" s="254"/>
      <c r="F210" s="254"/>
    </row>
    <row r="211" spans="2:6" x14ac:dyDescent="0.35">
      <c r="B211" s="237">
        <v>4530</v>
      </c>
      <c r="C211" s="237" t="s">
        <v>1091</v>
      </c>
      <c r="D211" s="254"/>
      <c r="E211" s="254"/>
      <c r="F211" s="254"/>
    </row>
    <row r="212" spans="2:6" x14ac:dyDescent="0.35">
      <c r="B212" s="237">
        <v>4531</v>
      </c>
      <c r="C212" s="237" t="s">
        <v>790</v>
      </c>
      <c r="D212" s="254"/>
      <c r="E212" s="254"/>
      <c r="F212" s="254"/>
    </row>
    <row r="213" spans="2:6" x14ac:dyDescent="0.35">
      <c r="B213" s="237">
        <v>4531.1000000000004</v>
      </c>
      <c r="C213" s="237" t="s">
        <v>791</v>
      </c>
      <c r="D213" s="254"/>
      <c r="E213" s="254"/>
      <c r="F213" s="254"/>
    </row>
    <row r="214" spans="2:6" x14ac:dyDescent="0.35">
      <c r="B214" s="237">
        <v>4532</v>
      </c>
      <c r="C214" s="237" t="s">
        <v>759</v>
      </c>
      <c r="D214" s="254"/>
      <c r="E214" s="254"/>
      <c r="F214" s="254"/>
    </row>
    <row r="215" spans="2:6" x14ac:dyDescent="0.35">
      <c r="B215" s="237">
        <v>4532.1000000000004</v>
      </c>
      <c r="C215" s="237" t="s">
        <v>1092</v>
      </c>
      <c r="D215" s="254"/>
      <c r="E215" s="254"/>
      <c r="F215" s="254"/>
    </row>
    <row r="216" spans="2:6" x14ac:dyDescent="0.35">
      <c r="B216" s="237">
        <v>4532.2</v>
      </c>
      <c r="C216" s="237" t="s">
        <v>1093</v>
      </c>
      <c r="D216" s="254"/>
      <c r="E216" s="254"/>
      <c r="F216" s="254"/>
    </row>
    <row r="217" spans="2:6" x14ac:dyDescent="0.35">
      <c r="B217" s="237">
        <v>4532.3</v>
      </c>
      <c r="C217" s="237" t="s">
        <v>1094</v>
      </c>
      <c r="D217" s="254"/>
      <c r="E217" s="254"/>
      <c r="F217" s="254"/>
    </row>
    <row r="218" spans="2:6" x14ac:dyDescent="0.35">
      <c r="B218" s="237">
        <v>4532.3999999999996</v>
      </c>
      <c r="C218" s="237" t="s">
        <v>1095</v>
      </c>
      <c r="D218" s="254"/>
      <c r="E218" s="254"/>
      <c r="F218" s="254"/>
    </row>
    <row r="219" spans="2:6" x14ac:dyDescent="0.35">
      <c r="B219" s="237">
        <v>4533</v>
      </c>
      <c r="C219" s="237" t="s">
        <v>792</v>
      </c>
      <c r="D219" s="254"/>
      <c r="E219" s="254"/>
      <c r="F219" s="254"/>
    </row>
    <row r="220" spans="2:6" x14ac:dyDescent="0.35">
      <c r="B220" s="237">
        <v>4534</v>
      </c>
      <c r="C220" s="237" t="s">
        <v>894</v>
      </c>
      <c r="D220" s="254"/>
      <c r="E220" s="254"/>
      <c r="F220" s="254"/>
    </row>
    <row r="221" spans="2:6" x14ac:dyDescent="0.35">
      <c r="B221" s="237">
        <v>4534.1000000000004</v>
      </c>
      <c r="C221" s="237" t="s">
        <v>895</v>
      </c>
      <c r="D221" s="254"/>
      <c r="E221" s="254"/>
      <c r="F221" s="254"/>
    </row>
    <row r="222" spans="2:6" x14ac:dyDescent="0.35">
      <c r="B222" s="237">
        <v>4534.2</v>
      </c>
      <c r="C222" s="237" t="s">
        <v>1096</v>
      </c>
      <c r="D222" s="254"/>
      <c r="E222" s="254"/>
      <c r="F222" s="254"/>
    </row>
    <row r="223" spans="2:6" x14ac:dyDescent="0.35">
      <c r="B223" s="237">
        <v>4535</v>
      </c>
      <c r="C223" s="237" t="s">
        <v>1097</v>
      </c>
      <c r="D223" s="254"/>
      <c r="E223" s="254"/>
      <c r="F223" s="254"/>
    </row>
    <row r="224" spans="2:6" x14ac:dyDescent="0.35">
      <c r="B224" s="237">
        <v>4535.1000000000004</v>
      </c>
      <c r="C224" s="237" t="s">
        <v>36</v>
      </c>
      <c r="D224" s="254"/>
      <c r="E224" s="254"/>
      <c r="F224" s="254"/>
    </row>
    <row r="225" spans="2:6" x14ac:dyDescent="0.35">
      <c r="B225" s="237">
        <v>4535.2</v>
      </c>
      <c r="C225" s="237" t="s">
        <v>985</v>
      </c>
      <c r="D225" s="254"/>
      <c r="E225" s="254"/>
      <c r="F225" s="254"/>
    </row>
    <row r="226" spans="2:6" x14ac:dyDescent="0.35">
      <c r="B226" s="237">
        <v>4536</v>
      </c>
      <c r="C226" s="237" t="s">
        <v>793</v>
      </c>
      <c r="D226" s="254"/>
      <c r="E226" s="254"/>
      <c r="F226" s="254"/>
    </row>
    <row r="227" spans="2:6" x14ac:dyDescent="0.35">
      <c r="B227" s="237">
        <v>4536.1000000000004</v>
      </c>
      <c r="C227" s="237" t="s">
        <v>1098</v>
      </c>
      <c r="D227" s="254"/>
      <c r="E227" s="254"/>
      <c r="F227" s="254"/>
    </row>
    <row r="228" spans="2:6" x14ac:dyDescent="0.35">
      <c r="B228" s="237">
        <v>4536.2</v>
      </c>
      <c r="C228" s="237" t="s">
        <v>794</v>
      </c>
      <c r="D228" s="254"/>
      <c r="E228" s="254"/>
      <c r="F228" s="254"/>
    </row>
    <row r="229" spans="2:6" x14ac:dyDescent="0.35">
      <c r="B229" s="237">
        <v>4536.3</v>
      </c>
      <c r="C229" s="237" t="s">
        <v>795</v>
      </c>
      <c r="D229" s="254"/>
      <c r="E229" s="254"/>
      <c r="F229" s="254"/>
    </row>
    <row r="230" spans="2:6" x14ac:dyDescent="0.35">
      <c r="B230" s="237">
        <v>4536.3999999999996</v>
      </c>
      <c r="C230" s="237" t="s">
        <v>1099</v>
      </c>
      <c r="D230" s="254"/>
      <c r="E230" s="254"/>
      <c r="F230" s="254"/>
    </row>
    <row r="231" spans="2:6" x14ac:dyDescent="0.35">
      <c r="B231" s="237">
        <v>4536.5</v>
      </c>
      <c r="C231" s="237" t="s">
        <v>1100</v>
      </c>
      <c r="D231" s="254"/>
      <c r="E231" s="254"/>
      <c r="F231" s="254"/>
    </row>
    <row r="232" spans="2:6" x14ac:dyDescent="0.35">
      <c r="B232" s="237">
        <v>4537</v>
      </c>
      <c r="C232" s="237" t="s">
        <v>896</v>
      </c>
      <c r="D232" s="254"/>
      <c r="E232" s="254"/>
      <c r="F232" s="254"/>
    </row>
    <row r="233" spans="2:6" x14ac:dyDescent="0.35">
      <c r="B233" s="237">
        <v>4537.1000000000004</v>
      </c>
      <c r="C233" s="237" t="s">
        <v>1101</v>
      </c>
      <c r="D233" s="254"/>
      <c r="E233" s="254"/>
      <c r="F233" s="254"/>
    </row>
    <row r="234" spans="2:6" x14ac:dyDescent="0.35">
      <c r="B234" s="237">
        <v>4538</v>
      </c>
      <c r="C234" s="237" t="s">
        <v>796</v>
      </c>
      <c r="D234" s="254"/>
      <c r="E234" s="254"/>
      <c r="F234" s="254"/>
    </row>
    <row r="235" spans="2:6" x14ac:dyDescent="0.35">
      <c r="B235" s="237">
        <v>4539</v>
      </c>
      <c r="C235" s="237" t="s">
        <v>798</v>
      </c>
      <c r="D235" s="254"/>
      <c r="E235" s="254"/>
      <c r="F235" s="254"/>
    </row>
    <row r="236" spans="2:6" x14ac:dyDescent="0.35">
      <c r="B236" s="237">
        <v>4539.1000000000004</v>
      </c>
      <c r="C236" s="237" t="s">
        <v>897</v>
      </c>
      <c r="D236" s="254"/>
      <c r="E236" s="254"/>
      <c r="F236" s="254"/>
    </row>
    <row r="237" spans="2:6" x14ac:dyDescent="0.35">
      <c r="B237" s="237">
        <v>4539.2</v>
      </c>
      <c r="C237" s="237" t="s">
        <v>898</v>
      </c>
      <c r="D237" s="254"/>
      <c r="E237" s="254"/>
      <c r="F237" s="254"/>
    </row>
    <row r="238" spans="2:6" x14ac:dyDescent="0.35">
      <c r="B238" s="237">
        <v>4539.3</v>
      </c>
      <c r="C238" s="237" t="s">
        <v>1102</v>
      </c>
      <c r="D238" s="254"/>
      <c r="E238" s="254"/>
      <c r="F238" s="254"/>
    </row>
    <row r="239" spans="2:6" x14ac:dyDescent="0.35">
      <c r="B239" s="237">
        <v>4540</v>
      </c>
      <c r="C239" s="237" t="s">
        <v>1103</v>
      </c>
      <c r="D239" s="254"/>
      <c r="E239" s="254"/>
      <c r="F239" s="254"/>
    </row>
    <row r="240" spans="2:6" x14ac:dyDescent="0.35">
      <c r="B240" s="237">
        <v>4541</v>
      </c>
      <c r="C240" s="237" t="s">
        <v>797</v>
      </c>
      <c r="D240" s="254"/>
      <c r="E240" s="254"/>
      <c r="F240" s="254"/>
    </row>
    <row r="241" spans="2:6" x14ac:dyDescent="0.35">
      <c r="B241" s="237">
        <v>4542</v>
      </c>
      <c r="C241" s="237" t="s">
        <v>798</v>
      </c>
      <c r="D241" s="254"/>
      <c r="E241" s="254"/>
      <c r="F241" s="254"/>
    </row>
    <row r="242" spans="2:6" x14ac:dyDescent="0.35">
      <c r="B242" s="237">
        <v>4543</v>
      </c>
      <c r="C242" s="237" t="s">
        <v>1104</v>
      </c>
      <c r="D242" s="254"/>
      <c r="E242" s="254"/>
      <c r="F242" s="254"/>
    </row>
    <row r="243" spans="2:6" x14ac:dyDescent="0.35">
      <c r="B243" s="237">
        <v>4544</v>
      </c>
      <c r="C243" s="237" t="s">
        <v>1105</v>
      </c>
      <c r="D243" s="254"/>
      <c r="E243" s="254"/>
      <c r="F243" s="254"/>
    </row>
    <row r="244" spans="2:6" x14ac:dyDescent="0.35">
      <c r="B244" s="237">
        <v>4545</v>
      </c>
      <c r="C244" s="237" t="s">
        <v>1106</v>
      </c>
      <c r="D244" s="254"/>
      <c r="E244" s="254"/>
      <c r="F244" s="254"/>
    </row>
    <row r="245" spans="2:6" x14ac:dyDescent="0.35">
      <c r="B245" s="237">
        <v>4546</v>
      </c>
      <c r="C245" s="237" t="s">
        <v>1107</v>
      </c>
      <c r="D245" s="254"/>
      <c r="E245" s="254"/>
      <c r="F245" s="254"/>
    </row>
    <row r="246" spans="2:6" x14ac:dyDescent="0.35">
      <c r="B246" s="237">
        <v>5000</v>
      </c>
      <c r="C246" s="237" t="s">
        <v>799</v>
      </c>
      <c r="D246" s="254"/>
      <c r="E246" s="254"/>
      <c r="F246" s="254"/>
    </row>
    <row r="247" spans="2:6" x14ac:dyDescent="0.35">
      <c r="B247" s="237">
        <v>5015</v>
      </c>
      <c r="C247" s="237" t="s">
        <v>1108</v>
      </c>
      <c r="D247" s="254"/>
      <c r="E247" s="254"/>
      <c r="F247" s="254"/>
    </row>
    <row r="248" spans="2:6" x14ac:dyDescent="0.35">
      <c r="B248" s="237">
        <v>5020</v>
      </c>
      <c r="C248" s="237" t="s">
        <v>1109</v>
      </c>
      <c r="D248" s="254"/>
      <c r="E248" s="254"/>
      <c r="F248" s="254"/>
    </row>
    <row r="249" spans="2:6" x14ac:dyDescent="0.35">
      <c r="B249" s="237">
        <v>5030</v>
      </c>
      <c r="C249" s="237" t="s">
        <v>800</v>
      </c>
      <c r="D249" s="254"/>
      <c r="E249" s="254"/>
      <c r="F249" s="254"/>
    </row>
    <row r="250" spans="2:6" x14ac:dyDescent="0.35">
      <c r="B250" s="237">
        <v>5040</v>
      </c>
      <c r="C250" s="237" t="s">
        <v>1110</v>
      </c>
      <c r="D250" s="254"/>
      <c r="E250" s="254"/>
      <c r="F250" s="254"/>
    </row>
    <row r="251" spans="2:6" x14ac:dyDescent="0.35">
      <c r="B251" s="237">
        <v>5050</v>
      </c>
      <c r="C251" s="237" t="s">
        <v>801</v>
      </c>
      <c r="D251" s="254"/>
      <c r="E251" s="254"/>
      <c r="F251" s="254"/>
    </row>
    <row r="252" spans="2:6" x14ac:dyDescent="0.35">
      <c r="B252" s="237">
        <v>5051</v>
      </c>
      <c r="C252" s="237" t="s">
        <v>1111</v>
      </c>
      <c r="D252" s="254"/>
      <c r="E252" s="254"/>
      <c r="F252" s="254"/>
    </row>
    <row r="253" spans="2:6" x14ac:dyDescent="0.35">
      <c r="B253" s="237">
        <v>5052</v>
      </c>
      <c r="C253" s="237" t="s">
        <v>1112</v>
      </c>
      <c r="D253" s="254"/>
      <c r="E253" s="254"/>
      <c r="F253" s="254"/>
    </row>
    <row r="254" spans="2:6" x14ac:dyDescent="0.35">
      <c r="B254" s="237">
        <v>5053</v>
      </c>
      <c r="C254" s="237" t="s">
        <v>1113</v>
      </c>
      <c r="D254" s="254"/>
      <c r="E254" s="254"/>
      <c r="F254" s="254"/>
    </row>
    <row r="255" spans="2:6" x14ac:dyDescent="0.35">
      <c r="B255" s="237">
        <v>5054</v>
      </c>
      <c r="C255" s="237" t="s">
        <v>1114</v>
      </c>
      <c r="D255" s="254"/>
      <c r="E255" s="254"/>
      <c r="F255" s="254"/>
    </row>
    <row r="256" spans="2:6" x14ac:dyDescent="0.35">
      <c r="B256" s="237">
        <v>5100</v>
      </c>
      <c r="C256" s="237" t="s">
        <v>802</v>
      </c>
      <c r="D256" s="254"/>
      <c r="E256" s="254"/>
      <c r="F256" s="254"/>
    </row>
    <row r="257" spans="2:6" x14ac:dyDescent="0.35">
      <c r="B257" s="237">
        <v>5110</v>
      </c>
      <c r="C257" s="237" t="s">
        <v>1115</v>
      </c>
      <c r="D257" s="254"/>
      <c r="E257" s="254"/>
      <c r="F257" s="254"/>
    </row>
    <row r="258" spans="2:6" x14ac:dyDescent="0.35">
      <c r="B258" s="237">
        <v>5120</v>
      </c>
      <c r="C258" s="237" t="s">
        <v>1116</v>
      </c>
      <c r="D258" s="254"/>
      <c r="E258" s="254"/>
      <c r="F258" s="254"/>
    </row>
    <row r="259" spans="2:6" x14ac:dyDescent="0.35">
      <c r="B259" s="237">
        <v>5121</v>
      </c>
      <c r="C259" s="237" t="s">
        <v>1117</v>
      </c>
      <c r="D259" s="254"/>
      <c r="E259" s="254"/>
      <c r="F259" s="254"/>
    </row>
    <row r="260" spans="2:6" x14ac:dyDescent="0.35">
      <c r="B260" s="237">
        <v>5122</v>
      </c>
      <c r="C260" s="237" t="s">
        <v>803</v>
      </c>
      <c r="D260" s="254"/>
      <c r="E260" s="254"/>
      <c r="F260" s="254"/>
    </row>
    <row r="261" spans="2:6" x14ac:dyDescent="0.35">
      <c r="B261" s="237">
        <v>5123</v>
      </c>
      <c r="C261" s="237" t="s">
        <v>1118</v>
      </c>
      <c r="D261" s="254"/>
      <c r="E261" s="254"/>
      <c r="F261" s="254"/>
    </row>
    <row r="262" spans="2:6" x14ac:dyDescent="0.35">
      <c r="B262" s="237">
        <v>5130</v>
      </c>
      <c r="C262" s="237" t="s">
        <v>1119</v>
      </c>
      <c r="D262" s="254"/>
      <c r="E262" s="254"/>
      <c r="F262" s="254"/>
    </row>
    <row r="263" spans="2:6" x14ac:dyDescent="0.35">
      <c r="B263" s="237">
        <v>5131</v>
      </c>
      <c r="C263" s="237" t="s">
        <v>804</v>
      </c>
      <c r="D263" s="254"/>
      <c r="E263" s="254"/>
      <c r="F263" s="254"/>
    </row>
    <row r="264" spans="2:6" x14ac:dyDescent="0.35">
      <c r="B264" s="237">
        <v>5132</v>
      </c>
      <c r="C264" s="237" t="s">
        <v>805</v>
      </c>
      <c r="D264" s="254"/>
      <c r="E264" s="254"/>
      <c r="F264" s="254"/>
    </row>
    <row r="265" spans="2:6" x14ac:dyDescent="0.35">
      <c r="B265" s="237">
        <v>5190</v>
      </c>
      <c r="C265" s="237" t="s">
        <v>1120</v>
      </c>
      <c r="D265" s="254"/>
      <c r="E265" s="254"/>
      <c r="F265" s="254"/>
    </row>
    <row r="266" spans="2:6" x14ac:dyDescent="0.35">
      <c r="B266" s="237">
        <v>5191</v>
      </c>
      <c r="C266" s="237" t="s">
        <v>806</v>
      </c>
      <c r="D266" s="254"/>
      <c r="E266" s="254"/>
      <c r="F266" s="254"/>
    </row>
    <row r="267" spans="2:6" x14ac:dyDescent="0.35">
      <c r="B267" s="237">
        <v>5300</v>
      </c>
      <c r="C267" s="237" t="s">
        <v>807</v>
      </c>
      <c r="D267" s="254"/>
      <c r="E267" s="254"/>
      <c r="F267" s="254"/>
    </row>
    <row r="268" spans="2:6" x14ac:dyDescent="0.35">
      <c r="B268" s="237">
        <v>5310</v>
      </c>
      <c r="C268" s="237" t="s">
        <v>1121</v>
      </c>
      <c r="D268" s="254"/>
      <c r="E268" s="254"/>
      <c r="F268" s="254"/>
    </row>
    <row r="269" spans="2:6" x14ac:dyDescent="0.35">
      <c r="B269" s="237">
        <v>5400</v>
      </c>
      <c r="C269" s="237" t="s">
        <v>808</v>
      </c>
      <c r="D269" s="254"/>
      <c r="E269" s="254"/>
      <c r="F269" s="254"/>
    </row>
    <row r="270" spans="2:6" x14ac:dyDescent="0.35">
      <c r="B270" s="237">
        <v>5410</v>
      </c>
      <c r="C270" s="237" t="s">
        <v>1122</v>
      </c>
      <c r="D270" s="254"/>
      <c r="E270" s="254"/>
      <c r="F270" s="254"/>
    </row>
    <row r="271" spans="2:6" x14ac:dyDescent="0.35">
      <c r="B271" s="237">
        <v>5412</v>
      </c>
      <c r="C271" s="237" t="s">
        <v>1123</v>
      </c>
      <c r="D271" s="254"/>
      <c r="E271" s="254"/>
      <c r="F271" s="254"/>
    </row>
    <row r="272" spans="2:6" x14ac:dyDescent="0.35">
      <c r="B272" s="237">
        <v>5490</v>
      </c>
      <c r="C272" s="237" t="s">
        <v>1124</v>
      </c>
      <c r="D272" s="254"/>
      <c r="E272" s="254"/>
      <c r="F272" s="254"/>
    </row>
    <row r="273" spans="2:6" x14ac:dyDescent="0.35">
      <c r="B273" s="237">
        <v>5491</v>
      </c>
      <c r="C273" s="237" t="s">
        <v>1125</v>
      </c>
      <c r="D273" s="254"/>
      <c r="E273" s="254"/>
      <c r="F273" s="254"/>
    </row>
    <row r="274" spans="2:6" x14ac:dyDescent="0.35">
      <c r="B274" s="237">
        <v>5492</v>
      </c>
      <c r="C274" s="237" t="s">
        <v>809</v>
      </c>
      <c r="D274" s="254"/>
      <c r="E274" s="254"/>
      <c r="F274" s="254"/>
    </row>
    <row r="275" spans="2:6" x14ac:dyDescent="0.35">
      <c r="B275" s="237">
        <v>5493</v>
      </c>
      <c r="C275" s="237" t="s">
        <v>1126</v>
      </c>
      <c r="D275" s="254"/>
      <c r="E275" s="254"/>
      <c r="F275" s="254"/>
    </row>
    <row r="276" spans="2:6" x14ac:dyDescent="0.35">
      <c r="B276" s="237">
        <v>5800</v>
      </c>
      <c r="C276" s="237" t="s">
        <v>810</v>
      </c>
      <c r="D276" s="254"/>
      <c r="E276" s="254"/>
      <c r="F276" s="254"/>
    </row>
    <row r="277" spans="2:6" x14ac:dyDescent="0.35">
      <c r="B277" s="237">
        <v>5810</v>
      </c>
      <c r="C277" s="237" t="s">
        <v>1127</v>
      </c>
      <c r="D277" s="254"/>
      <c r="E277" s="254"/>
      <c r="F277" s="254"/>
    </row>
    <row r="278" spans="2:6" x14ac:dyDescent="0.35">
      <c r="B278" s="237">
        <v>5811</v>
      </c>
      <c r="C278" s="237" t="s">
        <v>900</v>
      </c>
      <c r="D278" s="254"/>
      <c r="E278" s="254"/>
      <c r="F278" s="254"/>
    </row>
    <row r="279" spans="2:6" x14ac:dyDescent="0.35">
      <c r="B279" s="237">
        <v>5812</v>
      </c>
      <c r="C279" s="237" t="s">
        <v>901</v>
      </c>
      <c r="D279" s="254"/>
      <c r="E279" s="254"/>
      <c r="F279" s="254"/>
    </row>
    <row r="280" spans="2:6" x14ac:dyDescent="0.35">
      <c r="B280" s="237">
        <v>5813</v>
      </c>
      <c r="C280" s="237" t="s">
        <v>1128</v>
      </c>
      <c r="D280" s="254"/>
      <c r="E280" s="254"/>
      <c r="F280" s="254"/>
    </row>
    <row r="281" spans="2:6" x14ac:dyDescent="0.35">
      <c r="B281" s="237">
        <v>5820</v>
      </c>
      <c r="C281" s="237" t="s">
        <v>1129</v>
      </c>
      <c r="D281" s="254"/>
      <c r="E281" s="254"/>
      <c r="F281" s="254"/>
    </row>
    <row r="282" spans="2:6" x14ac:dyDescent="0.35">
      <c r="B282" s="237">
        <v>5821</v>
      </c>
      <c r="C282" s="237" t="s">
        <v>811</v>
      </c>
      <c r="D282" s="254"/>
      <c r="E282" s="254"/>
      <c r="F282" s="254"/>
    </row>
    <row r="283" spans="2:6" x14ac:dyDescent="0.35">
      <c r="B283" s="237">
        <v>5822</v>
      </c>
      <c r="C283" s="237" t="s">
        <v>812</v>
      </c>
      <c r="D283" s="254"/>
      <c r="E283" s="254"/>
      <c r="F283" s="254"/>
    </row>
    <row r="284" spans="2:6" x14ac:dyDescent="0.35">
      <c r="B284" s="237">
        <v>5823</v>
      </c>
      <c r="C284" s="237" t="s">
        <v>813</v>
      </c>
      <c r="D284" s="254"/>
      <c r="E284" s="254"/>
      <c r="F284" s="254"/>
    </row>
    <row r="285" spans="2:6" x14ac:dyDescent="0.35">
      <c r="B285" s="237">
        <v>5824</v>
      </c>
      <c r="C285" s="237" t="s">
        <v>814</v>
      </c>
      <c r="D285" s="254"/>
      <c r="E285" s="254"/>
      <c r="F285" s="254"/>
    </row>
    <row r="286" spans="2:6" x14ac:dyDescent="0.35">
      <c r="B286" s="237">
        <v>5825</v>
      </c>
      <c r="C286" s="237" t="s">
        <v>1130</v>
      </c>
      <c r="D286" s="254"/>
      <c r="E286" s="254"/>
      <c r="F286" s="254"/>
    </row>
    <row r="287" spans="2:6" x14ac:dyDescent="0.35">
      <c r="B287" s="237">
        <v>5830</v>
      </c>
      <c r="C287" s="237" t="s">
        <v>1131</v>
      </c>
      <c r="D287" s="254"/>
      <c r="E287" s="254"/>
      <c r="F287" s="254"/>
    </row>
    <row r="288" spans="2:6" x14ac:dyDescent="0.35">
      <c r="B288" s="237">
        <v>6000</v>
      </c>
      <c r="C288" s="237" t="s">
        <v>902</v>
      </c>
      <c r="D288" s="254"/>
      <c r="E288" s="254"/>
      <c r="F288" s="254"/>
    </row>
    <row r="289" spans="2:6" x14ac:dyDescent="0.35">
      <c r="B289" s="237">
        <v>7000</v>
      </c>
      <c r="C289" s="237" t="s">
        <v>903</v>
      </c>
      <c r="D289" s="254"/>
      <c r="E289" s="254"/>
      <c r="F289" s="254"/>
    </row>
    <row r="290" spans="2:6" x14ac:dyDescent="0.35">
      <c r="B290" s="237">
        <v>7010</v>
      </c>
      <c r="C290" s="237" t="s">
        <v>1132</v>
      </c>
      <c r="D290" s="254"/>
      <c r="E290" s="254"/>
      <c r="F290" s="254"/>
    </row>
    <row r="291" spans="2:6" x14ac:dyDescent="0.35">
      <c r="B291" s="237">
        <v>7020</v>
      </c>
      <c r="C291" s="237" t="s">
        <v>1133</v>
      </c>
      <c r="D291" s="254"/>
      <c r="E291" s="254"/>
      <c r="F291" s="254"/>
    </row>
    <row r="292" spans="2:6" x14ac:dyDescent="0.35">
      <c r="B292" s="237">
        <v>7100</v>
      </c>
      <c r="C292" s="237" t="s">
        <v>815</v>
      </c>
      <c r="D292" s="254"/>
      <c r="E292" s="254"/>
      <c r="F292" s="254"/>
    </row>
    <row r="293" spans="2:6" x14ac:dyDescent="0.35">
      <c r="B293" s="237">
        <v>7110</v>
      </c>
      <c r="C293" s="237" t="s">
        <v>1134</v>
      </c>
      <c r="D293" s="254"/>
      <c r="E293" s="254"/>
      <c r="F293" s="254"/>
    </row>
    <row r="294" spans="2:6" x14ac:dyDescent="0.35">
      <c r="B294" s="237">
        <v>7112</v>
      </c>
      <c r="C294" s="237" t="s">
        <v>816</v>
      </c>
      <c r="D294" s="254"/>
      <c r="E294" s="254"/>
      <c r="F294" s="254"/>
    </row>
    <row r="295" spans="2:6" x14ac:dyDescent="0.35">
      <c r="B295" s="237">
        <v>7112.1</v>
      </c>
      <c r="C295" s="237" t="s">
        <v>1135</v>
      </c>
      <c r="D295" s="254"/>
      <c r="E295" s="254"/>
      <c r="F295" s="254"/>
    </row>
    <row r="296" spans="2:6" x14ac:dyDescent="0.35">
      <c r="B296" s="237">
        <v>7120</v>
      </c>
      <c r="C296" s="237" t="s">
        <v>824</v>
      </c>
      <c r="D296" s="254"/>
      <c r="E296" s="254"/>
      <c r="F296" s="254"/>
    </row>
    <row r="297" spans="2:6" x14ac:dyDescent="0.35">
      <c r="B297" s="237">
        <v>7121</v>
      </c>
      <c r="C297" s="237" t="s">
        <v>1136</v>
      </c>
      <c r="D297" s="254"/>
      <c r="E297" s="254"/>
      <c r="F297" s="254"/>
    </row>
    <row r="298" spans="2:6" x14ac:dyDescent="0.35">
      <c r="B298" s="237">
        <v>7125</v>
      </c>
      <c r="C298" s="237" t="s">
        <v>1137</v>
      </c>
      <c r="D298" s="254"/>
      <c r="E298" s="254"/>
      <c r="F298" s="254"/>
    </row>
    <row r="299" spans="2:6" x14ac:dyDescent="0.35">
      <c r="B299" s="237">
        <v>7130</v>
      </c>
      <c r="C299" s="237" t="s">
        <v>1138</v>
      </c>
      <c r="D299" s="254"/>
      <c r="E299" s="254"/>
      <c r="F299" s="254"/>
    </row>
    <row r="300" spans="2:6" x14ac:dyDescent="0.35">
      <c r="B300" s="237">
        <v>7131</v>
      </c>
      <c r="C300" s="237" t="s">
        <v>1139</v>
      </c>
      <c r="D300" s="254"/>
      <c r="E300" s="254"/>
      <c r="F300" s="254"/>
    </row>
    <row r="301" spans="2:6" x14ac:dyDescent="0.35">
      <c r="B301" s="237">
        <v>7132</v>
      </c>
      <c r="C301" s="237" t="s">
        <v>1140</v>
      </c>
      <c r="D301" s="254"/>
      <c r="E301" s="254"/>
      <c r="F301" s="254"/>
    </row>
    <row r="302" spans="2:6" x14ac:dyDescent="0.35">
      <c r="B302" s="237">
        <v>7200</v>
      </c>
      <c r="C302" s="237" t="s">
        <v>817</v>
      </c>
      <c r="D302" s="254"/>
      <c r="E302" s="254"/>
      <c r="F302" s="254"/>
    </row>
    <row r="303" spans="2:6" x14ac:dyDescent="0.35">
      <c r="B303" s="237">
        <v>7220</v>
      </c>
      <c r="C303" s="237" t="s">
        <v>1141</v>
      </c>
      <c r="D303" s="254"/>
      <c r="E303" s="254"/>
      <c r="F303" s="254"/>
    </row>
    <row r="304" spans="2:6" x14ac:dyDescent="0.35">
      <c r="B304" s="237">
        <v>7221</v>
      </c>
      <c r="C304" s="237" t="s">
        <v>1142</v>
      </c>
      <c r="D304" s="254"/>
      <c r="E304" s="254"/>
      <c r="F304" s="254"/>
    </row>
    <row r="305" spans="2:6" x14ac:dyDescent="0.35">
      <c r="B305" s="237">
        <v>7222</v>
      </c>
      <c r="C305" s="237" t="s">
        <v>1143</v>
      </c>
      <c r="D305" s="254"/>
      <c r="E305" s="254"/>
      <c r="F305" s="254"/>
    </row>
    <row r="306" spans="2:6" x14ac:dyDescent="0.35">
      <c r="B306" s="237">
        <v>7223</v>
      </c>
      <c r="C306" s="237" t="s">
        <v>1144</v>
      </c>
      <c r="D306" s="254"/>
      <c r="E306" s="254"/>
      <c r="F306" s="254"/>
    </row>
    <row r="307" spans="2:6" x14ac:dyDescent="0.35">
      <c r="B307" s="237">
        <v>7225</v>
      </c>
      <c r="C307" s="237" t="s">
        <v>1145</v>
      </c>
      <c r="D307" s="254"/>
      <c r="E307" s="254"/>
      <c r="F307" s="254"/>
    </row>
    <row r="308" spans="2:6" x14ac:dyDescent="0.35">
      <c r="B308" s="237">
        <v>7226</v>
      </c>
      <c r="C308" s="237" t="s">
        <v>1146</v>
      </c>
      <c r="D308" s="254"/>
      <c r="E308" s="254"/>
      <c r="F308" s="254"/>
    </row>
    <row r="309" spans="2:6" x14ac:dyDescent="0.35">
      <c r="B309" s="237">
        <v>7227</v>
      </c>
      <c r="C309" s="237" t="s">
        <v>1147</v>
      </c>
      <c r="D309" s="254"/>
      <c r="E309" s="254"/>
      <c r="F309" s="254"/>
    </row>
    <row r="310" spans="2:6" x14ac:dyDescent="0.35">
      <c r="B310" s="237">
        <v>7228</v>
      </c>
      <c r="C310" s="237" t="s">
        <v>1148</v>
      </c>
      <c r="D310" s="254"/>
      <c r="E310" s="254"/>
      <c r="F310" s="254"/>
    </row>
    <row r="311" spans="2:6" x14ac:dyDescent="0.35">
      <c r="B311" s="237">
        <v>7230</v>
      </c>
      <c r="C311" s="237" t="s">
        <v>904</v>
      </c>
      <c r="D311" s="254"/>
      <c r="E311" s="254"/>
      <c r="F311" s="254"/>
    </row>
    <row r="312" spans="2:6" x14ac:dyDescent="0.35">
      <c r="B312" s="237">
        <v>7240</v>
      </c>
      <c r="C312" s="237" t="s">
        <v>1149</v>
      </c>
      <c r="D312" s="254"/>
      <c r="E312" s="254"/>
      <c r="F312" s="254"/>
    </row>
    <row r="313" spans="2:6" x14ac:dyDescent="0.35">
      <c r="B313" s="237">
        <v>7241</v>
      </c>
      <c r="C313" s="237" t="s">
        <v>818</v>
      </c>
      <c r="D313" s="254"/>
      <c r="E313" s="254"/>
      <c r="F313" s="254"/>
    </row>
    <row r="314" spans="2:6" x14ac:dyDescent="0.35">
      <c r="B314" s="237">
        <v>7241.1</v>
      </c>
      <c r="C314" s="237" t="s">
        <v>1150</v>
      </c>
      <c r="D314" s="254"/>
      <c r="E314" s="254"/>
      <c r="F314" s="254"/>
    </row>
    <row r="315" spans="2:6" x14ac:dyDescent="0.35">
      <c r="B315" s="237">
        <v>7241.2</v>
      </c>
      <c r="C315" s="237" t="s">
        <v>819</v>
      </c>
      <c r="D315" s="254"/>
      <c r="E315" s="254"/>
      <c r="F315" s="254"/>
    </row>
    <row r="316" spans="2:6" x14ac:dyDescent="0.35">
      <c r="B316" s="237">
        <v>7242</v>
      </c>
      <c r="C316" s="237" t="s">
        <v>1151</v>
      </c>
      <c r="D316" s="254"/>
      <c r="E316" s="254"/>
      <c r="F316" s="254"/>
    </row>
    <row r="317" spans="2:6" x14ac:dyDescent="0.35">
      <c r="B317" s="237">
        <v>7243</v>
      </c>
      <c r="C317" s="237" t="s">
        <v>820</v>
      </c>
      <c r="D317" s="254"/>
      <c r="E317" s="254"/>
      <c r="F317" s="254"/>
    </row>
    <row r="318" spans="2:6" x14ac:dyDescent="0.35">
      <c r="B318" s="237">
        <v>7244</v>
      </c>
      <c r="C318" s="237" t="s">
        <v>821</v>
      </c>
      <c r="D318" s="254"/>
      <c r="E318" s="254"/>
      <c r="F318" s="254"/>
    </row>
    <row r="319" spans="2:6" x14ac:dyDescent="0.35">
      <c r="B319" s="237">
        <v>7245</v>
      </c>
      <c r="C319" s="237" t="s">
        <v>822</v>
      </c>
      <c r="D319" s="254"/>
      <c r="E319" s="254"/>
      <c r="F319" s="254"/>
    </row>
    <row r="320" spans="2:6" x14ac:dyDescent="0.35">
      <c r="B320" s="237">
        <v>7246</v>
      </c>
      <c r="C320" s="237" t="s">
        <v>1152</v>
      </c>
      <c r="D320" s="254"/>
      <c r="E320" s="254"/>
      <c r="F320" s="254"/>
    </row>
    <row r="321" spans="2:6" x14ac:dyDescent="0.35">
      <c r="B321" s="237">
        <v>7247</v>
      </c>
      <c r="C321" s="237" t="s">
        <v>823</v>
      </c>
      <c r="D321" s="254"/>
      <c r="E321" s="254"/>
      <c r="F321" s="254"/>
    </row>
    <row r="322" spans="2:6" x14ac:dyDescent="0.35">
      <c r="B322" s="237">
        <v>7248</v>
      </c>
      <c r="C322" s="237" t="s">
        <v>1153</v>
      </c>
      <c r="D322" s="254"/>
      <c r="E322" s="254"/>
      <c r="F322" s="254"/>
    </row>
    <row r="323" spans="2:6" x14ac:dyDescent="0.35">
      <c r="B323" s="237">
        <v>7250</v>
      </c>
      <c r="C323" s="237" t="s">
        <v>1154</v>
      </c>
      <c r="D323" s="254"/>
      <c r="E323" s="254"/>
      <c r="F323" s="254"/>
    </row>
    <row r="324" spans="2:6" x14ac:dyDescent="0.35">
      <c r="B324" s="237">
        <v>7251</v>
      </c>
      <c r="C324" s="237" t="s">
        <v>1155</v>
      </c>
      <c r="D324" s="254"/>
      <c r="E324" s="254"/>
      <c r="F324" s="254"/>
    </row>
    <row r="325" spans="2:6" x14ac:dyDescent="0.35">
      <c r="B325" s="237">
        <v>7252</v>
      </c>
      <c r="C325" s="237" t="s">
        <v>1156</v>
      </c>
      <c r="D325" s="254"/>
      <c r="E325" s="254"/>
      <c r="F325" s="254"/>
    </row>
    <row r="326" spans="2:6" x14ac:dyDescent="0.35">
      <c r="B326" s="237">
        <v>7253</v>
      </c>
      <c r="C326" s="237" t="s">
        <v>1157</v>
      </c>
      <c r="D326" s="254"/>
      <c r="E326" s="254"/>
      <c r="F326" s="254"/>
    </row>
    <row r="327" spans="2:6" x14ac:dyDescent="0.35">
      <c r="B327" s="237">
        <v>7254</v>
      </c>
      <c r="C327" s="237" t="s">
        <v>3</v>
      </c>
      <c r="D327" s="254"/>
      <c r="E327" s="254"/>
      <c r="F327" s="254"/>
    </row>
    <row r="328" spans="2:6" x14ac:dyDescent="0.35">
      <c r="B328" s="237">
        <v>7260</v>
      </c>
      <c r="C328" s="237" t="s">
        <v>1158</v>
      </c>
      <c r="D328" s="254"/>
      <c r="E328" s="254"/>
      <c r="F328" s="254"/>
    </row>
    <row r="329" spans="2:6" x14ac:dyDescent="0.35">
      <c r="B329" s="237">
        <v>7260.1</v>
      </c>
      <c r="C329" s="237" t="s">
        <v>1159</v>
      </c>
      <c r="D329" s="254"/>
      <c r="E329" s="254"/>
      <c r="F329" s="254"/>
    </row>
    <row r="330" spans="2:6" x14ac:dyDescent="0.35">
      <c r="B330" s="237">
        <v>7270</v>
      </c>
      <c r="C330" s="237" t="s">
        <v>1160</v>
      </c>
      <c r="D330" s="254"/>
      <c r="E330" s="254"/>
      <c r="F330" s="254"/>
    </row>
    <row r="331" spans="2:6" x14ac:dyDescent="0.35">
      <c r="B331" s="237">
        <v>7500</v>
      </c>
      <c r="C331" s="237" t="s">
        <v>825</v>
      </c>
      <c r="D331" s="254"/>
      <c r="E331" s="254"/>
      <c r="F331" s="254"/>
    </row>
    <row r="332" spans="2:6" x14ac:dyDescent="0.35">
      <c r="B332" s="237">
        <v>7510</v>
      </c>
      <c r="C332" s="237" t="s">
        <v>1161</v>
      </c>
      <c r="D332" s="254"/>
      <c r="E332" s="254"/>
      <c r="F332" s="254"/>
    </row>
    <row r="333" spans="2:6" x14ac:dyDescent="0.35">
      <c r="B333" s="237">
        <v>7515</v>
      </c>
      <c r="C333" s="237" t="s">
        <v>62</v>
      </c>
      <c r="D333" s="254"/>
      <c r="E333" s="254"/>
      <c r="F333" s="254"/>
    </row>
    <row r="334" spans="2:6" x14ac:dyDescent="0.35">
      <c r="B334" s="237">
        <v>7515.5</v>
      </c>
      <c r="C334" s="237" t="s">
        <v>1162</v>
      </c>
      <c r="D334" s="254"/>
      <c r="E334" s="254"/>
      <c r="F334" s="254"/>
    </row>
    <row r="335" spans="2:6" x14ac:dyDescent="0.35">
      <c r="B335" s="237">
        <v>7520</v>
      </c>
      <c r="C335" s="237" t="s">
        <v>1163</v>
      </c>
      <c r="D335" s="254"/>
      <c r="E335" s="254"/>
      <c r="F335" s="254"/>
    </row>
    <row r="336" spans="2:6" x14ac:dyDescent="0.35">
      <c r="B336" s="237">
        <v>7521</v>
      </c>
      <c r="C336" s="237" t="s">
        <v>826</v>
      </c>
      <c r="D336" s="254"/>
      <c r="E336" s="254"/>
      <c r="F336" s="254"/>
    </row>
    <row r="337" spans="2:6" x14ac:dyDescent="0.35">
      <c r="B337" s="237">
        <v>7522</v>
      </c>
      <c r="C337" s="237" t="s">
        <v>1164</v>
      </c>
      <c r="D337" s="254"/>
      <c r="E337" s="254"/>
      <c r="F337" s="254"/>
    </row>
    <row r="338" spans="2:6" x14ac:dyDescent="0.35">
      <c r="B338" s="237">
        <v>7530</v>
      </c>
      <c r="C338" s="237" t="s">
        <v>1165</v>
      </c>
      <c r="D338" s="254"/>
      <c r="E338" s="254"/>
      <c r="F338" s="254"/>
    </row>
    <row r="339" spans="2:6" x14ac:dyDescent="0.35">
      <c r="B339" s="237">
        <v>7540</v>
      </c>
      <c r="C339" s="237" t="s">
        <v>1166</v>
      </c>
      <c r="D339" s="254"/>
      <c r="E339" s="254"/>
      <c r="F339" s="254"/>
    </row>
    <row r="340" spans="2:6" x14ac:dyDescent="0.35">
      <c r="B340" s="237">
        <v>7550</v>
      </c>
      <c r="C340" s="237" t="s">
        <v>1167</v>
      </c>
      <c r="D340" s="254"/>
      <c r="E340" s="254"/>
      <c r="F340" s="254"/>
    </row>
    <row r="341" spans="2:6" x14ac:dyDescent="0.35">
      <c r="B341" s="237">
        <v>7560</v>
      </c>
      <c r="C341" s="237" t="s">
        <v>1168</v>
      </c>
      <c r="D341" s="254"/>
      <c r="E341" s="254"/>
      <c r="F341" s="254"/>
    </row>
    <row r="342" spans="2:6" x14ac:dyDescent="0.35">
      <c r="B342" s="237">
        <v>7570</v>
      </c>
      <c r="C342" s="237" t="s">
        <v>1169</v>
      </c>
      <c r="D342" s="254"/>
      <c r="E342" s="254"/>
      <c r="F342" s="254"/>
    </row>
    <row r="343" spans="2:6" x14ac:dyDescent="0.35">
      <c r="B343" s="237">
        <v>7580</v>
      </c>
      <c r="C343" s="237" t="s">
        <v>1075</v>
      </c>
      <c r="D343" s="254"/>
      <c r="E343" s="254"/>
      <c r="F343" s="254"/>
    </row>
    <row r="344" spans="2:6" x14ac:dyDescent="0.35">
      <c r="B344" s="237">
        <v>7590</v>
      </c>
      <c r="C344" s="237" t="s">
        <v>905</v>
      </c>
      <c r="D344" s="254"/>
      <c r="E344" s="254"/>
      <c r="F344" s="254"/>
    </row>
    <row r="345" spans="2:6" x14ac:dyDescent="0.35">
      <c r="B345" s="237">
        <v>8000</v>
      </c>
      <c r="C345" s="237" t="s">
        <v>906</v>
      </c>
      <c r="D345" s="254"/>
      <c r="E345" s="254"/>
      <c r="F345" s="254"/>
    </row>
    <row r="346" spans="2:6" x14ac:dyDescent="0.35">
      <c r="B346" s="237">
        <v>8100</v>
      </c>
      <c r="C346" s="237" t="s">
        <v>827</v>
      </c>
      <c r="D346" s="254"/>
      <c r="E346" s="254"/>
      <c r="F346" s="254"/>
    </row>
    <row r="347" spans="2:6" x14ac:dyDescent="0.35">
      <c r="B347" s="237">
        <v>8108</v>
      </c>
      <c r="C347" s="237" t="s">
        <v>511</v>
      </c>
      <c r="D347" s="254"/>
      <c r="E347" s="254"/>
      <c r="F347" s="254"/>
    </row>
    <row r="348" spans="2:6" x14ac:dyDescent="0.35">
      <c r="B348" s="237">
        <v>8110</v>
      </c>
      <c r="C348" s="237" t="s">
        <v>8</v>
      </c>
      <c r="D348" s="254"/>
      <c r="E348" s="254"/>
      <c r="F348" s="254"/>
    </row>
    <row r="349" spans="2:6" x14ac:dyDescent="0.35">
      <c r="B349" s="237">
        <v>8112</v>
      </c>
      <c r="C349" s="237" t="s">
        <v>1170</v>
      </c>
      <c r="D349" s="254"/>
      <c r="E349" s="254"/>
      <c r="F349" s="254"/>
    </row>
    <row r="350" spans="2:6" x14ac:dyDescent="0.35">
      <c r="B350" s="237">
        <v>8115</v>
      </c>
      <c r="C350" s="237" t="s">
        <v>1171</v>
      </c>
      <c r="D350" s="254"/>
      <c r="E350" s="254"/>
      <c r="F350" s="254"/>
    </row>
    <row r="351" spans="2:6" x14ac:dyDescent="0.35">
      <c r="B351" s="237">
        <v>8120</v>
      </c>
      <c r="C351" s="237" t="s">
        <v>1172</v>
      </c>
      <c r="D351" s="254"/>
      <c r="E351" s="254"/>
      <c r="F351" s="254"/>
    </row>
    <row r="352" spans="2:6" x14ac:dyDescent="0.35">
      <c r="B352" s="237">
        <v>8130</v>
      </c>
      <c r="C352" s="237" t="s">
        <v>1173</v>
      </c>
      <c r="D352" s="254"/>
      <c r="E352" s="254"/>
      <c r="F352" s="254"/>
    </row>
    <row r="353" spans="2:6" x14ac:dyDescent="0.35">
      <c r="B353" s="237">
        <v>8131</v>
      </c>
      <c r="C353" s="237" t="s">
        <v>828</v>
      </c>
      <c r="D353" s="254"/>
      <c r="E353" s="254"/>
      <c r="F353" s="254"/>
    </row>
    <row r="354" spans="2:6" x14ac:dyDescent="0.35">
      <c r="B354" s="237">
        <v>8132</v>
      </c>
      <c r="C354" s="237" t="s">
        <v>829</v>
      </c>
      <c r="D354" s="254"/>
      <c r="E354" s="254"/>
      <c r="F354" s="254"/>
    </row>
    <row r="355" spans="2:6" x14ac:dyDescent="0.35">
      <c r="B355" s="237">
        <v>8132.1</v>
      </c>
      <c r="C355" s="237" t="s">
        <v>1174</v>
      </c>
      <c r="D355" s="254"/>
      <c r="E355" s="254"/>
      <c r="F355" s="254"/>
    </row>
    <row r="356" spans="2:6" x14ac:dyDescent="0.35">
      <c r="B356" s="237">
        <v>8133</v>
      </c>
      <c r="C356" s="237" t="s">
        <v>533</v>
      </c>
      <c r="D356" s="254"/>
      <c r="E356" s="254"/>
      <c r="F356" s="254"/>
    </row>
    <row r="357" spans="2:6" x14ac:dyDescent="0.35">
      <c r="B357" s="237">
        <v>8134</v>
      </c>
      <c r="C357" s="237" t="s">
        <v>1175</v>
      </c>
      <c r="D357" s="254"/>
      <c r="E357" s="254"/>
      <c r="F357" s="254"/>
    </row>
    <row r="358" spans="2:6" x14ac:dyDescent="0.35">
      <c r="B358" s="237">
        <v>8135</v>
      </c>
      <c r="C358" s="237" t="s">
        <v>9</v>
      </c>
      <c r="D358" s="254"/>
      <c r="E358" s="254"/>
      <c r="F358" s="254"/>
    </row>
    <row r="359" spans="2:6" x14ac:dyDescent="0.35">
      <c r="B359" s="237">
        <v>8135.5</v>
      </c>
      <c r="C359" s="237" t="s">
        <v>1176</v>
      </c>
      <c r="D359" s="254"/>
      <c r="E359" s="254"/>
      <c r="F359" s="254"/>
    </row>
    <row r="360" spans="2:6" x14ac:dyDescent="0.35">
      <c r="B360" s="237">
        <v>8140</v>
      </c>
      <c r="C360" s="237" t="s">
        <v>1177</v>
      </c>
      <c r="D360" s="254"/>
      <c r="E360" s="254"/>
      <c r="F360" s="254"/>
    </row>
    <row r="361" spans="2:6" x14ac:dyDescent="0.35">
      <c r="B361" s="237">
        <v>8141</v>
      </c>
      <c r="C361" s="237" t="s">
        <v>907</v>
      </c>
      <c r="D361" s="254"/>
      <c r="E361" s="254"/>
      <c r="F361" s="254"/>
    </row>
    <row r="362" spans="2:6" x14ac:dyDescent="0.35">
      <c r="B362" s="237">
        <v>8160</v>
      </c>
      <c r="C362" s="237" t="s">
        <v>1178</v>
      </c>
      <c r="D362" s="254"/>
      <c r="E362" s="254"/>
      <c r="F362" s="254"/>
    </row>
    <row r="363" spans="2:6" x14ac:dyDescent="0.35">
      <c r="B363" s="237">
        <v>8161</v>
      </c>
      <c r="C363" s="237" t="s">
        <v>830</v>
      </c>
      <c r="D363" s="254"/>
      <c r="E363" s="254"/>
      <c r="F363" s="254"/>
    </row>
    <row r="364" spans="2:6" x14ac:dyDescent="0.35">
      <c r="B364" s="237">
        <v>8170</v>
      </c>
      <c r="C364" s="237" t="s">
        <v>1179</v>
      </c>
      <c r="D364" s="254"/>
      <c r="E364" s="254"/>
      <c r="F364" s="254"/>
    </row>
    <row r="365" spans="2:6" x14ac:dyDescent="0.35">
      <c r="B365" s="237">
        <v>8180</v>
      </c>
      <c r="C365" s="237" t="s">
        <v>1180</v>
      </c>
      <c r="D365" s="254"/>
      <c r="E365" s="254"/>
      <c r="F365" s="254"/>
    </row>
    <row r="366" spans="2:6" x14ac:dyDescent="0.35">
      <c r="B366" s="237">
        <v>8190</v>
      </c>
      <c r="C366" s="237" t="s">
        <v>1181</v>
      </c>
      <c r="D366" s="254"/>
      <c r="E366" s="254"/>
      <c r="F366" s="254"/>
    </row>
    <row r="367" spans="2:6" x14ac:dyDescent="0.35">
      <c r="B367" s="237">
        <v>8191</v>
      </c>
      <c r="C367" s="237" t="s">
        <v>1182</v>
      </c>
      <c r="D367" s="254"/>
      <c r="E367" s="254"/>
      <c r="F367" s="254"/>
    </row>
    <row r="368" spans="2:6" x14ac:dyDescent="0.35">
      <c r="B368" s="237">
        <v>8199</v>
      </c>
      <c r="C368" s="237" t="s">
        <v>1183</v>
      </c>
      <c r="D368" s="254"/>
      <c r="E368" s="254"/>
      <c r="F368" s="254"/>
    </row>
    <row r="369" spans="2:6" x14ac:dyDescent="0.35">
      <c r="B369" s="237">
        <v>8200</v>
      </c>
      <c r="C369" s="237" t="s">
        <v>831</v>
      </c>
      <c r="D369" s="254"/>
      <c r="E369" s="254"/>
      <c r="F369" s="254"/>
    </row>
    <row r="370" spans="2:6" x14ac:dyDescent="0.35">
      <c r="B370" s="237">
        <v>8205</v>
      </c>
      <c r="C370" s="237" t="s">
        <v>1184</v>
      </c>
      <c r="D370" s="254"/>
      <c r="E370" s="254"/>
      <c r="F370" s="254"/>
    </row>
    <row r="371" spans="2:6" x14ac:dyDescent="0.35">
      <c r="B371" s="237">
        <v>8210</v>
      </c>
      <c r="C371" s="237" t="s">
        <v>11</v>
      </c>
      <c r="D371" s="254"/>
      <c r="E371" s="254"/>
      <c r="F371" s="254"/>
    </row>
    <row r="372" spans="2:6" x14ac:dyDescent="0.35">
      <c r="B372" s="237">
        <v>8210.1</v>
      </c>
      <c r="C372" s="237" t="s">
        <v>1185</v>
      </c>
      <c r="D372" s="254"/>
      <c r="E372" s="254"/>
      <c r="F372" s="254"/>
    </row>
    <row r="373" spans="2:6" x14ac:dyDescent="0.35">
      <c r="B373" s="237">
        <v>8210.2000000000007</v>
      </c>
      <c r="C373" s="237" t="s">
        <v>1186</v>
      </c>
      <c r="D373" s="254"/>
      <c r="E373" s="254"/>
      <c r="F373" s="254"/>
    </row>
    <row r="374" spans="2:6" x14ac:dyDescent="0.35">
      <c r="B374" s="237">
        <v>8210.2999999999993</v>
      </c>
      <c r="C374" s="237" t="s">
        <v>1187</v>
      </c>
      <c r="D374" s="254"/>
      <c r="E374" s="254"/>
      <c r="F374" s="254"/>
    </row>
    <row r="375" spans="2:6" x14ac:dyDescent="0.35">
      <c r="B375" s="237">
        <v>8210.5</v>
      </c>
      <c r="C375" s="237" t="s">
        <v>832</v>
      </c>
      <c r="D375" s="254"/>
      <c r="E375" s="254"/>
      <c r="F375" s="254"/>
    </row>
    <row r="376" spans="2:6" x14ac:dyDescent="0.35">
      <c r="B376" s="237">
        <v>8211</v>
      </c>
      <c r="C376" s="237" t="s">
        <v>833</v>
      </c>
      <c r="D376" s="254"/>
      <c r="E376" s="254"/>
      <c r="F376" s="254"/>
    </row>
    <row r="377" spans="2:6" x14ac:dyDescent="0.35">
      <c r="B377" s="237">
        <v>8211.1</v>
      </c>
      <c r="C377" s="237" t="s">
        <v>834</v>
      </c>
      <c r="D377" s="254"/>
      <c r="E377" s="254"/>
      <c r="F377" s="254"/>
    </row>
    <row r="378" spans="2:6" x14ac:dyDescent="0.35">
      <c r="B378" s="237">
        <v>8211.2000000000007</v>
      </c>
      <c r="C378" s="237" t="s">
        <v>835</v>
      </c>
      <c r="D378" s="254"/>
      <c r="E378" s="254"/>
      <c r="F378" s="254"/>
    </row>
    <row r="379" spans="2:6" x14ac:dyDescent="0.35">
      <c r="B379" s="237">
        <v>8211.2999999999993</v>
      </c>
      <c r="C379" s="237" t="s">
        <v>836</v>
      </c>
      <c r="D379" s="254"/>
      <c r="E379" s="254"/>
      <c r="F379" s="254"/>
    </row>
    <row r="380" spans="2:6" x14ac:dyDescent="0.35">
      <c r="B380" s="237">
        <v>8211.5</v>
      </c>
      <c r="C380" s="237" t="s">
        <v>1188</v>
      </c>
      <c r="D380" s="254"/>
      <c r="E380" s="254"/>
      <c r="F380" s="254"/>
    </row>
    <row r="381" spans="2:6" x14ac:dyDescent="0.35">
      <c r="B381" s="237">
        <v>8220</v>
      </c>
      <c r="C381" s="237" t="s">
        <v>1189</v>
      </c>
      <c r="D381" s="254"/>
      <c r="E381" s="254"/>
      <c r="F381" s="254"/>
    </row>
    <row r="382" spans="2:6" x14ac:dyDescent="0.35">
      <c r="B382" s="237">
        <v>8221</v>
      </c>
      <c r="C382" s="237" t="s">
        <v>838</v>
      </c>
      <c r="D382" s="254"/>
      <c r="E382" s="254"/>
      <c r="F382" s="254"/>
    </row>
    <row r="383" spans="2:6" x14ac:dyDescent="0.35">
      <c r="B383" s="237">
        <v>8222</v>
      </c>
      <c r="C383" s="237" t="s">
        <v>839</v>
      </c>
      <c r="D383" s="254"/>
      <c r="E383" s="254"/>
      <c r="F383" s="254"/>
    </row>
    <row r="384" spans="2:6" x14ac:dyDescent="0.35">
      <c r="B384" s="237">
        <v>8223</v>
      </c>
      <c r="C384" s="237" t="s">
        <v>908</v>
      </c>
      <c r="D384" s="254"/>
      <c r="E384" s="254"/>
      <c r="F384" s="254"/>
    </row>
    <row r="385" spans="1:6" x14ac:dyDescent="0.35">
      <c r="B385" s="237">
        <v>8224</v>
      </c>
      <c r="C385" s="237" t="s">
        <v>840</v>
      </c>
      <c r="D385" s="254"/>
      <c r="E385" s="254"/>
      <c r="F385" s="254"/>
    </row>
    <row r="386" spans="1:6" x14ac:dyDescent="0.35">
      <c r="B386" s="237">
        <v>8227</v>
      </c>
      <c r="C386" s="237" t="s">
        <v>837</v>
      </c>
      <c r="D386" s="254"/>
      <c r="E386" s="254"/>
      <c r="F386" s="254"/>
    </row>
    <row r="387" spans="1:6" x14ac:dyDescent="0.35">
      <c r="B387" s="237">
        <v>8228</v>
      </c>
      <c r="C387" s="237" t="s">
        <v>841</v>
      </c>
      <c r="D387" s="254"/>
      <c r="E387" s="254"/>
      <c r="F387" s="254"/>
    </row>
    <row r="388" spans="1:6" x14ac:dyDescent="0.35">
      <c r="B388" s="237">
        <v>8229</v>
      </c>
      <c r="C388" s="237" t="s">
        <v>909</v>
      </c>
      <c r="D388" s="254"/>
      <c r="E388" s="254"/>
      <c r="F388" s="254"/>
    </row>
    <row r="389" spans="1:6" x14ac:dyDescent="0.35">
      <c r="B389" s="237">
        <v>8229.1</v>
      </c>
      <c r="C389" s="237" t="s">
        <v>910</v>
      </c>
      <c r="D389" s="254"/>
      <c r="E389" s="254"/>
      <c r="F389" s="254"/>
    </row>
    <row r="390" spans="1:6" x14ac:dyDescent="0.35">
      <c r="B390" s="237">
        <v>8230</v>
      </c>
      <c r="C390" s="237" t="s">
        <v>1190</v>
      </c>
      <c r="D390" s="254"/>
      <c r="E390" s="254"/>
      <c r="F390" s="254"/>
    </row>
    <row r="391" spans="1:6" x14ac:dyDescent="0.35">
      <c r="B391" s="237">
        <v>8231</v>
      </c>
      <c r="C391" s="237" t="s">
        <v>842</v>
      </c>
      <c r="D391" s="254"/>
      <c r="E391" s="254"/>
      <c r="F391" s="254"/>
    </row>
    <row r="392" spans="1:6" x14ac:dyDescent="0.35">
      <c r="B392" s="237">
        <v>8233</v>
      </c>
      <c r="C392" s="237" t="s">
        <v>843</v>
      </c>
      <c r="D392" s="254"/>
      <c r="E392" s="254"/>
      <c r="F392" s="254"/>
    </row>
    <row r="393" spans="1:6" x14ac:dyDescent="0.35">
      <c r="B393" s="237">
        <v>8235</v>
      </c>
      <c r="C393" s="237" t="s">
        <v>844</v>
      </c>
      <c r="D393" s="254"/>
      <c r="E393" s="254"/>
      <c r="F393" s="254"/>
    </row>
    <row r="394" spans="1:6" x14ac:dyDescent="0.35">
      <c r="B394" s="237">
        <v>8236</v>
      </c>
      <c r="C394" s="237" t="s">
        <v>1191</v>
      </c>
      <c r="D394" s="254"/>
      <c r="E394" s="254"/>
      <c r="F394" s="254"/>
    </row>
    <row r="395" spans="1:6" x14ac:dyDescent="0.35">
      <c r="A395" s="255"/>
      <c r="B395" s="237">
        <v>8239</v>
      </c>
      <c r="C395" s="237" t="s">
        <v>845</v>
      </c>
      <c r="D395" s="254"/>
      <c r="E395" s="254"/>
      <c r="F395" s="254"/>
    </row>
    <row r="396" spans="1:6" x14ac:dyDescent="0.35">
      <c r="A396" s="255"/>
      <c r="B396" s="237">
        <v>8240</v>
      </c>
      <c r="C396" s="237" t="s">
        <v>1192</v>
      </c>
      <c r="D396" s="254"/>
      <c r="E396" s="254"/>
      <c r="F396" s="254"/>
    </row>
    <row r="397" spans="1:6" x14ac:dyDescent="0.35">
      <c r="A397" s="255"/>
      <c r="B397" s="237">
        <v>8250</v>
      </c>
      <c r="C397" s="237" t="s">
        <v>1193</v>
      </c>
      <c r="D397" s="254"/>
      <c r="E397" s="254"/>
      <c r="F397" s="254"/>
    </row>
    <row r="398" spans="1:6" x14ac:dyDescent="0.35">
      <c r="A398" s="255"/>
      <c r="B398" s="237">
        <v>8250.1</v>
      </c>
      <c r="C398" s="237" t="s">
        <v>846</v>
      </c>
      <c r="D398" s="254"/>
      <c r="E398" s="254"/>
      <c r="F398" s="254"/>
    </row>
    <row r="399" spans="1:6" x14ac:dyDescent="0.35">
      <c r="A399" s="255"/>
      <c r="B399" s="237">
        <v>8260</v>
      </c>
      <c r="C399" s="237" t="s">
        <v>1194</v>
      </c>
      <c r="D399" s="254"/>
      <c r="E399" s="254"/>
      <c r="F399" s="254"/>
    </row>
    <row r="400" spans="1:6" x14ac:dyDescent="0.35">
      <c r="A400" s="255"/>
      <c r="B400" s="237">
        <v>8261</v>
      </c>
      <c r="C400" s="237" t="s">
        <v>911</v>
      </c>
      <c r="D400" s="254"/>
      <c r="E400" s="254"/>
      <c r="F400" s="254"/>
    </row>
    <row r="401" spans="1:6" x14ac:dyDescent="0.35">
      <c r="A401" s="255"/>
      <c r="B401" s="237">
        <v>8262</v>
      </c>
      <c r="C401" s="237" t="s">
        <v>1195</v>
      </c>
      <c r="D401" s="254"/>
      <c r="E401" s="254"/>
      <c r="F401" s="254"/>
    </row>
    <row r="402" spans="1:6" x14ac:dyDescent="0.35">
      <c r="A402" s="255"/>
      <c r="B402" s="237">
        <v>8263</v>
      </c>
      <c r="C402" s="237" t="s">
        <v>912</v>
      </c>
      <c r="D402" s="254"/>
      <c r="E402" s="254"/>
      <c r="F402" s="254"/>
    </row>
    <row r="403" spans="1:6" x14ac:dyDescent="0.35">
      <c r="A403" s="255"/>
      <c r="B403" s="237">
        <v>8264</v>
      </c>
      <c r="C403" s="237" t="s">
        <v>1196</v>
      </c>
      <c r="D403" s="254"/>
      <c r="E403" s="254"/>
      <c r="F403" s="254"/>
    </row>
    <row r="404" spans="1:6" x14ac:dyDescent="0.35">
      <c r="A404" s="255"/>
      <c r="B404" s="237">
        <v>8265</v>
      </c>
      <c r="C404" s="237" t="s">
        <v>1197</v>
      </c>
      <c r="D404" s="254"/>
      <c r="E404" s="254"/>
      <c r="F404" s="254"/>
    </row>
    <row r="405" spans="1:6" x14ac:dyDescent="0.35">
      <c r="A405" s="255"/>
      <c r="B405" s="237">
        <v>8266</v>
      </c>
      <c r="C405" s="237" t="s">
        <v>1198</v>
      </c>
      <c r="D405" s="254"/>
      <c r="E405" s="254"/>
      <c r="F405" s="254"/>
    </row>
    <row r="406" spans="1:6" x14ac:dyDescent="0.35">
      <c r="A406" s="255"/>
      <c r="B406" s="237">
        <v>8270</v>
      </c>
      <c r="C406" s="237" t="s">
        <v>1199</v>
      </c>
      <c r="D406" s="254"/>
      <c r="E406" s="254"/>
      <c r="F406" s="254"/>
    </row>
    <row r="407" spans="1:6" x14ac:dyDescent="0.35">
      <c r="A407" s="255"/>
      <c r="B407" s="237">
        <v>8271</v>
      </c>
      <c r="C407" s="237" t="s">
        <v>1200</v>
      </c>
      <c r="D407" s="254"/>
      <c r="E407" s="254"/>
      <c r="F407" s="254"/>
    </row>
    <row r="408" spans="1:6" x14ac:dyDescent="0.35">
      <c r="A408" s="255"/>
      <c r="B408" s="237">
        <v>8280</v>
      </c>
      <c r="C408" s="237" t="s">
        <v>1201</v>
      </c>
      <c r="D408" s="254"/>
      <c r="E408" s="254"/>
      <c r="F408" s="254"/>
    </row>
    <row r="409" spans="1:6" x14ac:dyDescent="0.35">
      <c r="A409" s="255"/>
      <c r="B409" s="237">
        <v>8290</v>
      </c>
      <c r="C409" s="237" t="s">
        <v>1202</v>
      </c>
      <c r="D409" s="254"/>
      <c r="E409" s="254"/>
      <c r="F409" s="254"/>
    </row>
    <row r="410" spans="1:6" x14ac:dyDescent="0.35">
      <c r="A410" s="255"/>
      <c r="B410" s="237">
        <v>8295</v>
      </c>
      <c r="C410" s="237" t="s">
        <v>1203</v>
      </c>
      <c r="D410" s="254"/>
      <c r="E410" s="254"/>
      <c r="F410" s="254"/>
    </row>
    <row r="411" spans="1:6" x14ac:dyDescent="0.35">
      <c r="A411" s="255"/>
      <c r="B411" s="237">
        <v>8299</v>
      </c>
      <c r="C411" s="237" t="s">
        <v>1204</v>
      </c>
      <c r="D411" s="254"/>
      <c r="E411" s="254"/>
      <c r="F411" s="254"/>
    </row>
    <row r="412" spans="1:6" x14ac:dyDescent="0.35">
      <c r="A412" s="255"/>
      <c r="B412" s="237">
        <v>8300</v>
      </c>
      <c r="C412" s="237" t="s">
        <v>847</v>
      </c>
      <c r="D412" s="254"/>
      <c r="E412" s="254"/>
      <c r="F412" s="254"/>
    </row>
    <row r="413" spans="1:6" x14ac:dyDescent="0.35">
      <c r="A413" s="255"/>
      <c r="B413" s="237">
        <v>8310</v>
      </c>
      <c r="C413" s="237" t="s">
        <v>627</v>
      </c>
      <c r="D413" s="254"/>
      <c r="E413" s="254"/>
      <c r="F413" s="254"/>
    </row>
    <row r="414" spans="1:6" x14ac:dyDescent="0.35">
      <c r="A414" s="255"/>
      <c r="B414" s="237">
        <v>8311</v>
      </c>
      <c r="C414" s="237" t="s">
        <v>913</v>
      </c>
      <c r="D414" s="254"/>
      <c r="E414" s="254"/>
      <c r="F414" s="254"/>
    </row>
    <row r="415" spans="1:6" x14ac:dyDescent="0.35">
      <c r="A415" s="255"/>
      <c r="B415" s="237">
        <v>8312</v>
      </c>
      <c r="C415" s="237" t="s">
        <v>848</v>
      </c>
      <c r="D415" s="254"/>
      <c r="E415" s="254"/>
      <c r="F415" s="254"/>
    </row>
    <row r="416" spans="1:6" x14ac:dyDescent="0.35">
      <c r="A416" s="255"/>
      <c r="B416" s="237">
        <v>8320</v>
      </c>
      <c r="C416" s="237" t="s">
        <v>1205</v>
      </c>
      <c r="D416" s="254"/>
      <c r="E416" s="254"/>
      <c r="F416" s="254"/>
    </row>
    <row r="417" spans="1:6" x14ac:dyDescent="0.35">
      <c r="A417" s="255"/>
      <c r="B417" s="237">
        <v>8330</v>
      </c>
      <c r="C417" s="237" t="s">
        <v>1206</v>
      </c>
      <c r="D417" s="254"/>
      <c r="E417" s="254"/>
      <c r="F417" s="254"/>
    </row>
    <row r="418" spans="1:6" x14ac:dyDescent="0.35">
      <c r="A418" s="255"/>
      <c r="B418" s="237">
        <v>8340</v>
      </c>
      <c r="C418" s="237" t="s">
        <v>1207</v>
      </c>
      <c r="D418" s="254"/>
      <c r="E418" s="254"/>
      <c r="F418" s="254"/>
    </row>
    <row r="419" spans="1:6" x14ac:dyDescent="0.35">
      <c r="A419" s="255"/>
      <c r="B419" s="237">
        <v>8350</v>
      </c>
      <c r="C419" s="237" t="s">
        <v>1208</v>
      </c>
      <c r="D419" s="254"/>
      <c r="E419" s="254"/>
      <c r="F419" s="254"/>
    </row>
    <row r="420" spans="1:6" x14ac:dyDescent="0.35">
      <c r="A420" s="255"/>
      <c r="B420" s="237">
        <v>8360</v>
      </c>
      <c r="C420" s="237" t="s">
        <v>1209</v>
      </c>
      <c r="D420" s="254"/>
      <c r="E420" s="254"/>
      <c r="F420" s="254"/>
    </row>
    <row r="421" spans="1:6" x14ac:dyDescent="0.35">
      <c r="A421" s="255"/>
      <c r="B421" s="237">
        <v>8370</v>
      </c>
      <c r="C421" s="237" t="s">
        <v>1210</v>
      </c>
      <c r="D421" s="254"/>
      <c r="E421" s="254"/>
      <c r="F421" s="254"/>
    </row>
    <row r="422" spans="1:6" x14ac:dyDescent="0.35">
      <c r="A422" s="255"/>
      <c r="B422" s="237">
        <v>8400</v>
      </c>
      <c r="C422" s="237" t="s">
        <v>849</v>
      </c>
      <c r="D422" s="254"/>
      <c r="E422" s="254"/>
      <c r="F422" s="254"/>
    </row>
    <row r="423" spans="1:6" x14ac:dyDescent="0.35">
      <c r="A423" s="255"/>
      <c r="B423" s="237">
        <v>8405</v>
      </c>
      <c r="C423" s="237" t="s">
        <v>1211</v>
      </c>
      <c r="D423" s="254"/>
      <c r="E423" s="254"/>
      <c r="F423" s="254"/>
    </row>
    <row r="424" spans="1:6" x14ac:dyDescent="0.35">
      <c r="A424" s="255"/>
      <c r="B424" s="237">
        <v>8406</v>
      </c>
      <c r="C424" s="237" t="s">
        <v>1212</v>
      </c>
      <c r="D424" s="254"/>
      <c r="E424" s="254"/>
      <c r="F424" s="254"/>
    </row>
    <row r="425" spans="1:6" x14ac:dyDescent="0.35">
      <c r="A425" s="255"/>
      <c r="B425" s="237">
        <v>8410</v>
      </c>
      <c r="C425" s="237" t="s">
        <v>1213</v>
      </c>
      <c r="D425" s="254"/>
      <c r="E425" s="254"/>
      <c r="F425" s="254"/>
    </row>
    <row r="426" spans="1:6" x14ac:dyDescent="0.35">
      <c r="A426" s="255"/>
      <c r="B426" s="237">
        <v>8415</v>
      </c>
      <c r="C426" s="237" t="s">
        <v>1214</v>
      </c>
      <c r="D426" s="254"/>
      <c r="E426" s="254"/>
      <c r="F426" s="254"/>
    </row>
    <row r="427" spans="1:6" x14ac:dyDescent="0.35">
      <c r="A427" s="255"/>
      <c r="B427" s="237">
        <v>8420</v>
      </c>
      <c r="C427" s="237" t="s">
        <v>1215</v>
      </c>
      <c r="D427" s="254"/>
      <c r="E427" s="254"/>
      <c r="F427" s="254"/>
    </row>
    <row r="428" spans="1:6" x14ac:dyDescent="0.35">
      <c r="A428" s="255"/>
      <c r="B428" s="237">
        <v>8425</v>
      </c>
      <c r="C428" s="237" t="s">
        <v>1216</v>
      </c>
      <c r="D428" s="254"/>
      <c r="E428" s="254"/>
      <c r="F428" s="254"/>
    </row>
    <row r="429" spans="1:6" x14ac:dyDescent="0.35">
      <c r="A429" s="255"/>
      <c r="B429" s="237">
        <v>8430</v>
      </c>
      <c r="C429" s="237" t="s">
        <v>1217</v>
      </c>
      <c r="D429" s="254"/>
      <c r="E429" s="254"/>
      <c r="F429" s="254"/>
    </row>
    <row r="430" spans="1:6" x14ac:dyDescent="0.35">
      <c r="A430" s="255"/>
      <c r="B430" s="237">
        <v>8435</v>
      </c>
      <c r="C430" s="237" t="s">
        <v>1218</v>
      </c>
      <c r="D430" s="254"/>
      <c r="E430" s="254"/>
      <c r="F430" s="254"/>
    </row>
    <row r="431" spans="1:6" x14ac:dyDescent="0.35">
      <c r="A431" s="255"/>
      <c r="B431" s="237">
        <v>8440</v>
      </c>
      <c r="C431" s="237" t="s">
        <v>1219</v>
      </c>
      <c r="D431" s="254"/>
      <c r="E431" s="254"/>
      <c r="F431" s="254"/>
    </row>
    <row r="432" spans="1:6" x14ac:dyDescent="0.35">
      <c r="A432" s="255"/>
      <c r="B432" s="237">
        <v>8445</v>
      </c>
      <c r="C432" s="237" t="s">
        <v>1220</v>
      </c>
      <c r="D432" s="254"/>
      <c r="E432" s="254"/>
      <c r="F432" s="254"/>
    </row>
    <row r="433" spans="1:6" x14ac:dyDescent="0.35">
      <c r="A433" s="255"/>
      <c r="B433" s="237">
        <v>8450</v>
      </c>
      <c r="C433" s="237" t="s">
        <v>850</v>
      </c>
      <c r="D433" s="254"/>
      <c r="E433" s="254"/>
      <c r="F433" s="254"/>
    </row>
    <row r="434" spans="1:6" x14ac:dyDescent="0.35">
      <c r="A434" s="255"/>
      <c r="B434" s="237">
        <v>8451</v>
      </c>
      <c r="C434" s="237" t="s">
        <v>851</v>
      </c>
      <c r="D434" s="254"/>
      <c r="E434" s="254"/>
      <c r="F434" s="254"/>
    </row>
    <row r="435" spans="1:6" x14ac:dyDescent="0.35">
      <c r="A435" s="255"/>
      <c r="B435" s="237">
        <v>8452</v>
      </c>
      <c r="C435" s="237" t="s">
        <v>914</v>
      </c>
      <c r="D435" s="254"/>
      <c r="E435" s="254"/>
      <c r="F435" s="254"/>
    </row>
    <row r="436" spans="1:6" x14ac:dyDescent="0.35">
      <c r="A436" s="255"/>
      <c r="B436" s="237">
        <v>8453</v>
      </c>
      <c r="C436" s="237" t="s">
        <v>915</v>
      </c>
      <c r="D436" s="254"/>
      <c r="E436" s="254"/>
      <c r="F436" s="254"/>
    </row>
    <row r="437" spans="1:6" x14ac:dyDescent="0.35">
      <c r="A437" s="255"/>
      <c r="B437" s="237">
        <v>8455</v>
      </c>
      <c r="C437" s="237" t="s">
        <v>1221</v>
      </c>
      <c r="D437" s="254"/>
      <c r="E437" s="254"/>
      <c r="F437" s="254"/>
    </row>
    <row r="438" spans="1:6" x14ac:dyDescent="0.35">
      <c r="A438" s="255"/>
      <c r="B438" s="237">
        <v>8460</v>
      </c>
      <c r="C438" s="237" t="s">
        <v>1222</v>
      </c>
      <c r="D438" s="254"/>
      <c r="E438" s="254"/>
      <c r="F438" s="254"/>
    </row>
    <row r="439" spans="1:6" x14ac:dyDescent="0.35">
      <c r="A439" s="255"/>
      <c r="B439" s="237">
        <v>8462</v>
      </c>
      <c r="C439" s="237" t="s">
        <v>1223</v>
      </c>
      <c r="D439" s="254"/>
      <c r="E439" s="254"/>
      <c r="F439" s="254"/>
    </row>
    <row r="440" spans="1:6" x14ac:dyDescent="0.35">
      <c r="A440" s="255"/>
      <c r="B440" s="237">
        <v>8470</v>
      </c>
      <c r="C440" s="237" t="s">
        <v>1224</v>
      </c>
      <c r="D440" s="254"/>
      <c r="E440" s="254"/>
      <c r="F440" s="254"/>
    </row>
    <row r="441" spans="1:6" x14ac:dyDescent="0.35">
      <c r="A441" s="255"/>
      <c r="B441" s="237">
        <v>8480</v>
      </c>
      <c r="C441" s="237" t="s">
        <v>1225</v>
      </c>
      <c r="D441" s="254"/>
      <c r="E441" s="254"/>
      <c r="F441" s="254"/>
    </row>
    <row r="442" spans="1:6" x14ac:dyDescent="0.35">
      <c r="A442" s="255"/>
      <c r="B442" s="237">
        <v>8490</v>
      </c>
      <c r="C442" s="237" t="s">
        <v>1226</v>
      </c>
      <c r="D442" s="254"/>
      <c r="E442" s="254"/>
      <c r="F442" s="254"/>
    </row>
    <row r="443" spans="1:6" x14ac:dyDescent="0.35">
      <c r="A443" s="255"/>
      <c r="B443" s="237">
        <v>8495</v>
      </c>
      <c r="C443" s="237" t="s">
        <v>1227</v>
      </c>
      <c r="D443" s="254"/>
      <c r="E443" s="254"/>
      <c r="F443" s="254"/>
    </row>
    <row r="444" spans="1:6" x14ac:dyDescent="0.35">
      <c r="A444" s="255"/>
      <c r="B444" s="237">
        <v>8500</v>
      </c>
      <c r="C444" s="237" t="s">
        <v>852</v>
      </c>
      <c r="D444" s="254"/>
      <c r="E444" s="254"/>
      <c r="F444" s="254"/>
    </row>
    <row r="445" spans="1:6" x14ac:dyDescent="0.35">
      <c r="A445" s="255"/>
      <c r="B445" s="237">
        <v>8510</v>
      </c>
      <c r="C445" s="237" t="s">
        <v>1228</v>
      </c>
      <c r="D445" s="254"/>
      <c r="E445" s="254"/>
      <c r="F445" s="254"/>
    </row>
    <row r="446" spans="1:6" x14ac:dyDescent="0.35">
      <c r="A446" s="255"/>
      <c r="B446" s="237">
        <v>8520</v>
      </c>
      <c r="C446" s="237" t="s">
        <v>1229</v>
      </c>
      <c r="D446" s="254"/>
      <c r="E446" s="254"/>
      <c r="F446" s="254"/>
    </row>
    <row r="447" spans="1:6" x14ac:dyDescent="0.35">
      <c r="A447" s="255"/>
      <c r="B447" s="237">
        <v>8525</v>
      </c>
      <c r="C447" s="237" t="s">
        <v>810</v>
      </c>
      <c r="D447" s="254"/>
      <c r="E447" s="254"/>
      <c r="F447" s="254"/>
    </row>
    <row r="448" spans="1:6" x14ac:dyDescent="0.35">
      <c r="A448" s="255"/>
      <c r="B448" s="237">
        <v>8530</v>
      </c>
      <c r="C448" s="237" t="s">
        <v>1230</v>
      </c>
      <c r="D448" s="254"/>
      <c r="E448" s="254"/>
      <c r="F448" s="254"/>
    </row>
    <row r="449" spans="1:6" x14ac:dyDescent="0.35">
      <c r="A449" s="255"/>
      <c r="B449" s="237">
        <v>8540</v>
      </c>
      <c r="C449" s="237" t="s">
        <v>1231</v>
      </c>
      <c r="D449" s="254"/>
      <c r="E449" s="254"/>
      <c r="F449" s="254"/>
    </row>
    <row r="450" spans="1:6" x14ac:dyDescent="0.35">
      <c r="A450" s="255"/>
      <c r="B450" s="237">
        <v>8550</v>
      </c>
      <c r="C450" s="237" t="s">
        <v>1232</v>
      </c>
      <c r="D450" s="254"/>
      <c r="E450" s="254"/>
      <c r="F450" s="254"/>
    </row>
    <row r="451" spans="1:6" x14ac:dyDescent="0.35">
      <c r="A451" s="255"/>
      <c r="B451" s="237">
        <v>8560</v>
      </c>
      <c r="C451" s="237" t="s">
        <v>1233</v>
      </c>
      <c r="D451" s="254"/>
      <c r="E451" s="254"/>
      <c r="F451" s="254"/>
    </row>
    <row r="452" spans="1:6" x14ac:dyDescent="0.35">
      <c r="A452" s="255"/>
      <c r="B452" s="237">
        <v>8565</v>
      </c>
      <c r="C452" s="237" t="s">
        <v>853</v>
      </c>
      <c r="D452" s="254"/>
      <c r="E452" s="254"/>
      <c r="F452" s="254"/>
    </row>
    <row r="453" spans="1:6" x14ac:dyDescent="0.35">
      <c r="A453" s="255"/>
      <c r="B453" s="237">
        <v>8570</v>
      </c>
      <c r="C453" s="237" t="s">
        <v>1234</v>
      </c>
      <c r="D453" s="254"/>
      <c r="E453" s="254"/>
      <c r="F453" s="254"/>
    </row>
    <row r="454" spans="1:6" x14ac:dyDescent="0.35">
      <c r="A454" s="255"/>
      <c r="B454" s="237">
        <v>8575</v>
      </c>
      <c r="C454" s="237" t="s">
        <v>1235</v>
      </c>
      <c r="D454" s="254"/>
      <c r="E454" s="254"/>
      <c r="F454" s="254"/>
    </row>
    <row r="455" spans="1:6" x14ac:dyDescent="0.35">
      <c r="A455" s="255"/>
      <c r="B455" s="237">
        <v>8580</v>
      </c>
      <c r="C455" s="237" t="s">
        <v>1236</v>
      </c>
      <c r="D455" s="254"/>
      <c r="E455" s="254"/>
      <c r="F455" s="254"/>
    </row>
    <row r="456" spans="1:6" x14ac:dyDescent="0.35">
      <c r="A456" s="255"/>
      <c r="B456" s="237">
        <v>8585</v>
      </c>
      <c r="C456" s="237" t="s">
        <v>1237</v>
      </c>
      <c r="D456" s="254"/>
      <c r="E456" s="254"/>
      <c r="F456" s="254"/>
    </row>
    <row r="457" spans="1:6" x14ac:dyDescent="0.35">
      <c r="A457" s="255"/>
      <c r="B457" s="237">
        <v>8590</v>
      </c>
      <c r="C457" s="237" t="s">
        <v>852</v>
      </c>
      <c r="D457" s="254"/>
      <c r="E457" s="254"/>
      <c r="F457" s="254"/>
    </row>
    <row r="458" spans="1:6" x14ac:dyDescent="0.35">
      <c r="A458" s="255"/>
      <c r="B458" s="237">
        <v>8595</v>
      </c>
      <c r="C458" s="237" t="s">
        <v>854</v>
      </c>
      <c r="D458" s="254"/>
      <c r="E458" s="254"/>
      <c r="F458" s="254"/>
    </row>
    <row r="459" spans="1:6" x14ac:dyDescent="0.35">
      <c r="A459" s="255"/>
      <c r="B459" s="237">
        <v>8599</v>
      </c>
      <c r="C459" s="237" t="s">
        <v>855</v>
      </c>
      <c r="D459" s="254"/>
      <c r="E459" s="254"/>
      <c r="F459" s="254"/>
    </row>
    <row r="460" spans="1:6" x14ac:dyDescent="0.35">
      <c r="A460" s="255"/>
      <c r="B460" s="237">
        <v>8600</v>
      </c>
      <c r="C460" s="237" t="s">
        <v>856</v>
      </c>
      <c r="D460" s="254"/>
      <c r="E460" s="254"/>
      <c r="F460" s="254"/>
    </row>
    <row r="461" spans="1:6" x14ac:dyDescent="0.35">
      <c r="A461" s="255"/>
      <c r="B461" s="237">
        <v>8601</v>
      </c>
      <c r="C461" s="237" t="s">
        <v>1238</v>
      </c>
      <c r="D461" s="254"/>
      <c r="E461" s="254"/>
      <c r="F461" s="254"/>
    </row>
    <row r="462" spans="1:6" x14ac:dyDescent="0.35">
      <c r="A462" s="255"/>
      <c r="B462" s="237">
        <v>8602</v>
      </c>
      <c r="C462" s="237" t="s">
        <v>1239</v>
      </c>
      <c r="D462" s="254"/>
      <c r="E462" s="254"/>
      <c r="F462" s="254"/>
    </row>
    <row r="463" spans="1:6" x14ac:dyDescent="0.35">
      <c r="A463" s="255"/>
      <c r="B463" s="237">
        <v>8603</v>
      </c>
      <c r="C463" s="237" t="s">
        <v>857</v>
      </c>
      <c r="D463" s="254"/>
      <c r="E463" s="254"/>
      <c r="F463" s="254"/>
    </row>
    <row r="464" spans="1:6" x14ac:dyDescent="0.35">
      <c r="A464" s="255"/>
      <c r="B464" s="237">
        <v>8604</v>
      </c>
      <c r="C464" s="237" t="s">
        <v>1240</v>
      </c>
      <c r="D464" s="254"/>
      <c r="E464" s="254"/>
      <c r="F464" s="254"/>
    </row>
    <row r="465" spans="1:6" x14ac:dyDescent="0.35">
      <c r="A465" s="255"/>
      <c r="B465" s="237">
        <v>8605</v>
      </c>
      <c r="C465" s="237" t="s">
        <v>1241</v>
      </c>
      <c r="D465" s="254"/>
      <c r="E465" s="254"/>
      <c r="F465" s="254"/>
    </row>
    <row r="466" spans="1:6" x14ac:dyDescent="0.35">
      <c r="A466" s="255"/>
      <c r="B466" s="237">
        <v>8606</v>
      </c>
      <c r="C466" s="237" t="s">
        <v>1197</v>
      </c>
      <c r="D466" s="254"/>
      <c r="E466" s="254"/>
      <c r="F466" s="254"/>
    </row>
    <row r="467" spans="1:6" x14ac:dyDescent="0.35">
      <c r="A467" s="255"/>
      <c r="B467" s="237">
        <v>8606.1</v>
      </c>
      <c r="C467" s="237" t="s">
        <v>1194</v>
      </c>
      <c r="D467" s="254"/>
      <c r="E467" s="254"/>
      <c r="F467" s="254"/>
    </row>
    <row r="468" spans="1:6" x14ac:dyDescent="0.35">
      <c r="A468" s="255"/>
      <c r="B468" s="237">
        <v>8606.2000000000007</v>
      </c>
      <c r="C468" s="237" t="s">
        <v>13</v>
      </c>
      <c r="D468" s="254"/>
      <c r="E468" s="254"/>
      <c r="F468" s="254"/>
    </row>
    <row r="469" spans="1:6" x14ac:dyDescent="0.35">
      <c r="A469" s="255"/>
      <c r="B469" s="237">
        <v>8606.2999999999993</v>
      </c>
      <c r="C469" s="237" t="s">
        <v>11</v>
      </c>
      <c r="D469" s="254"/>
      <c r="E469" s="254"/>
      <c r="F469" s="254"/>
    </row>
    <row r="470" spans="1:6" x14ac:dyDescent="0.35">
      <c r="A470" s="255"/>
      <c r="B470" s="237">
        <v>8606.4</v>
      </c>
      <c r="C470" s="237" t="s">
        <v>1242</v>
      </c>
      <c r="D470" s="254"/>
      <c r="E470" s="254"/>
      <c r="F470" s="254"/>
    </row>
    <row r="471" spans="1:6" x14ac:dyDescent="0.35">
      <c r="A471" s="255"/>
      <c r="B471" s="237">
        <v>8606.5</v>
      </c>
      <c r="C471" s="237" t="s">
        <v>1243</v>
      </c>
      <c r="D471" s="254"/>
      <c r="E471" s="254"/>
      <c r="F471" s="254"/>
    </row>
    <row r="472" spans="1:6" x14ac:dyDescent="0.35">
      <c r="A472" s="255"/>
      <c r="B472" s="237">
        <v>8606.6</v>
      </c>
      <c r="C472" s="237" t="s">
        <v>833</v>
      </c>
      <c r="D472" s="254"/>
      <c r="E472" s="254"/>
      <c r="F472" s="254"/>
    </row>
    <row r="473" spans="1:6" x14ac:dyDescent="0.35">
      <c r="A473" s="255"/>
      <c r="B473" s="237">
        <v>8606.9</v>
      </c>
      <c r="C473" s="237" t="s">
        <v>916</v>
      </c>
      <c r="D473" s="254"/>
      <c r="E473" s="254"/>
      <c r="F473" s="254"/>
    </row>
    <row r="474" spans="1:6" x14ac:dyDescent="0.35">
      <c r="A474" s="255"/>
      <c r="B474" s="237">
        <v>8607</v>
      </c>
      <c r="C474" s="237" t="s">
        <v>1244</v>
      </c>
      <c r="D474" s="254"/>
      <c r="E474" s="254"/>
      <c r="F474" s="254"/>
    </row>
    <row r="475" spans="1:6" x14ac:dyDescent="0.35">
      <c r="A475" s="255"/>
      <c r="B475" s="237">
        <v>8608</v>
      </c>
      <c r="C475" s="237" t="s">
        <v>1245</v>
      </c>
      <c r="D475" s="254"/>
      <c r="E475" s="254"/>
      <c r="F475" s="254"/>
    </row>
    <row r="476" spans="1:6" x14ac:dyDescent="0.35">
      <c r="A476" s="255"/>
      <c r="B476" s="237">
        <v>8609</v>
      </c>
      <c r="C476" s="237" t="s">
        <v>1217</v>
      </c>
      <c r="D476" s="254"/>
      <c r="E476" s="254"/>
      <c r="F476" s="254"/>
    </row>
    <row r="477" spans="1:6" x14ac:dyDescent="0.35">
      <c r="A477" s="255"/>
      <c r="B477" s="237">
        <v>8610</v>
      </c>
      <c r="C477" s="237" t="s">
        <v>1246</v>
      </c>
      <c r="D477" s="254"/>
      <c r="E477" s="254"/>
      <c r="F477" s="254"/>
    </row>
    <row r="478" spans="1:6" x14ac:dyDescent="0.35">
      <c r="A478" s="255"/>
      <c r="B478" s="237">
        <v>8611</v>
      </c>
      <c r="C478" s="237" t="s">
        <v>1247</v>
      </c>
      <c r="D478" s="254"/>
      <c r="E478" s="254"/>
      <c r="F478" s="254"/>
    </row>
    <row r="479" spans="1:6" x14ac:dyDescent="0.35">
      <c r="A479" s="255"/>
      <c r="B479" s="237">
        <v>8612</v>
      </c>
      <c r="C479" s="237" t="s">
        <v>1248</v>
      </c>
      <c r="D479" s="254"/>
      <c r="E479" s="254"/>
      <c r="F479" s="254"/>
    </row>
    <row r="480" spans="1:6" x14ac:dyDescent="0.35">
      <c r="A480" s="255"/>
      <c r="B480" s="237">
        <v>8612.1</v>
      </c>
      <c r="C480" s="237" t="s">
        <v>1249</v>
      </c>
      <c r="D480" s="254"/>
      <c r="E480" s="254"/>
      <c r="F480" s="254"/>
    </row>
    <row r="481" spans="1:6" x14ac:dyDescent="0.35">
      <c r="A481" s="255"/>
      <c r="B481" s="237">
        <v>8700</v>
      </c>
      <c r="C481" s="237" t="s">
        <v>858</v>
      </c>
      <c r="D481" s="254"/>
      <c r="E481" s="254"/>
      <c r="F481" s="254"/>
    </row>
    <row r="482" spans="1:6" x14ac:dyDescent="0.35">
      <c r="A482" s="255"/>
      <c r="B482" s="237">
        <v>8800</v>
      </c>
      <c r="C482" s="237" t="s">
        <v>859</v>
      </c>
      <c r="D482" s="254"/>
      <c r="E482" s="254"/>
      <c r="F482" s="254"/>
    </row>
    <row r="483" spans="1:6" x14ac:dyDescent="0.35">
      <c r="A483" s="255"/>
      <c r="B483" s="237">
        <v>8850</v>
      </c>
      <c r="C483" s="237" t="s">
        <v>860</v>
      </c>
      <c r="D483" s="254"/>
      <c r="E483" s="254"/>
      <c r="F483" s="254"/>
    </row>
    <row r="484" spans="1:6" x14ac:dyDescent="0.35">
      <c r="A484" s="255"/>
      <c r="B484" s="237">
        <v>8900</v>
      </c>
      <c r="C484" s="237" t="s">
        <v>917</v>
      </c>
      <c r="D484" s="254"/>
      <c r="E484" s="254"/>
      <c r="F484" s="254"/>
    </row>
    <row r="485" spans="1:6" x14ac:dyDescent="0.35">
      <c r="A485" s="255"/>
      <c r="B485" s="237">
        <v>24000</v>
      </c>
      <c r="C485" s="237" t="s">
        <v>918</v>
      </c>
      <c r="D485" s="254"/>
      <c r="E485" s="254"/>
      <c r="F485" s="254"/>
    </row>
    <row r="486" spans="1:6" x14ac:dyDescent="0.35">
      <c r="A486" s="255"/>
      <c r="B486" s="237">
        <v>32000</v>
      </c>
      <c r="C486" s="237" t="s">
        <v>861</v>
      </c>
      <c r="D486" s="254"/>
      <c r="E486" s="254"/>
      <c r="F486" s="254"/>
    </row>
    <row r="487" spans="1:6" x14ac:dyDescent="0.35">
      <c r="A487" s="255"/>
      <c r="B487" s="237">
        <v>66900</v>
      </c>
      <c r="C487" s="237" t="s">
        <v>919</v>
      </c>
      <c r="D487" s="254"/>
      <c r="E487" s="254"/>
      <c r="F487" s="254"/>
    </row>
    <row r="488" spans="1:6" x14ac:dyDescent="0.35">
      <c r="A488" s="255"/>
      <c r="B488" s="237" t="s">
        <v>862</v>
      </c>
      <c r="C488" s="237" t="s">
        <v>1250</v>
      </c>
      <c r="D488" s="254"/>
      <c r="E488" s="254"/>
      <c r="F488" s="254"/>
    </row>
    <row r="489" spans="1:6" x14ac:dyDescent="0.35">
      <c r="A489" s="255"/>
      <c r="B489" s="237" t="s">
        <v>863</v>
      </c>
      <c r="C489" s="237" t="s">
        <v>50</v>
      </c>
      <c r="D489" s="254"/>
      <c r="E489" s="254"/>
      <c r="F489" s="254"/>
    </row>
    <row r="490" spans="1:6" x14ac:dyDescent="0.35">
      <c r="A490" s="255"/>
      <c r="B490" s="237" t="s">
        <v>864</v>
      </c>
      <c r="C490" s="237" t="s">
        <v>1041</v>
      </c>
      <c r="D490" s="254"/>
      <c r="E490" s="254"/>
      <c r="F490" s="254"/>
    </row>
    <row r="491" spans="1:6" x14ac:dyDescent="0.35">
      <c r="A491" s="255"/>
      <c r="B491" s="237" t="s">
        <v>865</v>
      </c>
      <c r="C491" s="237" t="s">
        <v>1251</v>
      </c>
      <c r="D491" s="254"/>
      <c r="E491" s="254"/>
      <c r="F491" s="254"/>
    </row>
    <row r="492" spans="1:6" x14ac:dyDescent="0.35">
      <c r="A492" s="255"/>
      <c r="B492" s="237" t="s">
        <v>920</v>
      </c>
      <c r="C492" s="237" t="s">
        <v>921</v>
      </c>
      <c r="D492" s="254"/>
      <c r="E492" s="254"/>
      <c r="F492" s="254"/>
    </row>
    <row r="493" spans="1:6" x14ac:dyDescent="0.35">
      <c r="A493" s="255"/>
      <c r="B493" s="237" t="s">
        <v>866</v>
      </c>
      <c r="C493" s="237" t="s">
        <v>1252</v>
      </c>
      <c r="D493" s="254"/>
      <c r="E493" s="254"/>
      <c r="F493" s="254"/>
    </row>
    <row r="494" spans="1:6" x14ac:dyDescent="0.35">
      <c r="A494" s="255"/>
      <c r="B494" s="237" t="s">
        <v>922</v>
      </c>
      <c r="C494" s="237" t="s">
        <v>1253</v>
      </c>
      <c r="D494" s="254"/>
      <c r="E494" s="254"/>
      <c r="F494" s="254"/>
    </row>
    <row r="495" spans="1:6" x14ac:dyDescent="0.35">
      <c r="A495" s="255"/>
      <c r="B495" s="237" t="s">
        <v>923</v>
      </c>
      <c r="C495" s="237" t="s">
        <v>1254</v>
      </c>
      <c r="D495" s="254"/>
      <c r="E495" s="254"/>
      <c r="F495" s="254"/>
    </row>
    <row r="496" spans="1:6" x14ac:dyDescent="0.35">
      <c r="A496" s="255"/>
      <c r="B496" s="237" t="s">
        <v>867</v>
      </c>
      <c r="C496" s="237" t="s">
        <v>1255</v>
      </c>
      <c r="D496" s="254"/>
      <c r="E496" s="254"/>
      <c r="F496" s="254"/>
    </row>
    <row r="497" spans="1:6" x14ac:dyDescent="0.35">
      <c r="A497" s="255"/>
      <c r="B497" s="237" t="s">
        <v>868</v>
      </c>
      <c r="C497" s="237" t="s">
        <v>1256</v>
      </c>
      <c r="D497" s="254"/>
      <c r="E497" s="254"/>
      <c r="F497" s="254"/>
    </row>
    <row r="498" spans="1:6" x14ac:dyDescent="0.35">
      <c r="A498" s="255"/>
      <c r="B498" s="237" t="s">
        <v>869</v>
      </c>
      <c r="C498" s="237" t="s">
        <v>1257</v>
      </c>
      <c r="D498" s="254"/>
      <c r="E498" s="254"/>
      <c r="F498" s="254"/>
    </row>
    <row r="499" spans="1:6" x14ac:dyDescent="0.35">
      <c r="A499" s="255"/>
      <c r="B499" s="237" t="s">
        <v>924</v>
      </c>
      <c r="C499" s="237" t="s">
        <v>1258</v>
      </c>
      <c r="D499" s="254"/>
      <c r="E499" s="254"/>
      <c r="F499" s="254"/>
    </row>
    <row r="500" spans="1:6" x14ac:dyDescent="0.35">
      <c r="A500" s="255"/>
      <c r="B500" s="237" t="s">
        <v>870</v>
      </c>
      <c r="C500" s="237" t="s">
        <v>1259</v>
      </c>
      <c r="D500" s="254"/>
      <c r="E500" s="254"/>
      <c r="F500" s="254"/>
    </row>
    <row r="501" spans="1:6" x14ac:dyDescent="0.35">
      <c r="A501" s="255"/>
      <c r="B501" s="237" t="s">
        <v>871</v>
      </c>
      <c r="C501" s="237" t="s">
        <v>1260</v>
      </c>
      <c r="D501" s="254"/>
      <c r="E501" s="254"/>
      <c r="F501" s="254"/>
    </row>
    <row r="502" spans="1:6" x14ac:dyDescent="0.35">
      <c r="A502" s="255"/>
      <c r="B502" s="237" t="s">
        <v>925</v>
      </c>
      <c r="C502" s="237" t="s">
        <v>1261</v>
      </c>
      <c r="D502" s="254"/>
      <c r="E502" s="254"/>
      <c r="F502" s="254"/>
    </row>
    <row r="503" spans="1:6" x14ac:dyDescent="0.35">
      <c r="A503" s="255"/>
      <c r="B503" s="237" t="s">
        <v>1262</v>
      </c>
      <c r="C503" s="237" t="s">
        <v>1263</v>
      </c>
      <c r="D503" s="254"/>
      <c r="E503" s="254"/>
      <c r="F503" s="254"/>
    </row>
    <row r="504" spans="1:6" x14ac:dyDescent="0.35">
      <c r="A504" s="255"/>
      <c r="B504" s="237" t="s">
        <v>926</v>
      </c>
      <c r="C504" s="237" t="s">
        <v>1264</v>
      </c>
      <c r="D504" s="254"/>
      <c r="E504" s="254"/>
      <c r="F504" s="254"/>
    </row>
    <row r="505" spans="1:6" x14ac:dyDescent="0.35">
      <c r="A505" s="255"/>
      <c r="B505" s="237" t="s">
        <v>872</v>
      </c>
      <c r="C505" s="237" t="s">
        <v>1265</v>
      </c>
      <c r="D505" s="254"/>
      <c r="E505" s="254"/>
      <c r="F505" s="254"/>
    </row>
    <row r="506" spans="1:6" x14ac:dyDescent="0.35">
      <c r="A506" s="255"/>
      <c r="B506" s="237" t="s">
        <v>927</v>
      </c>
      <c r="C506" s="237" t="s">
        <v>1266</v>
      </c>
      <c r="D506" s="254"/>
      <c r="E506" s="254"/>
      <c r="F506" s="254"/>
    </row>
    <row r="507" spans="1:6" x14ac:dyDescent="0.35">
      <c r="A507" s="255"/>
      <c r="B507" s="237" t="s">
        <v>928</v>
      </c>
      <c r="C507" s="237" t="s">
        <v>1267</v>
      </c>
      <c r="D507" s="254"/>
      <c r="E507" s="254"/>
      <c r="F507" s="254"/>
    </row>
    <row r="508" spans="1:6" x14ac:dyDescent="0.35">
      <c r="A508" s="255"/>
      <c r="B508" s="237" t="s">
        <v>929</v>
      </c>
      <c r="C508" s="237" t="s">
        <v>1268</v>
      </c>
      <c r="D508" s="254"/>
      <c r="E508" s="254"/>
      <c r="F508" s="254"/>
    </row>
    <row r="509" spans="1:6" x14ac:dyDescent="0.35">
      <c r="A509" s="255"/>
      <c r="B509" s="237" t="s">
        <v>930</v>
      </c>
      <c r="C509" s="237" t="s">
        <v>1269</v>
      </c>
      <c r="D509" s="254"/>
      <c r="E509" s="254"/>
      <c r="F509" s="254"/>
    </row>
    <row r="510" spans="1:6" x14ac:dyDescent="0.35">
      <c r="A510" s="255"/>
      <c r="B510" s="237" t="s">
        <v>873</v>
      </c>
      <c r="C510" s="237" t="s">
        <v>1270</v>
      </c>
      <c r="D510" s="254"/>
      <c r="E510" s="254"/>
      <c r="F510" s="254"/>
    </row>
    <row r="511" spans="1:6" x14ac:dyDescent="0.35">
      <c r="A511" s="255"/>
      <c r="B511" s="237" t="s">
        <v>931</v>
      </c>
      <c r="C511" s="237" t="s">
        <v>1271</v>
      </c>
      <c r="D511" s="254"/>
      <c r="E511" s="254"/>
      <c r="F511" s="254"/>
    </row>
    <row r="512" spans="1:6" x14ac:dyDescent="0.35">
      <c r="A512" s="255"/>
      <c r="B512" s="237" t="s">
        <v>874</v>
      </c>
      <c r="C512" s="237" t="s">
        <v>1272</v>
      </c>
      <c r="D512" s="254"/>
      <c r="E512" s="254"/>
      <c r="F512" s="254"/>
    </row>
    <row r="513" spans="1:6" x14ac:dyDescent="0.35">
      <c r="A513" s="255"/>
      <c r="B513" s="237" t="s">
        <v>932</v>
      </c>
      <c r="C513" s="237" t="s">
        <v>1273</v>
      </c>
      <c r="D513" s="254"/>
      <c r="E513" s="254"/>
      <c r="F513" s="254"/>
    </row>
    <row r="514" spans="1:6" x14ac:dyDescent="0.35">
      <c r="A514" s="255"/>
      <c r="B514" s="237" t="s">
        <v>875</v>
      </c>
      <c r="C514" s="237" t="s">
        <v>1274</v>
      </c>
      <c r="D514" s="254"/>
      <c r="E514" s="254"/>
      <c r="F514" s="254"/>
    </row>
    <row r="515" spans="1:6" x14ac:dyDescent="0.35">
      <c r="A515" s="255"/>
      <c r="B515" s="237" t="s">
        <v>876</v>
      </c>
      <c r="C515" s="237" t="s">
        <v>1275</v>
      </c>
      <c r="D515" s="254"/>
      <c r="E515" s="254"/>
      <c r="F515" s="254"/>
    </row>
    <row r="516" spans="1:6" x14ac:dyDescent="0.35">
      <c r="A516" s="255"/>
      <c r="B516" s="237" t="s">
        <v>933</v>
      </c>
      <c r="C516" s="237" t="s">
        <v>1276</v>
      </c>
      <c r="D516" s="254"/>
      <c r="E516" s="254"/>
      <c r="F516" s="254"/>
    </row>
    <row r="517" spans="1:6" x14ac:dyDescent="0.35">
      <c r="A517" s="255"/>
      <c r="B517" s="237" t="s">
        <v>934</v>
      </c>
      <c r="C517" s="237" t="s">
        <v>1277</v>
      </c>
      <c r="D517" s="254"/>
      <c r="E517" s="254"/>
      <c r="F517" s="254"/>
    </row>
    <row r="518" spans="1:6" x14ac:dyDescent="0.35">
      <c r="A518" s="255"/>
      <c r="B518" s="237" t="s">
        <v>935</v>
      </c>
      <c r="C518" s="237" t="s">
        <v>1278</v>
      </c>
      <c r="D518" s="254"/>
      <c r="E518" s="254"/>
      <c r="F518" s="254"/>
    </row>
    <row r="519" spans="1:6" x14ac:dyDescent="0.35">
      <c r="A519" s="255"/>
      <c r="B519" s="237" t="s">
        <v>936</v>
      </c>
      <c r="C519" s="237" t="s">
        <v>1279</v>
      </c>
      <c r="D519" s="254"/>
      <c r="E519" s="254"/>
      <c r="F519" s="254"/>
    </row>
    <row r="520" spans="1:6" x14ac:dyDescent="0.35">
      <c r="A520" s="255"/>
      <c r="B520" s="237" t="s">
        <v>937</v>
      </c>
      <c r="C520" s="237" t="s">
        <v>1280</v>
      </c>
      <c r="D520" s="254"/>
      <c r="E520" s="254"/>
      <c r="F520" s="254"/>
    </row>
    <row r="521" spans="1:6" x14ac:dyDescent="0.35">
      <c r="A521" s="255"/>
      <c r="B521" s="237" t="s">
        <v>938</v>
      </c>
      <c r="C521" s="237" t="s">
        <v>1281</v>
      </c>
      <c r="D521" s="254"/>
      <c r="E521" s="254"/>
      <c r="F521" s="254"/>
    </row>
    <row r="522" spans="1:6" x14ac:dyDescent="0.35">
      <c r="A522" s="255"/>
      <c r="B522" s="237" t="s">
        <v>939</v>
      </c>
      <c r="C522" s="237" t="s">
        <v>1282</v>
      </c>
      <c r="D522" s="254"/>
      <c r="E522" s="254"/>
      <c r="F522" s="254"/>
    </row>
    <row r="523" spans="1:6" x14ac:dyDescent="0.35">
      <c r="A523" s="255"/>
      <c r="B523" s="237" t="s">
        <v>940</v>
      </c>
      <c r="C523" s="237" t="s">
        <v>1283</v>
      </c>
      <c r="D523" s="254"/>
      <c r="E523" s="254"/>
      <c r="F523" s="254"/>
    </row>
    <row r="524" spans="1:6" x14ac:dyDescent="0.35">
      <c r="A524" s="255"/>
      <c r="B524" s="237" t="s">
        <v>941</v>
      </c>
      <c r="C524" s="237" t="s">
        <v>1284</v>
      </c>
      <c r="D524" s="254"/>
      <c r="E524" s="254"/>
      <c r="F524" s="254"/>
    </row>
    <row r="525" spans="1:6" x14ac:dyDescent="0.35">
      <c r="A525" s="255"/>
      <c r="B525" s="237" t="s">
        <v>942</v>
      </c>
      <c r="C525" s="237" t="s">
        <v>1285</v>
      </c>
      <c r="D525" s="254"/>
      <c r="E525" s="254"/>
      <c r="F525" s="254"/>
    </row>
    <row r="526" spans="1:6" x14ac:dyDescent="0.35">
      <c r="A526" s="255"/>
      <c r="B526" s="237" t="s">
        <v>877</v>
      </c>
      <c r="C526" s="237" t="s">
        <v>1286</v>
      </c>
      <c r="D526" s="254"/>
      <c r="E526" s="254"/>
      <c r="F526" s="254"/>
    </row>
    <row r="527" spans="1:6" x14ac:dyDescent="0.35">
      <c r="A527" s="255"/>
      <c r="B527" s="237" t="s">
        <v>878</v>
      </c>
      <c r="C527" s="237" t="s">
        <v>1287</v>
      </c>
      <c r="D527" s="254"/>
      <c r="E527" s="254"/>
      <c r="F527" s="254"/>
    </row>
    <row r="528" spans="1:6" x14ac:dyDescent="0.35">
      <c r="A528" s="255"/>
      <c r="B528" s="237" t="s">
        <v>879</v>
      </c>
      <c r="C528" s="237" t="s">
        <v>1288</v>
      </c>
      <c r="D528" s="254"/>
      <c r="E528" s="254"/>
      <c r="F528" s="254"/>
    </row>
    <row r="529" spans="1:6" x14ac:dyDescent="0.35">
      <c r="A529" s="255"/>
      <c r="B529" s="237" t="s">
        <v>943</v>
      </c>
      <c r="C529" s="237" t="s">
        <v>1289</v>
      </c>
      <c r="D529" s="254"/>
      <c r="E529" s="254"/>
      <c r="F529" s="254"/>
    </row>
    <row r="530" spans="1:6" x14ac:dyDescent="0.35">
      <c r="A530" s="255"/>
      <c r="B530" s="237" t="s">
        <v>944</v>
      </c>
      <c r="C530" s="237" t="s">
        <v>1290</v>
      </c>
      <c r="D530" s="254"/>
      <c r="E530" s="254"/>
      <c r="F530" s="254"/>
    </row>
    <row r="531" spans="1:6" x14ac:dyDescent="0.35">
      <c r="A531" s="255"/>
      <c r="B531" s="237" t="s">
        <v>945</v>
      </c>
      <c r="C531" s="237" t="s">
        <v>1291</v>
      </c>
      <c r="D531" s="254"/>
      <c r="E531" s="254"/>
      <c r="F531" s="254"/>
    </row>
    <row r="532" spans="1:6" x14ac:dyDescent="0.35">
      <c r="A532" s="255"/>
      <c r="B532" s="237" t="s">
        <v>946</v>
      </c>
      <c r="C532" s="237" t="s">
        <v>1292</v>
      </c>
      <c r="D532" s="254"/>
      <c r="E532" s="254"/>
      <c r="F532" s="254"/>
    </row>
    <row r="533" spans="1:6" x14ac:dyDescent="0.35">
      <c r="A533" s="255"/>
      <c r="B533" s="237" t="s">
        <v>947</v>
      </c>
      <c r="C533" s="237" t="s">
        <v>1293</v>
      </c>
      <c r="D533" s="254"/>
      <c r="E533" s="254"/>
      <c r="F533" s="254"/>
    </row>
    <row r="534" spans="1:6" x14ac:dyDescent="0.35">
      <c r="A534" s="255"/>
      <c r="B534" s="237" t="s">
        <v>948</v>
      </c>
      <c r="C534" s="237" t="s">
        <v>1294</v>
      </c>
      <c r="D534" s="254"/>
      <c r="E534" s="254"/>
      <c r="F534" s="254"/>
    </row>
    <row r="535" spans="1:6" x14ac:dyDescent="0.35">
      <c r="A535" s="255"/>
      <c r="B535" s="237" t="s">
        <v>949</v>
      </c>
      <c r="C535" s="237" t="s">
        <v>1295</v>
      </c>
      <c r="D535" s="254"/>
      <c r="E535" s="254"/>
      <c r="F535" s="254"/>
    </row>
    <row r="536" spans="1:6" x14ac:dyDescent="0.35">
      <c r="A536" s="255"/>
      <c r="B536" s="237" t="s">
        <v>950</v>
      </c>
      <c r="C536" s="237" t="s">
        <v>951</v>
      </c>
      <c r="D536" s="254"/>
      <c r="E536" s="254"/>
      <c r="F536" s="254"/>
    </row>
    <row r="537" spans="1:6" x14ac:dyDescent="0.35">
      <c r="A537" s="255"/>
      <c r="B537" s="237" t="s">
        <v>880</v>
      </c>
      <c r="C537" s="237" t="s">
        <v>881</v>
      </c>
      <c r="D537" s="254"/>
      <c r="E537" s="254"/>
      <c r="F537" s="254"/>
    </row>
    <row r="538" spans="1:6" x14ac:dyDescent="0.35">
      <c r="A538" s="256"/>
      <c r="B538" s="237" t="s">
        <v>952</v>
      </c>
      <c r="C538" s="237" t="s">
        <v>1296</v>
      </c>
      <c r="D538" s="254"/>
      <c r="E538" s="254"/>
      <c r="F538" s="254"/>
    </row>
    <row r="539" spans="1:6" x14ac:dyDescent="0.35">
      <c r="A539" s="256"/>
      <c r="D539" s="254"/>
      <c r="E539" s="254"/>
      <c r="F539" s="254"/>
    </row>
    <row r="540" spans="1:6" x14ac:dyDescent="0.35">
      <c r="A540" s="256"/>
      <c r="D540" s="254"/>
      <c r="E540" s="254"/>
      <c r="F540" s="254"/>
    </row>
    <row r="541" spans="1:6" x14ac:dyDescent="0.35">
      <c r="A541" s="256"/>
      <c r="D541" s="254"/>
      <c r="E541" s="254"/>
      <c r="F541" s="254"/>
    </row>
    <row r="542" spans="1:6" x14ac:dyDescent="0.35">
      <c r="A542" s="256"/>
      <c r="D542" s="254"/>
      <c r="E542" s="254"/>
      <c r="F542" s="254"/>
    </row>
    <row r="543" spans="1:6" x14ac:dyDescent="0.35">
      <c r="A543" s="256"/>
      <c r="D543" s="254"/>
      <c r="E543" s="254"/>
      <c r="F543" s="254"/>
    </row>
    <row r="544" spans="1:6" x14ac:dyDescent="0.35">
      <c r="A544" s="256"/>
      <c r="D544" s="254"/>
      <c r="E544" s="254"/>
      <c r="F544" s="254"/>
    </row>
    <row r="545" spans="1:6" x14ac:dyDescent="0.35">
      <c r="A545" s="256"/>
      <c r="D545" s="254"/>
      <c r="E545" s="254"/>
      <c r="F545" s="254"/>
    </row>
    <row r="546" spans="1:6" x14ac:dyDescent="0.35">
      <c r="A546" s="256"/>
      <c r="D546" s="254"/>
      <c r="E546" s="254"/>
      <c r="F546" s="254"/>
    </row>
    <row r="547" spans="1:6" x14ac:dyDescent="0.35">
      <c r="A547" s="256"/>
      <c r="D547" s="254"/>
      <c r="E547" s="254"/>
      <c r="F547" s="254"/>
    </row>
    <row r="548" spans="1:6" x14ac:dyDescent="0.35">
      <c r="A548" s="256"/>
      <c r="D548" s="254"/>
      <c r="E548" s="254"/>
      <c r="F548" s="254"/>
    </row>
    <row r="549" spans="1:6" x14ac:dyDescent="0.35">
      <c r="A549" s="256"/>
      <c r="D549" s="254"/>
      <c r="E549" s="254"/>
      <c r="F549" s="254"/>
    </row>
    <row r="550" spans="1:6" x14ac:dyDescent="0.35">
      <c r="A550" s="256"/>
      <c r="D550" s="254"/>
      <c r="E550" s="254"/>
      <c r="F550" s="254"/>
    </row>
    <row r="551" spans="1:6" x14ac:dyDescent="0.35">
      <c r="A551" s="256"/>
      <c r="D551" s="254"/>
      <c r="E551" s="254"/>
      <c r="F551" s="254"/>
    </row>
    <row r="552" spans="1:6" x14ac:dyDescent="0.35">
      <c r="A552" s="256"/>
      <c r="D552" s="254"/>
      <c r="E552" s="254"/>
      <c r="F552" s="254"/>
    </row>
    <row r="553" spans="1:6" x14ac:dyDescent="0.35">
      <c r="A553" s="256"/>
      <c r="D553" s="254"/>
      <c r="E553" s="254"/>
      <c r="F553" s="254"/>
    </row>
    <row r="554" spans="1:6" x14ac:dyDescent="0.35">
      <c r="A554" s="256"/>
      <c r="D554" s="254"/>
      <c r="E554" s="254"/>
      <c r="F554" s="254"/>
    </row>
    <row r="555" spans="1:6" x14ac:dyDescent="0.35">
      <c r="A555" s="256"/>
      <c r="D555" s="254"/>
      <c r="E555" s="254"/>
      <c r="F555" s="254"/>
    </row>
    <row r="556" spans="1:6" x14ac:dyDescent="0.35">
      <c r="A556" s="256"/>
      <c r="D556" s="254"/>
      <c r="E556" s="254"/>
      <c r="F556" s="254"/>
    </row>
    <row r="557" spans="1:6" x14ac:dyDescent="0.35">
      <c r="A557" s="256"/>
      <c r="D557" s="254"/>
      <c r="E557" s="254"/>
      <c r="F557" s="254"/>
    </row>
    <row r="558" spans="1:6" x14ac:dyDescent="0.35">
      <c r="A558" s="256"/>
      <c r="D558" s="254"/>
      <c r="E558" s="254"/>
      <c r="F558" s="254"/>
    </row>
    <row r="559" spans="1:6" x14ac:dyDescent="0.35">
      <c r="A559" s="256"/>
      <c r="D559" s="254"/>
      <c r="E559" s="254"/>
      <c r="F559" s="254"/>
    </row>
    <row r="560" spans="1:6" x14ac:dyDescent="0.35">
      <c r="A560" s="256"/>
      <c r="D560" s="254"/>
      <c r="E560" s="254"/>
      <c r="F560" s="254"/>
    </row>
    <row r="561" spans="1:6" x14ac:dyDescent="0.35">
      <c r="A561" s="256"/>
      <c r="D561" s="254"/>
      <c r="E561" s="254"/>
      <c r="F561" s="254"/>
    </row>
    <row r="562" spans="1:6" x14ac:dyDescent="0.35">
      <c r="A562" s="256"/>
      <c r="D562" s="254"/>
      <c r="E562" s="254"/>
      <c r="F562" s="254"/>
    </row>
    <row r="563" spans="1:6" x14ac:dyDescent="0.35">
      <c r="A563" s="256"/>
      <c r="D563" s="254"/>
      <c r="E563" s="254"/>
      <c r="F563" s="254"/>
    </row>
    <row r="564" spans="1:6" x14ac:dyDescent="0.35">
      <c r="A564" s="256"/>
      <c r="D564" s="254"/>
      <c r="E564" s="254"/>
      <c r="F564" s="254"/>
    </row>
    <row r="565" spans="1:6" x14ac:dyDescent="0.35">
      <c r="A565" s="256"/>
      <c r="D565" s="254"/>
      <c r="E565" s="254"/>
      <c r="F565" s="254"/>
    </row>
    <row r="566" spans="1:6" x14ac:dyDescent="0.35">
      <c r="A566" s="256"/>
      <c r="D566" s="254"/>
      <c r="E566" s="254"/>
      <c r="F566" s="254"/>
    </row>
    <row r="567" spans="1:6" x14ac:dyDescent="0.35">
      <c r="A567" s="256"/>
      <c r="D567" s="254"/>
      <c r="E567" s="254"/>
      <c r="F567" s="254"/>
    </row>
    <row r="568" spans="1:6" x14ac:dyDescent="0.35">
      <c r="A568" s="256"/>
      <c r="D568" s="254"/>
      <c r="E568" s="254"/>
      <c r="F568" s="254"/>
    </row>
    <row r="569" spans="1:6" x14ac:dyDescent="0.35">
      <c r="A569" s="256"/>
      <c r="D569" s="254"/>
      <c r="E569" s="254"/>
      <c r="F569" s="254"/>
    </row>
    <row r="570" spans="1:6" x14ac:dyDescent="0.35">
      <c r="A570" s="256"/>
      <c r="D570" s="254"/>
      <c r="E570" s="254"/>
      <c r="F570" s="254"/>
    </row>
    <row r="571" spans="1:6" x14ac:dyDescent="0.35">
      <c r="A571" s="256"/>
      <c r="D571" s="254"/>
      <c r="E571" s="254"/>
      <c r="F571" s="254"/>
    </row>
    <row r="572" spans="1:6" x14ac:dyDescent="0.35">
      <c r="A572" s="256"/>
      <c r="D572" s="254"/>
      <c r="E572" s="254"/>
      <c r="F572" s="254"/>
    </row>
    <row r="573" spans="1:6" x14ac:dyDescent="0.35">
      <c r="A573" s="256"/>
      <c r="D573" s="254"/>
      <c r="E573" s="254"/>
      <c r="F573" s="254"/>
    </row>
    <row r="574" spans="1:6" x14ac:dyDescent="0.35">
      <c r="A574" s="256"/>
      <c r="D574" s="254"/>
      <c r="E574" s="254"/>
      <c r="F574" s="254"/>
    </row>
    <row r="575" spans="1:6" x14ac:dyDescent="0.35">
      <c r="A575" s="256"/>
      <c r="D575" s="254"/>
      <c r="E575" s="254"/>
      <c r="F575" s="254"/>
    </row>
    <row r="576" spans="1:6" x14ac:dyDescent="0.35">
      <c r="A576" s="256"/>
      <c r="D576" s="254"/>
      <c r="E576" s="254"/>
      <c r="F576" s="254"/>
    </row>
    <row r="577" spans="1:6" x14ac:dyDescent="0.35">
      <c r="A577" s="256"/>
      <c r="D577" s="254"/>
      <c r="E577" s="254"/>
      <c r="F577" s="254"/>
    </row>
    <row r="578" spans="1:6" x14ac:dyDescent="0.35">
      <c r="A578" s="256"/>
      <c r="D578" s="254"/>
      <c r="E578" s="254"/>
      <c r="F578" s="254"/>
    </row>
    <row r="579" spans="1:6" x14ac:dyDescent="0.35">
      <c r="A579" s="256"/>
      <c r="D579" s="254"/>
      <c r="E579" s="254"/>
      <c r="F579" s="254"/>
    </row>
    <row r="580" spans="1:6" x14ac:dyDescent="0.35">
      <c r="A580" s="256"/>
      <c r="D580" s="254"/>
      <c r="E580" s="254"/>
      <c r="F580" s="254"/>
    </row>
    <row r="581" spans="1:6" x14ac:dyDescent="0.35">
      <c r="A581" s="256"/>
      <c r="D581" s="254"/>
      <c r="E581" s="254"/>
      <c r="F581" s="254"/>
    </row>
    <row r="582" spans="1:6" x14ac:dyDescent="0.35">
      <c r="A582" s="256"/>
      <c r="D582" s="254"/>
      <c r="E582" s="254"/>
      <c r="F582" s="254"/>
    </row>
    <row r="583" spans="1:6" x14ac:dyDescent="0.35">
      <c r="A583" s="256"/>
      <c r="D583" s="254"/>
      <c r="E583" s="254"/>
      <c r="F583" s="254"/>
    </row>
    <row r="584" spans="1:6" x14ac:dyDescent="0.35">
      <c r="A584" s="256"/>
      <c r="D584" s="254"/>
      <c r="E584" s="254"/>
      <c r="F584" s="254"/>
    </row>
    <row r="585" spans="1:6" x14ac:dyDescent="0.35">
      <c r="A585" s="256"/>
      <c r="D585" s="254"/>
      <c r="E585" s="254"/>
      <c r="F585" s="254"/>
    </row>
    <row r="586" spans="1:6" x14ac:dyDescent="0.35">
      <c r="A586" s="256"/>
      <c r="D586" s="254"/>
      <c r="E586" s="254"/>
      <c r="F586" s="254"/>
    </row>
    <row r="587" spans="1:6" x14ac:dyDescent="0.35">
      <c r="A587" s="256"/>
      <c r="D587" s="254"/>
      <c r="E587" s="254"/>
      <c r="F587" s="254"/>
    </row>
    <row r="588" spans="1:6" x14ac:dyDescent="0.35">
      <c r="A588" s="256"/>
      <c r="D588" s="254"/>
      <c r="E588" s="254"/>
      <c r="F588" s="254"/>
    </row>
    <row r="589" spans="1:6" x14ac:dyDescent="0.35">
      <c r="A589" s="256"/>
      <c r="D589" s="254"/>
      <c r="E589" s="254"/>
      <c r="F589" s="254"/>
    </row>
    <row r="590" spans="1:6" x14ac:dyDescent="0.35">
      <c r="A590" s="256"/>
      <c r="D590" s="254"/>
      <c r="E590" s="254"/>
      <c r="F590" s="254"/>
    </row>
    <row r="591" spans="1:6" x14ac:dyDescent="0.35">
      <c r="A591" s="256"/>
      <c r="D591" s="254"/>
      <c r="E591" s="254"/>
      <c r="F591" s="254"/>
    </row>
    <row r="592" spans="1:6" x14ac:dyDescent="0.35">
      <c r="A592" s="256"/>
      <c r="D592" s="254"/>
      <c r="E592" s="254"/>
      <c r="F592" s="254"/>
    </row>
    <row r="593" spans="1:6" x14ac:dyDescent="0.35">
      <c r="A593" s="256"/>
      <c r="D593" s="254"/>
      <c r="E593" s="254"/>
      <c r="F593" s="254"/>
    </row>
    <row r="594" spans="1:6" x14ac:dyDescent="0.35">
      <c r="A594" s="256"/>
      <c r="D594" s="254"/>
      <c r="E594" s="254"/>
      <c r="F594" s="254"/>
    </row>
    <row r="595" spans="1:6" x14ac:dyDescent="0.35">
      <c r="A595" s="256"/>
      <c r="D595" s="254"/>
      <c r="E595" s="254"/>
      <c r="F595" s="254"/>
    </row>
    <row r="596" spans="1:6" x14ac:dyDescent="0.35">
      <c r="A596" s="256"/>
      <c r="D596" s="254"/>
      <c r="E596" s="254"/>
      <c r="F596" s="254"/>
    </row>
    <row r="597" spans="1:6" x14ac:dyDescent="0.35">
      <c r="A597" s="256"/>
      <c r="D597" s="254"/>
      <c r="E597" s="254"/>
      <c r="F597" s="254"/>
    </row>
    <row r="598" spans="1:6" x14ac:dyDescent="0.35">
      <c r="A598" s="256"/>
      <c r="D598" s="254"/>
      <c r="E598" s="254"/>
      <c r="F598" s="254"/>
    </row>
    <row r="599" spans="1:6" x14ac:dyDescent="0.35">
      <c r="A599" s="256"/>
      <c r="D599" s="254"/>
      <c r="E599" s="254"/>
      <c r="F599" s="254"/>
    </row>
    <row r="600" spans="1:6" x14ac:dyDescent="0.35">
      <c r="A600" s="256"/>
      <c r="D600" s="254"/>
      <c r="E600" s="254"/>
      <c r="F600" s="254"/>
    </row>
    <row r="601" spans="1:6" x14ac:dyDescent="0.35">
      <c r="A601" s="256"/>
      <c r="D601" s="254"/>
      <c r="E601" s="254"/>
      <c r="F601" s="254"/>
    </row>
    <row r="602" spans="1:6" x14ac:dyDescent="0.35">
      <c r="A602" s="256"/>
      <c r="D602" s="254"/>
      <c r="E602" s="254"/>
      <c r="F602" s="254"/>
    </row>
    <row r="603" spans="1:6" x14ac:dyDescent="0.35">
      <c r="A603" s="256"/>
      <c r="D603" s="254"/>
      <c r="E603" s="254"/>
      <c r="F603" s="254"/>
    </row>
    <row r="604" spans="1:6" x14ac:dyDescent="0.35">
      <c r="A604" s="256"/>
      <c r="D604" s="254"/>
      <c r="E604" s="254"/>
      <c r="F604" s="254"/>
    </row>
    <row r="605" spans="1:6" x14ac:dyDescent="0.35">
      <c r="A605" s="256"/>
      <c r="D605" s="254"/>
      <c r="E605" s="254"/>
      <c r="F605" s="254"/>
    </row>
    <row r="606" spans="1:6" x14ac:dyDescent="0.35">
      <c r="A606" s="256"/>
      <c r="D606" s="254"/>
      <c r="E606" s="254"/>
      <c r="F606" s="254"/>
    </row>
    <row r="607" spans="1:6" x14ac:dyDescent="0.35">
      <c r="A607" s="256"/>
      <c r="D607" s="254"/>
      <c r="E607" s="254"/>
      <c r="F607" s="254"/>
    </row>
    <row r="608" spans="1:6" x14ac:dyDescent="0.35">
      <c r="A608" s="256"/>
      <c r="D608" s="254"/>
      <c r="E608" s="254"/>
      <c r="F608" s="254"/>
    </row>
    <row r="609" spans="1:6" x14ac:dyDescent="0.35">
      <c r="A609" s="256"/>
      <c r="D609" s="254"/>
      <c r="E609" s="254"/>
      <c r="F609" s="254"/>
    </row>
    <row r="610" spans="1:6" x14ac:dyDescent="0.35">
      <c r="A610" s="256"/>
      <c r="D610" s="254"/>
      <c r="E610" s="254"/>
      <c r="F610" s="254"/>
    </row>
    <row r="611" spans="1:6" x14ac:dyDescent="0.35">
      <c r="A611" s="256"/>
      <c r="D611" s="254"/>
      <c r="E611" s="254"/>
      <c r="F611" s="254"/>
    </row>
    <row r="612" spans="1:6" x14ac:dyDescent="0.35">
      <c r="A612" s="256"/>
      <c r="D612" s="254"/>
      <c r="E612" s="254"/>
      <c r="F612" s="254"/>
    </row>
    <row r="613" spans="1:6" x14ac:dyDescent="0.35">
      <c r="A613" s="256"/>
      <c r="D613" s="254"/>
      <c r="E613" s="254"/>
      <c r="F613" s="254"/>
    </row>
    <row r="614" spans="1:6" x14ac:dyDescent="0.35">
      <c r="A614" s="256"/>
      <c r="D614" s="254"/>
      <c r="E614" s="254"/>
      <c r="F614" s="254"/>
    </row>
    <row r="615" spans="1:6" x14ac:dyDescent="0.35">
      <c r="A615" s="256"/>
      <c r="D615" s="254"/>
      <c r="E615" s="254"/>
      <c r="F615" s="254"/>
    </row>
    <row r="616" spans="1:6" x14ac:dyDescent="0.35">
      <c r="A616" s="256"/>
      <c r="D616" s="254"/>
      <c r="E616" s="254"/>
      <c r="F616" s="254"/>
    </row>
    <row r="617" spans="1:6" x14ac:dyDescent="0.35">
      <c r="A617" s="256"/>
      <c r="D617" s="254"/>
      <c r="E617" s="254"/>
      <c r="F617" s="254"/>
    </row>
    <row r="618" spans="1:6" x14ac:dyDescent="0.35">
      <c r="A618" s="256"/>
      <c r="D618" s="254"/>
      <c r="E618" s="254"/>
      <c r="F618" s="254"/>
    </row>
    <row r="619" spans="1:6" x14ac:dyDescent="0.35">
      <c r="A619" s="256"/>
      <c r="D619" s="254"/>
      <c r="E619" s="254"/>
      <c r="F619" s="254"/>
    </row>
    <row r="620" spans="1:6" x14ac:dyDescent="0.35">
      <c r="A620" s="256"/>
      <c r="D620" s="254"/>
      <c r="E620" s="254"/>
      <c r="F620" s="254"/>
    </row>
    <row r="621" spans="1:6" x14ac:dyDescent="0.35">
      <c r="A621" s="256"/>
      <c r="D621" s="254"/>
      <c r="E621" s="254"/>
      <c r="F621" s="2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675"/>
  <sheetViews>
    <sheetView topLeftCell="I100" workbookViewId="0">
      <selection activeCell="A113" sqref="A113:XFD113"/>
    </sheetView>
  </sheetViews>
  <sheetFormatPr defaultRowHeight="14.5" x14ac:dyDescent="0.35"/>
  <cols>
    <col min="1" max="1" width="69.6328125" style="236" customWidth="1"/>
    <col min="2" max="2" width="9.453125" style="236" customWidth="1"/>
    <col min="3" max="3" width="12" style="236" customWidth="1"/>
    <col min="4" max="4" width="14.6328125" style="236" customWidth="1"/>
    <col min="5" max="5" width="41.26953125" style="236" customWidth="1"/>
    <col min="6" max="6" width="33.54296875" style="236" customWidth="1"/>
    <col min="7" max="7" width="35.26953125" style="236" customWidth="1"/>
    <col min="8" max="8" width="86.81640625" style="236" customWidth="1"/>
    <col min="9" max="9" width="56.7265625" style="236" customWidth="1"/>
    <col min="10" max="10" width="12" style="236" customWidth="1"/>
    <col min="11" max="11" width="7.7265625" style="236" customWidth="1"/>
    <col min="12" max="16384" width="8.7265625" style="236"/>
  </cols>
  <sheetData>
    <row r="1" spans="1:11" ht="18" x14ac:dyDescent="0.4">
      <c r="A1" s="248" t="s">
        <v>141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1" ht="18" x14ac:dyDescent="0.4">
      <c r="A2" s="248" t="s">
        <v>142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</row>
    <row r="3" spans="1:11" x14ac:dyDescent="0.35">
      <c r="A3" s="250" t="s">
        <v>697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</row>
    <row r="5" spans="1:11" ht="24" x14ac:dyDescent="0.35">
      <c r="B5" s="223" t="s">
        <v>143</v>
      </c>
      <c r="C5" s="223" t="s">
        <v>144</v>
      </c>
      <c r="D5" s="223" t="s">
        <v>145</v>
      </c>
      <c r="E5" s="223" t="s">
        <v>146</v>
      </c>
      <c r="F5" s="223" t="s">
        <v>147</v>
      </c>
      <c r="G5" s="223" t="s">
        <v>123</v>
      </c>
      <c r="H5" s="223" t="s">
        <v>148</v>
      </c>
      <c r="I5" s="223" t="s">
        <v>149</v>
      </c>
      <c r="J5" s="223" t="s">
        <v>150</v>
      </c>
      <c r="K5" s="223" t="s">
        <v>151</v>
      </c>
    </row>
    <row r="6" spans="1:11" x14ac:dyDescent="0.35">
      <c r="A6" s="224" t="s">
        <v>152</v>
      </c>
    </row>
    <row r="7" spans="1:11" x14ac:dyDescent="0.35">
      <c r="A7" s="224" t="s">
        <v>153</v>
      </c>
    </row>
    <row r="8" spans="1:11" x14ac:dyDescent="0.35">
      <c r="A8" s="224" t="s">
        <v>154</v>
      </c>
    </row>
    <row r="9" spans="1:11" x14ac:dyDescent="0.35">
      <c r="A9" s="224" t="s">
        <v>157</v>
      </c>
    </row>
    <row r="10" spans="1:11" x14ac:dyDescent="0.35">
      <c r="A10" s="224" t="s">
        <v>717</v>
      </c>
    </row>
    <row r="11" spans="1:11" x14ac:dyDescent="0.35">
      <c r="B11" s="225" t="s">
        <v>161</v>
      </c>
      <c r="C11" s="225" t="s">
        <v>155</v>
      </c>
      <c r="D11" s="225">
        <v>305</v>
      </c>
      <c r="E11" s="225"/>
      <c r="F11" s="225"/>
      <c r="G11" s="225" t="s">
        <v>159</v>
      </c>
      <c r="H11" s="225" t="s">
        <v>160</v>
      </c>
      <c r="I11" s="226" t="s">
        <v>156</v>
      </c>
      <c r="J11" s="227">
        <v>17100</v>
      </c>
      <c r="K11" s="227">
        <v>17100</v>
      </c>
    </row>
    <row r="12" spans="1:11" x14ac:dyDescent="0.35">
      <c r="A12" s="224" t="s">
        <v>162</v>
      </c>
      <c r="J12" s="228">
        <v>17100</v>
      </c>
    </row>
    <row r="13" spans="1:11" x14ac:dyDescent="0.35">
      <c r="A13" s="224" t="s">
        <v>698</v>
      </c>
      <c r="J13" s="228">
        <v>17100</v>
      </c>
    </row>
    <row r="14" spans="1:11" x14ac:dyDescent="0.35">
      <c r="A14" s="224" t="s">
        <v>169</v>
      </c>
      <c r="J14" s="228">
        <v>17100</v>
      </c>
    </row>
    <row r="15" spans="1:11" x14ac:dyDescent="0.35">
      <c r="A15" s="224" t="s">
        <v>170</v>
      </c>
    </row>
    <row r="16" spans="1:11" x14ac:dyDescent="0.35">
      <c r="A16" s="224" t="s">
        <v>171</v>
      </c>
    </row>
    <row r="17" spans="1:11" x14ac:dyDescent="0.35">
      <c r="B17" s="225" t="s">
        <v>176</v>
      </c>
      <c r="C17" s="225" t="s">
        <v>163</v>
      </c>
      <c r="D17" s="225">
        <v>202037</v>
      </c>
      <c r="E17" s="225" t="s">
        <v>177</v>
      </c>
      <c r="F17" s="225"/>
      <c r="G17" s="225" t="s">
        <v>178</v>
      </c>
      <c r="H17" s="225" t="s">
        <v>179</v>
      </c>
      <c r="I17" s="225" t="s">
        <v>164</v>
      </c>
      <c r="J17" s="227">
        <v>13060.21</v>
      </c>
      <c r="K17" s="227">
        <v>13060.21</v>
      </c>
    </row>
    <row r="18" spans="1:11" x14ac:dyDescent="0.35">
      <c r="B18" s="225" t="s">
        <v>180</v>
      </c>
      <c r="C18" s="225" t="s">
        <v>163</v>
      </c>
      <c r="D18" s="225">
        <v>202021</v>
      </c>
      <c r="E18" s="225" t="s">
        <v>172</v>
      </c>
      <c r="F18" s="225" t="s">
        <v>173</v>
      </c>
      <c r="G18" s="225" t="s">
        <v>174</v>
      </c>
      <c r="H18" s="225" t="s">
        <v>181</v>
      </c>
      <c r="I18" s="225" t="s">
        <v>164</v>
      </c>
      <c r="J18" s="227">
        <v>4994</v>
      </c>
      <c r="K18" s="227">
        <v>18054.21</v>
      </c>
    </row>
    <row r="19" spans="1:11" x14ac:dyDescent="0.35">
      <c r="B19" s="225" t="s">
        <v>182</v>
      </c>
      <c r="C19" s="225" t="s">
        <v>163</v>
      </c>
      <c r="D19" s="225">
        <v>202038</v>
      </c>
      <c r="E19" s="225" t="s">
        <v>183</v>
      </c>
      <c r="F19" s="225" t="s">
        <v>184</v>
      </c>
      <c r="G19" s="225" t="s">
        <v>185</v>
      </c>
      <c r="H19" s="225" t="s">
        <v>186</v>
      </c>
      <c r="I19" s="225" t="s">
        <v>164</v>
      </c>
      <c r="J19" s="227">
        <v>9883.9599999999991</v>
      </c>
      <c r="K19" s="227">
        <v>27938.17</v>
      </c>
    </row>
    <row r="20" spans="1:11" x14ac:dyDescent="0.35">
      <c r="A20" s="224" t="s">
        <v>187</v>
      </c>
      <c r="J20" s="228">
        <v>27938.17</v>
      </c>
    </row>
    <row r="21" spans="1:11" x14ac:dyDescent="0.35">
      <c r="A21" s="224" t="s">
        <v>189</v>
      </c>
    </row>
    <row r="22" spans="1:11" x14ac:dyDescent="0.35">
      <c r="B22" s="225" t="s">
        <v>191</v>
      </c>
      <c r="C22" s="225" t="s">
        <v>163</v>
      </c>
      <c r="D22" s="225">
        <v>202016</v>
      </c>
      <c r="E22" s="225" t="s">
        <v>190</v>
      </c>
      <c r="F22" s="225" t="s">
        <v>35</v>
      </c>
      <c r="G22" s="225" t="s">
        <v>98</v>
      </c>
      <c r="H22" s="225" t="s">
        <v>192</v>
      </c>
      <c r="I22" s="225" t="s">
        <v>164</v>
      </c>
      <c r="J22" s="227">
        <v>57003.89</v>
      </c>
      <c r="K22" s="227">
        <v>57003.89</v>
      </c>
    </row>
    <row r="23" spans="1:11" x14ac:dyDescent="0.35">
      <c r="A23" s="224" t="s">
        <v>193</v>
      </c>
      <c r="J23" s="228">
        <v>57003.89</v>
      </c>
    </row>
    <row r="24" spans="1:11" x14ac:dyDescent="0.35">
      <c r="A24" s="224" t="s">
        <v>194</v>
      </c>
      <c r="J24" s="228">
        <v>84942.06</v>
      </c>
    </row>
    <row r="25" spans="1:11" x14ac:dyDescent="0.35">
      <c r="A25" s="224" t="s">
        <v>699</v>
      </c>
      <c r="J25" s="228">
        <v>84942.06</v>
      </c>
    </row>
    <row r="26" spans="1:11" x14ac:dyDescent="0.35">
      <c r="A26" s="224" t="s">
        <v>718</v>
      </c>
    </row>
    <row r="27" spans="1:11" x14ac:dyDescent="0.35">
      <c r="A27" s="224" t="s">
        <v>719</v>
      </c>
    </row>
    <row r="28" spans="1:11" x14ac:dyDescent="0.35">
      <c r="B28" s="225" t="s">
        <v>705</v>
      </c>
      <c r="C28" s="225" t="s">
        <v>165</v>
      </c>
      <c r="D28" s="225"/>
      <c r="E28" s="225" t="s">
        <v>720</v>
      </c>
      <c r="F28" s="225"/>
      <c r="G28" s="225" t="s">
        <v>100</v>
      </c>
      <c r="H28" s="225" t="s">
        <v>721</v>
      </c>
      <c r="I28" s="225" t="s">
        <v>167</v>
      </c>
      <c r="J28" s="227">
        <v>2385.3200000000002</v>
      </c>
      <c r="K28" s="227">
        <v>2385.3200000000002</v>
      </c>
    </row>
    <row r="29" spans="1:11" x14ac:dyDescent="0.35">
      <c r="B29" s="225" t="s">
        <v>705</v>
      </c>
      <c r="C29" s="225" t="s">
        <v>165</v>
      </c>
      <c r="D29" s="225"/>
      <c r="E29" s="225" t="s">
        <v>720</v>
      </c>
      <c r="F29" s="225"/>
      <c r="G29" s="225" t="s">
        <v>101</v>
      </c>
      <c r="H29" s="225" t="s">
        <v>722</v>
      </c>
      <c r="I29" s="225" t="s">
        <v>167</v>
      </c>
      <c r="J29" s="227">
        <v>2306.9</v>
      </c>
      <c r="K29" s="227">
        <v>4692.22</v>
      </c>
    </row>
    <row r="30" spans="1:11" x14ac:dyDescent="0.35">
      <c r="A30" s="224" t="s">
        <v>723</v>
      </c>
      <c r="J30" s="228">
        <v>4692.22</v>
      </c>
    </row>
    <row r="31" spans="1:11" x14ac:dyDescent="0.35">
      <c r="A31" s="224" t="s">
        <v>724</v>
      </c>
      <c r="J31" s="228">
        <v>4692.22</v>
      </c>
    </row>
    <row r="32" spans="1:11" x14ac:dyDescent="0.35">
      <c r="A32" s="224" t="s">
        <v>195</v>
      </c>
    </row>
    <row r="33" spans="1:11" x14ac:dyDescent="0.35">
      <c r="A33" s="224" t="s">
        <v>196</v>
      </c>
    </row>
    <row r="34" spans="1:11" x14ac:dyDescent="0.35">
      <c r="B34" s="225" t="s">
        <v>198</v>
      </c>
      <c r="C34" s="225" t="s">
        <v>165</v>
      </c>
      <c r="D34" s="225"/>
      <c r="E34" s="225" t="s">
        <v>197</v>
      </c>
      <c r="F34" s="225"/>
      <c r="G34" s="225" t="s">
        <v>101</v>
      </c>
      <c r="H34" s="225" t="s">
        <v>199</v>
      </c>
      <c r="I34" s="225" t="s">
        <v>167</v>
      </c>
      <c r="J34" s="227">
        <v>273.66000000000003</v>
      </c>
      <c r="K34" s="227">
        <v>273.66000000000003</v>
      </c>
    </row>
    <row r="35" spans="1:11" x14ac:dyDescent="0.35">
      <c r="B35" s="225" t="s">
        <v>176</v>
      </c>
      <c r="C35" s="225" t="s">
        <v>165</v>
      </c>
      <c r="D35" s="225"/>
      <c r="E35" s="225" t="s">
        <v>197</v>
      </c>
      <c r="F35" s="225"/>
      <c r="G35" s="225" t="s">
        <v>101</v>
      </c>
      <c r="H35" s="225" t="s">
        <v>200</v>
      </c>
      <c r="I35" s="225" t="s">
        <v>167</v>
      </c>
      <c r="J35" s="227">
        <v>62.04</v>
      </c>
      <c r="K35" s="227">
        <v>335.7</v>
      </c>
    </row>
    <row r="36" spans="1:11" x14ac:dyDescent="0.35">
      <c r="B36" s="225" t="s">
        <v>201</v>
      </c>
      <c r="C36" s="225" t="s">
        <v>165</v>
      </c>
      <c r="D36" s="225"/>
      <c r="E36" s="225" t="s">
        <v>197</v>
      </c>
      <c r="F36" s="225"/>
      <c r="G36" s="225" t="s">
        <v>101</v>
      </c>
      <c r="H36" s="225" t="s">
        <v>202</v>
      </c>
      <c r="I36" s="225" t="s">
        <v>167</v>
      </c>
      <c r="J36" s="227">
        <v>67.53</v>
      </c>
      <c r="K36" s="227">
        <v>403.23</v>
      </c>
    </row>
    <row r="37" spans="1:11" x14ac:dyDescent="0.35">
      <c r="A37" s="224" t="s">
        <v>203</v>
      </c>
      <c r="J37" s="228">
        <v>403.23</v>
      </c>
    </row>
    <row r="38" spans="1:11" x14ac:dyDescent="0.35">
      <c r="A38" s="224" t="s">
        <v>204</v>
      </c>
    </row>
    <row r="39" spans="1:11" x14ac:dyDescent="0.35">
      <c r="B39" s="225" t="s">
        <v>198</v>
      </c>
      <c r="C39" s="225" t="s">
        <v>165</v>
      </c>
      <c r="D39" s="225"/>
      <c r="E39" s="225" t="s">
        <v>197</v>
      </c>
      <c r="F39" s="225"/>
      <c r="G39" s="225" t="s">
        <v>100</v>
      </c>
      <c r="H39" s="225" t="s">
        <v>205</v>
      </c>
      <c r="I39" s="225" t="s">
        <v>167</v>
      </c>
      <c r="J39" s="227">
        <v>50</v>
      </c>
      <c r="K39" s="227">
        <v>50</v>
      </c>
    </row>
    <row r="40" spans="1:11" x14ac:dyDescent="0.35">
      <c r="B40" s="225" t="s">
        <v>206</v>
      </c>
      <c r="C40" s="225" t="s">
        <v>165</v>
      </c>
      <c r="D40" s="225"/>
      <c r="E40" s="225" t="s">
        <v>197</v>
      </c>
      <c r="F40" s="225"/>
      <c r="G40" s="225" t="s">
        <v>100</v>
      </c>
      <c r="H40" s="225" t="s">
        <v>207</v>
      </c>
      <c r="I40" s="225" t="s">
        <v>167</v>
      </c>
      <c r="J40" s="227">
        <v>47.25</v>
      </c>
      <c r="K40" s="227">
        <v>97.25</v>
      </c>
    </row>
    <row r="41" spans="1:11" x14ac:dyDescent="0.35">
      <c r="B41" s="225" t="s">
        <v>176</v>
      </c>
      <c r="C41" s="225" t="s">
        <v>165</v>
      </c>
      <c r="D41" s="225"/>
      <c r="E41" s="225" t="s">
        <v>197</v>
      </c>
      <c r="F41" s="225"/>
      <c r="G41" s="225" t="s">
        <v>100</v>
      </c>
      <c r="H41" s="225" t="s">
        <v>208</v>
      </c>
      <c r="I41" s="225" t="s">
        <v>167</v>
      </c>
      <c r="J41" s="227">
        <v>37.17</v>
      </c>
      <c r="K41" s="227">
        <v>134.41999999999999</v>
      </c>
    </row>
    <row r="42" spans="1:11" x14ac:dyDescent="0.35">
      <c r="B42" s="225" t="s">
        <v>235</v>
      </c>
      <c r="C42" s="225" t="s">
        <v>165</v>
      </c>
      <c r="D42" s="225"/>
      <c r="E42" s="225" t="s">
        <v>197</v>
      </c>
      <c r="F42" s="225"/>
      <c r="G42" s="225" t="s">
        <v>100</v>
      </c>
      <c r="H42" s="225"/>
      <c r="I42" s="225" t="s">
        <v>167</v>
      </c>
      <c r="J42" s="227">
        <v>195.68</v>
      </c>
      <c r="K42" s="227">
        <v>330.1</v>
      </c>
    </row>
    <row r="43" spans="1:11" x14ac:dyDescent="0.35">
      <c r="B43" s="225" t="s">
        <v>251</v>
      </c>
      <c r="C43" s="225" t="s">
        <v>165</v>
      </c>
      <c r="D43" s="225"/>
      <c r="E43" s="225" t="s">
        <v>197</v>
      </c>
      <c r="F43" s="225"/>
      <c r="G43" s="225" t="s">
        <v>100</v>
      </c>
      <c r="H43" s="225"/>
      <c r="I43" s="225" t="s">
        <v>167</v>
      </c>
      <c r="J43" s="227">
        <v>67.5</v>
      </c>
      <c r="K43" s="227">
        <v>397.6</v>
      </c>
    </row>
    <row r="44" spans="1:11" x14ac:dyDescent="0.35">
      <c r="A44" s="224" t="s">
        <v>209</v>
      </c>
      <c r="J44" s="228">
        <v>397.6</v>
      </c>
    </row>
    <row r="45" spans="1:11" x14ac:dyDescent="0.35">
      <c r="A45" s="224" t="s">
        <v>210</v>
      </c>
    </row>
    <row r="46" spans="1:11" x14ac:dyDescent="0.35">
      <c r="B46" s="225" t="s">
        <v>211</v>
      </c>
      <c r="C46" s="225" t="s">
        <v>165</v>
      </c>
      <c r="D46" s="225"/>
      <c r="E46" s="225" t="s">
        <v>197</v>
      </c>
      <c r="F46" s="225"/>
      <c r="G46" s="225" t="s">
        <v>101</v>
      </c>
      <c r="H46" s="225" t="s">
        <v>212</v>
      </c>
      <c r="I46" s="225" t="s">
        <v>167</v>
      </c>
      <c r="J46" s="227">
        <v>300</v>
      </c>
      <c r="K46" s="227">
        <v>300</v>
      </c>
    </row>
    <row r="47" spans="1:11" x14ac:dyDescent="0.35">
      <c r="B47" s="225" t="s">
        <v>201</v>
      </c>
      <c r="C47" s="225" t="s">
        <v>165</v>
      </c>
      <c r="D47" s="225"/>
      <c r="E47" s="225" t="s">
        <v>197</v>
      </c>
      <c r="F47" s="225"/>
      <c r="G47" s="225" t="s">
        <v>101</v>
      </c>
      <c r="H47" s="225" t="s">
        <v>213</v>
      </c>
      <c r="I47" s="225" t="s">
        <v>167</v>
      </c>
      <c r="J47" s="227">
        <v>500</v>
      </c>
      <c r="K47" s="227">
        <v>800</v>
      </c>
    </row>
    <row r="48" spans="1:11" x14ac:dyDescent="0.35">
      <c r="B48" s="225" t="s">
        <v>214</v>
      </c>
      <c r="C48" s="225" t="s">
        <v>165</v>
      </c>
      <c r="D48" s="225"/>
      <c r="E48" s="225" t="s">
        <v>197</v>
      </c>
      <c r="F48" s="225"/>
      <c r="G48" s="225" t="s">
        <v>101</v>
      </c>
      <c r="H48" s="225" t="s">
        <v>215</v>
      </c>
      <c r="I48" s="225" t="s">
        <v>167</v>
      </c>
      <c r="J48" s="227">
        <v>400</v>
      </c>
      <c r="K48" s="227">
        <v>1200</v>
      </c>
    </row>
    <row r="49" spans="1:11" x14ac:dyDescent="0.35">
      <c r="A49" s="224" t="s">
        <v>216</v>
      </c>
      <c r="J49" s="228">
        <v>1200</v>
      </c>
    </row>
    <row r="50" spans="1:11" x14ac:dyDescent="0.35">
      <c r="A50" s="224" t="s">
        <v>217</v>
      </c>
    </row>
    <row r="51" spans="1:11" x14ac:dyDescent="0.35">
      <c r="A51" s="224" t="s">
        <v>218</v>
      </c>
    </row>
    <row r="52" spans="1:11" x14ac:dyDescent="0.35">
      <c r="B52" s="225" t="s">
        <v>198</v>
      </c>
      <c r="C52" s="225" t="s">
        <v>165</v>
      </c>
      <c r="D52" s="225"/>
      <c r="E52" s="225" t="s">
        <v>220</v>
      </c>
      <c r="F52" s="225"/>
      <c r="G52" s="225" t="s">
        <v>166</v>
      </c>
      <c r="H52" s="225" t="s">
        <v>221</v>
      </c>
      <c r="I52" s="225" t="s">
        <v>167</v>
      </c>
      <c r="J52" s="227">
        <v>589.59</v>
      </c>
      <c r="K52" s="227">
        <v>589.59</v>
      </c>
    </row>
    <row r="53" spans="1:11" x14ac:dyDescent="0.35">
      <c r="B53" s="225" t="s">
        <v>222</v>
      </c>
      <c r="C53" s="225" t="s">
        <v>165</v>
      </c>
      <c r="D53" s="225"/>
      <c r="E53" s="225" t="s">
        <v>220</v>
      </c>
      <c r="F53" s="225"/>
      <c r="G53" s="225" t="s">
        <v>166</v>
      </c>
      <c r="H53" s="225" t="s">
        <v>223</v>
      </c>
      <c r="I53" s="225" t="s">
        <v>167</v>
      </c>
      <c r="J53" s="227">
        <v>5.0999999999999996</v>
      </c>
      <c r="K53" s="227">
        <v>594.69000000000005</v>
      </c>
    </row>
    <row r="54" spans="1:11" x14ac:dyDescent="0.35">
      <c r="A54" s="224" t="s">
        <v>224</v>
      </c>
      <c r="J54" s="228">
        <v>594.69000000000005</v>
      </c>
    </row>
    <row r="55" spans="1:11" x14ac:dyDescent="0.35">
      <c r="A55" s="224" t="s">
        <v>225</v>
      </c>
      <c r="J55" s="228">
        <v>594.69000000000005</v>
      </c>
    </row>
    <row r="56" spans="1:11" x14ac:dyDescent="0.35">
      <c r="A56" s="224" t="s">
        <v>226</v>
      </c>
      <c r="J56" s="228">
        <v>2595.52</v>
      </c>
    </row>
    <row r="57" spans="1:11" x14ac:dyDescent="0.35">
      <c r="A57" s="224" t="s">
        <v>227</v>
      </c>
    </row>
    <row r="58" spans="1:11" x14ac:dyDescent="0.35">
      <c r="A58" s="224" t="s">
        <v>229</v>
      </c>
    </row>
    <row r="59" spans="1:11" x14ac:dyDescent="0.35">
      <c r="A59" s="224" t="s">
        <v>231</v>
      </c>
    </row>
    <row r="60" spans="1:11" x14ac:dyDescent="0.35">
      <c r="B60" s="225" t="s">
        <v>214</v>
      </c>
      <c r="C60" s="225" t="s">
        <v>165</v>
      </c>
      <c r="D60" s="225"/>
      <c r="E60" s="225" t="s">
        <v>233</v>
      </c>
      <c r="F60" s="225"/>
      <c r="G60" s="225" t="s">
        <v>219</v>
      </c>
      <c r="H60" s="225" t="s">
        <v>234</v>
      </c>
      <c r="I60" s="225" t="s">
        <v>167</v>
      </c>
      <c r="J60" s="227">
        <v>25</v>
      </c>
      <c r="K60" s="227">
        <v>25</v>
      </c>
    </row>
    <row r="61" spans="1:11" x14ac:dyDescent="0.35">
      <c r="B61" s="225" t="s">
        <v>235</v>
      </c>
      <c r="C61" s="225" t="s">
        <v>165</v>
      </c>
      <c r="D61" s="225"/>
      <c r="E61" s="225" t="s">
        <v>238</v>
      </c>
      <c r="F61" s="225"/>
      <c r="G61" s="225" t="s">
        <v>219</v>
      </c>
      <c r="H61" s="225" t="s">
        <v>239</v>
      </c>
      <c r="I61" s="225" t="s">
        <v>167</v>
      </c>
      <c r="J61" s="227">
        <v>11800</v>
      </c>
      <c r="K61" s="227">
        <v>11825</v>
      </c>
    </row>
    <row r="62" spans="1:11" x14ac:dyDescent="0.35">
      <c r="B62" s="225" t="s">
        <v>235</v>
      </c>
      <c r="C62" s="225" t="s">
        <v>165</v>
      </c>
      <c r="D62" s="225"/>
      <c r="E62" s="225" t="s">
        <v>236</v>
      </c>
      <c r="F62" s="225"/>
      <c r="G62" s="225" t="s">
        <v>219</v>
      </c>
      <c r="H62" s="225" t="s">
        <v>237</v>
      </c>
      <c r="I62" s="225" t="s">
        <v>167</v>
      </c>
      <c r="J62" s="227">
        <v>30</v>
      </c>
      <c r="K62" s="227">
        <v>11855</v>
      </c>
    </row>
    <row r="63" spans="1:11" x14ac:dyDescent="0.35">
      <c r="B63" s="225" t="s">
        <v>235</v>
      </c>
      <c r="C63" s="225" t="s">
        <v>165</v>
      </c>
      <c r="D63" s="225"/>
      <c r="E63" s="225" t="s">
        <v>240</v>
      </c>
      <c r="F63" s="225"/>
      <c r="G63" s="225" t="s">
        <v>219</v>
      </c>
      <c r="H63" s="225" t="s">
        <v>241</v>
      </c>
      <c r="I63" s="225" t="s">
        <v>167</v>
      </c>
      <c r="J63" s="227">
        <v>150</v>
      </c>
      <c r="K63" s="227">
        <v>12005</v>
      </c>
    </row>
    <row r="64" spans="1:11" x14ac:dyDescent="0.35">
      <c r="B64" s="225" t="s">
        <v>242</v>
      </c>
      <c r="C64" s="225" t="s">
        <v>165</v>
      </c>
      <c r="D64" s="225"/>
      <c r="E64" s="225"/>
      <c r="F64" s="225"/>
      <c r="G64" s="225" t="s">
        <v>219</v>
      </c>
      <c r="H64" s="225" t="s">
        <v>243</v>
      </c>
      <c r="I64" s="225" t="s">
        <v>167</v>
      </c>
      <c r="J64" s="227">
        <v>25</v>
      </c>
      <c r="K64" s="227">
        <v>12030</v>
      </c>
    </row>
    <row r="65" spans="1:11" x14ac:dyDescent="0.35">
      <c r="B65" s="225" t="s">
        <v>242</v>
      </c>
      <c r="C65" s="225" t="s">
        <v>165</v>
      </c>
      <c r="D65" s="225"/>
      <c r="E65" s="225"/>
      <c r="F65" s="225"/>
      <c r="G65" s="225" t="s">
        <v>219</v>
      </c>
      <c r="H65" s="225" t="s">
        <v>243</v>
      </c>
      <c r="I65" s="225" t="s">
        <v>167</v>
      </c>
      <c r="J65" s="227">
        <v>100</v>
      </c>
      <c r="K65" s="227">
        <v>12130</v>
      </c>
    </row>
    <row r="66" spans="1:11" x14ac:dyDescent="0.35">
      <c r="B66" s="225" t="s">
        <v>242</v>
      </c>
      <c r="C66" s="225" t="s">
        <v>165</v>
      </c>
      <c r="D66" s="225"/>
      <c r="E66" s="225"/>
      <c r="F66" s="225"/>
      <c r="G66" s="225" t="s">
        <v>219</v>
      </c>
      <c r="H66" s="225" t="s">
        <v>243</v>
      </c>
      <c r="I66" s="225" t="s">
        <v>167</v>
      </c>
      <c r="J66" s="227">
        <v>100</v>
      </c>
      <c r="K66" s="227">
        <v>12230</v>
      </c>
    </row>
    <row r="67" spans="1:11" x14ac:dyDescent="0.35">
      <c r="B67" s="225" t="s">
        <v>242</v>
      </c>
      <c r="C67" s="225" t="s">
        <v>165</v>
      </c>
      <c r="D67" s="225"/>
      <c r="E67" s="225"/>
      <c r="F67" s="225"/>
      <c r="G67" s="225" t="s">
        <v>219</v>
      </c>
      <c r="H67" s="225" t="s">
        <v>243</v>
      </c>
      <c r="I67" s="225" t="s">
        <v>167</v>
      </c>
      <c r="J67" s="227">
        <v>50</v>
      </c>
      <c r="K67" s="227">
        <v>12280</v>
      </c>
    </row>
    <row r="68" spans="1:11" x14ac:dyDescent="0.35">
      <c r="B68" s="225" t="s">
        <v>242</v>
      </c>
      <c r="C68" s="225" t="s">
        <v>165</v>
      </c>
      <c r="D68" s="225"/>
      <c r="E68" s="225"/>
      <c r="F68" s="225"/>
      <c r="G68" s="225" t="s">
        <v>219</v>
      </c>
      <c r="H68" s="225" t="s">
        <v>243</v>
      </c>
      <c r="I68" s="225" t="s">
        <v>167</v>
      </c>
      <c r="J68" s="227">
        <v>100</v>
      </c>
      <c r="K68" s="227">
        <v>12380</v>
      </c>
    </row>
    <row r="69" spans="1:11" x14ac:dyDescent="0.35">
      <c r="B69" s="225" t="s">
        <v>244</v>
      </c>
      <c r="C69" s="225" t="s">
        <v>165</v>
      </c>
      <c r="D69" s="225"/>
      <c r="E69" s="225"/>
      <c r="F69" s="225"/>
      <c r="G69" s="225" t="s">
        <v>219</v>
      </c>
      <c r="H69" s="225" t="s">
        <v>243</v>
      </c>
      <c r="I69" s="225" t="s">
        <v>167</v>
      </c>
      <c r="J69" s="227">
        <v>25</v>
      </c>
      <c r="K69" s="227">
        <v>12405</v>
      </c>
    </row>
    <row r="70" spans="1:11" x14ac:dyDescent="0.35">
      <c r="A70" s="224" t="s">
        <v>245</v>
      </c>
      <c r="J70" s="228">
        <v>12405</v>
      </c>
    </row>
    <row r="71" spans="1:11" x14ac:dyDescent="0.35">
      <c r="A71" s="224" t="s">
        <v>246</v>
      </c>
    </row>
    <row r="72" spans="1:11" x14ac:dyDescent="0.35">
      <c r="B72" s="225" t="s">
        <v>248</v>
      </c>
      <c r="C72" s="225" t="s">
        <v>165</v>
      </c>
      <c r="D72" s="225"/>
      <c r="E72" s="225" t="s">
        <v>249</v>
      </c>
      <c r="F72" s="225"/>
      <c r="G72" s="225" t="s">
        <v>247</v>
      </c>
      <c r="H72" s="225" t="s">
        <v>250</v>
      </c>
      <c r="I72" s="225" t="s">
        <v>167</v>
      </c>
      <c r="J72" s="227">
        <v>500</v>
      </c>
      <c r="K72" s="227">
        <v>500</v>
      </c>
    </row>
    <row r="73" spans="1:11" x14ac:dyDescent="0.35">
      <c r="B73" s="225" t="s">
        <v>251</v>
      </c>
      <c r="C73" s="225" t="s">
        <v>165</v>
      </c>
      <c r="D73" s="225"/>
      <c r="E73" s="225" t="s">
        <v>252</v>
      </c>
      <c r="F73" s="225"/>
      <c r="G73" s="225" t="s">
        <v>247</v>
      </c>
      <c r="H73" s="225" t="s">
        <v>253</v>
      </c>
      <c r="I73" s="225" t="s">
        <v>167</v>
      </c>
      <c r="J73" s="227">
        <v>500</v>
      </c>
      <c r="K73" s="227">
        <v>1000</v>
      </c>
    </row>
    <row r="74" spans="1:11" x14ac:dyDescent="0.35">
      <c r="B74" s="225" t="s">
        <v>242</v>
      </c>
      <c r="C74" s="225" t="s">
        <v>165</v>
      </c>
      <c r="D74" s="225"/>
      <c r="E74" s="225"/>
      <c r="F74" s="225"/>
      <c r="G74" s="225" t="s">
        <v>247</v>
      </c>
      <c r="H74" s="225" t="s">
        <v>254</v>
      </c>
      <c r="I74" s="225" t="s">
        <v>167</v>
      </c>
      <c r="J74" s="227">
        <v>500</v>
      </c>
      <c r="K74" s="227">
        <v>1500</v>
      </c>
    </row>
    <row r="75" spans="1:11" x14ac:dyDescent="0.35">
      <c r="B75" s="225" t="s">
        <v>255</v>
      </c>
      <c r="C75" s="225" t="s">
        <v>165</v>
      </c>
      <c r="D75" s="225"/>
      <c r="E75" s="225"/>
      <c r="F75" s="225"/>
      <c r="G75" s="225" t="s">
        <v>219</v>
      </c>
      <c r="H75" s="225" t="s">
        <v>254</v>
      </c>
      <c r="I75" s="225" t="s">
        <v>167</v>
      </c>
      <c r="J75" s="227">
        <v>500</v>
      </c>
      <c r="K75" s="227">
        <v>2000</v>
      </c>
    </row>
    <row r="76" spans="1:11" x14ac:dyDescent="0.35">
      <c r="A76" s="224" t="s">
        <v>256</v>
      </c>
      <c r="J76" s="228">
        <v>2000</v>
      </c>
    </row>
    <row r="77" spans="1:11" x14ac:dyDescent="0.35">
      <c r="A77" s="224" t="s">
        <v>257</v>
      </c>
      <c r="J77" s="228">
        <v>14405</v>
      </c>
    </row>
    <row r="78" spans="1:11" x14ac:dyDescent="0.35">
      <c r="A78" s="224" t="s">
        <v>700</v>
      </c>
      <c r="J78" s="228">
        <v>14405</v>
      </c>
    </row>
    <row r="79" spans="1:11" x14ac:dyDescent="0.35">
      <c r="A79" s="224" t="s">
        <v>701</v>
      </c>
      <c r="J79" s="228">
        <v>14405</v>
      </c>
    </row>
    <row r="80" spans="1:11" x14ac:dyDescent="0.35">
      <c r="A80" s="224" t="s">
        <v>258</v>
      </c>
    </row>
    <row r="81" spans="1:11" x14ac:dyDescent="0.35">
      <c r="A81" s="224" t="s">
        <v>259</v>
      </c>
    </row>
    <row r="82" spans="1:11" x14ac:dyDescent="0.35">
      <c r="A82" s="224" t="s">
        <v>260</v>
      </c>
    </row>
    <row r="83" spans="1:11" x14ac:dyDescent="0.35">
      <c r="B83" s="225" t="s">
        <v>198</v>
      </c>
      <c r="C83" s="225" t="s">
        <v>165</v>
      </c>
      <c r="D83" s="225"/>
      <c r="E83" s="225" t="s">
        <v>261</v>
      </c>
      <c r="F83" s="225"/>
      <c r="G83" s="225" t="s">
        <v>232</v>
      </c>
      <c r="H83" s="225" t="s">
        <v>262</v>
      </c>
      <c r="I83" s="225" t="s">
        <v>167</v>
      </c>
      <c r="J83" s="227">
        <v>375</v>
      </c>
      <c r="K83" s="227">
        <v>375</v>
      </c>
    </row>
    <row r="84" spans="1:11" x14ac:dyDescent="0.35">
      <c r="B84" s="225" t="s">
        <v>235</v>
      </c>
      <c r="C84" s="225" t="s">
        <v>165</v>
      </c>
      <c r="D84" s="225"/>
      <c r="E84" s="225" t="s">
        <v>263</v>
      </c>
      <c r="F84" s="225"/>
      <c r="G84" s="225" t="s">
        <v>232</v>
      </c>
      <c r="H84" s="225" t="s">
        <v>264</v>
      </c>
      <c r="I84" s="225" t="s">
        <v>167</v>
      </c>
      <c r="J84" s="227">
        <v>375</v>
      </c>
      <c r="K84" s="227">
        <v>750</v>
      </c>
    </row>
    <row r="85" spans="1:11" x14ac:dyDescent="0.35">
      <c r="B85" s="225" t="s">
        <v>235</v>
      </c>
      <c r="C85" s="225" t="s">
        <v>165</v>
      </c>
      <c r="D85" s="225"/>
      <c r="E85" s="225" t="s">
        <v>265</v>
      </c>
      <c r="F85" s="225"/>
      <c r="G85" s="225" t="s">
        <v>232</v>
      </c>
      <c r="H85" s="225" t="s">
        <v>266</v>
      </c>
      <c r="I85" s="225" t="s">
        <v>167</v>
      </c>
      <c r="J85" s="227">
        <v>500</v>
      </c>
      <c r="K85" s="227">
        <v>1250</v>
      </c>
    </row>
    <row r="86" spans="1:11" x14ac:dyDescent="0.35">
      <c r="A86" s="224" t="s">
        <v>267</v>
      </c>
      <c r="J86" s="228">
        <v>1250</v>
      </c>
    </row>
    <row r="87" spans="1:11" x14ac:dyDescent="0.35">
      <c r="A87" s="224" t="s">
        <v>268</v>
      </c>
    </row>
    <row r="88" spans="1:11" x14ac:dyDescent="0.35">
      <c r="B88" s="225" t="s">
        <v>198</v>
      </c>
      <c r="C88" s="225" t="s">
        <v>165</v>
      </c>
      <c r="D88" s="225"/>
      <c r="E88" s="225" t="s">
        <v>261</v>
      </c>
      <c r="F88" s="225"/>
      <c r="G88" s="225" t="s">
        <v>232</v>
      </c>
      <c r="H88" s="225" t="s">
        <v>269</v>
      </c>
      <c r="I88" s="225" t="s">
        <v>167</v>
      </c>
      <c r="J88" s="227">
        <v>800</v>
      </c>
      <c r="K88" s="227">
        <v>800</v>
      </c>
    </row>
    <row r="89" spans="1:11" x14ac:dyDescent="0.35">
      <c r="B89" s="225" t="s">
        <v>248</v>
      </c>
      <c r="C89" s="225" t="s">
        <v>270</v>
      </c>
      <c r="D89" s="225">
        <v>202014</v>
      </c>
      <c r="E89" s="225" t="s">
        <v>271</v>
      </c>
      <c r="F89" s="225"/>
      <c r="G89" s="225" t="s">
        <v>232</v>
      </c>
      <c r="H89" s="225" t="s">
        <v>272</v>
      </c>
      <c r="I89" s="225" t="s">
        <v>167</v>
      </c>
      <c r="J89" s="227">
        <v>-526.55999999999995</v>
      </c>
      <c r="K89" s="227">
        <v>273.44</v>
      </c>
    </row>
    <row r="90" spans="1:11" x14ac:dyDescent="0.35">
      <c r="B90" s="225" t="s">
        <v>235</v>
      </c>
      <c r="C90" s="225" t="s">
        <v>165</v>
      </c>
      <c r="D90" s="225"/>
      <c r="E90" s="225" t="s">
        <v>263</v>
      </c>
      <c r="F90" s="225"/>
      <c r="G90" s="225" t="s">
        <v>232</v>
      </c>
      <c r="H90" s="225" t="s">
        <v>273</v>
      </c>
      <c r="I90" s="225" t="s">
        <v>167</v>
      </c>
      <c r="J90" s="227">
        <v>2125</v>
      </c>
      <c r="K90" s="227">
        <v>2398.44</v>
      </c>
    </row>
    <row r="91" spans="1:11" x14ac:dyDescent="0.35">
      <c r="B91" s="225" t="s">
        <v>235</v>
      </c>
      <c r="C91" s="225" t="s">
        <v>165</v>
      </c>
      <c r="D91" s="225"/>
      <c r="E91" s="225" t="s">
        <v>274</v>
      </c>
      <c r="F91" s="225"/>
      <c r="G91" s="225" t="s">
        <v>232</v>
      </c>
      <c r="H91" s="225" t="s">
        <v>275</v>
      </c>
      <c r="I91" s="225" t="s">
        <v>167</v>
      </c>
      <c r="J91" s="227">
        <v>500</v>
      </c>
      <c r="K91" s="227">
        <v>2898.44</v>
      </c>
    </row>
    <row r="92" spans="1:11" x14ac:dyDescent="0.35">
      <c r="A92" s="224" t="s">
        <v>276</v>
      </c>
      <c r="J92" s="228">
        <v>2898.44</v>
      </c>
    </row>
    <row r="93" spans="1:11" x14ac:dyDescent="0.35">
      <c r="A93" s="224" t="s">
        <v>279</v>
      </c>
      <c r="J93" s="228">
        <v>4148.4399999999996</v>
      </c>
    </row>
    <row r="94" spans="1:11" x14ac:dyDescent="0.35">
      <c r="A94" s="224" t="s">
        <v>280</v>
      </c>
      <c r="J94" s="228">
        <v>4148.4399999999996</v>
      </c>
    </row>
    <row r="95" spans="1:11" x14ac:dyDescent="0.35">
      <c r="A95" s="224" t="s">
        <v>281</v>
      </c>
      <c r="J95" s="228">
        <v>127883.24</v>
      </c>
    </row>
    <row r="96" spans="1:11" x14ac:dyDescent="0.35">
      <c r="A96" s="224" t="s">
        <v>282</v>
      </c>
    </row>
    <row r="97" spans="1:11" x14ac:dyDescent="0.35">
      <c r="A97" s="224" t="s">
        <v>283</v>
      </c>
    </row>
    <row r="98" spans="1:11" x14ac:dyDescent="0.35">
      <c r="A98" s="224" t="s">
        <v>284</v>
      </c>
    </row>
    <row r="99" spans="1:11" x14ac:dyDescent="0.35">
      <c r="A99" s="224" t="s">
        <v>285</v>
      </c>
    </row>
    <row r="100" spans="1:11" x14ac:dyDescent="0.35">
      <c r="B100" s="225" t="s">
        <v>191</v>
      </c>
      <c r="C100" s="225" t="s">
        <v>287</v>
      </c>
      <c r="D100" s="225" t="s">
        <v>289</v>
      </c>
      <c r="E100" s="225" t="s">
        <v>290</v>
      </c>
      <c r="F100" s="225"/>
      <c r="G100" s="225" t="s">
        <v>102</v>
      </c>
      <c r="H100" s="225" t="s">
        <v>291</v>
      </c>
      <c r="I100" s="225" t="s">
        <v>288</v>
      </c>
      <c r="J100" s="227">
        <v>150.07</v>
      </c>
      <c r="K100" s="227">
        <v>150.07</v>
      </c>
    </row>
    <row r="101" spans="1:11" x14ac:dyDescent="0.35">
      <c r="B101" s="225" t="s">
        <v>292</v>
      </c>
      <c r="C101" s="225" t="s">
        <v>165</v>
      </c>
      <c r="D101" s="225"/>
      <c r="E101" s="225" t="s">
        <v>228</v>
      </c>
      <c r="F101" s="225"/>
      <c r="G101" s="225" t="s">
        <v>102</v>
      </c>
      <c r="H101" s="225" t="s">
        <v>293</v>
      </c>
      <c r="I101" s="225" t="s">
        <v>167</v>
      </c>
      <c r="J101" s="227">
        <v>-150.07</v>
      </c>
      <c r="K101" s="227">
        <v>0</v>
      </c>
    </row>
    <row r="102" spans="1:11" x14ac:dyDescent="0.35">
      <c r="A102" s="224" t="s">
        <v>294</v>
      </c>
      <c r="J102" s="228">
        <v>0</v>
      </c>
    </row>
    <row r="103" spans="1:11" x14ac:dyDescent="0.35">
      <c r="A103" s="224" t="s">
        <v>702</v>
      </c>
      <c r="J103" s="228">
        <v>0</v>
      </c>
    </row>
    <row r="104" spans="1:11" x14ac:dyDescent="0.35">
      <c r="A104" s="224" t="s">
        <v>295</v>
      </c>
    </row>
    <row r="105" spans="1:11" x14ac:dyDescent="0.35">
      <c r="B105" s="225" t="s">
        <v>201</v>
      </c>
      <c r="C105" s="225" t="s">
        <v>287</v>
      </c>
      <c r="D105" s="225" t="s">
        <v>296</v>
      </c>
      <c r="E105" s="225" t="s">
        <v>297</v>
      </c>
      <c r="F105" s="225" t="s">
        <v>298</v>
      </c>
      <c r="G105" s="225" t="s">
        <v>166</v>
      </c>
      <c r="H105" s="225" t="s">
        <v>299</v>
      </c>
      <c r="I105" s="225" t="s">
        <v>288</v>
      </c>
      <c r="J105" s="227">
        <v>170</v>
      </c>
      <c r="K105" s="227">
        <v>170</v>
      </c>
    </row>
    <row r="106" spans="1:11" x14ac:dyDescent="0.35">
      <c r="A106" s="224" t="s">
        <v>300</v>
      </c>
      <c r="J106" s="228">
        <v>170</v>
      </c>
    </row>
    <row r="107" spans="1:11" x14ac:dyDescent="0.35">
      <c r="A107" s="224" t="s">
        <v>301</v>
      </c>
      <c r="J107" s="228">
        <v>170</v>
      </c>
    </row>
    <row r="108" spans="1:11" x14ac:dyDescent="0.35">
      <c r="A108" s="224" t="s">
        <v>302</v>
      </c>
    </row>
    <row r="109" spans="1:11" x14ac:dyDescent="0.35">
      <c r="A109" s="224" t="s">
        <v>303</v>
      </c>
    </row>
    <row r="110" spans="1:11" x14ac:dyDescent="0.35">
      <c r="A110" s="224" t="s">
        <v>305</v>
      </c>
    </row>
    <row r="111" spans="1:11" x14ac:dyDescent="0.35">
      <c r="A111" s="224" t="s">
        <v>306</v>
      </c>
    </row>
    <row r="112" spans="1:11" x14ac:dyDescent="0.35">
      <c r="B112" s="225" t="s">
        <v>176</v>
      </c>
      <c r="C112" s="225" t="s">
        <v>155</v>
      </c>
      <c r="D112" s="225">
        <v>312</v>
      </c>
      <c r="E112" s="225"/>
      <c r="F112" s="225"/>
      <c r="G112" s="225" t="s">
        <v>159</v>
      </c>
      <c r="H112" s="225" t="s">
        <v>307</v>
      </c>
      <c r="I112" s="226" t="s">
        <v>156</v>
      </c>
      <c r="J112" s="227">
        <v>5365.39</v>
      </c>
      <c r="K112" s="227">
        <v>5365.39</v>
      </c>
    </row>
    <row r="113" spans="1:11" x14ac:dyDescent="0.35">
      <c r="B113" s="225" t="s">
        <v>176</v>
      </c>
      <c r="C113" s="225" t="s">
        <v>155</v>
      </c>
      <c r="D113" s="225">
        <v>312</v>
      </c>
      <c r="E113" s="225"/>
      <c r="F113" s="225"/>
      <c r="G113" s="225" t="s">
        <v>121</v>
      </c>
      <c r="H113" s="225" t="s">
        <v>307</v>
      </c>
      <c r="I113" s="226" t="s">
        <v>156</v>
      </c>
      <c r="J113" s="227">
        <v>596.15</v>
      </c>
      <c r="K113" s="227">
        <v>5961.54</v>
      </c>
    </row>
    <row r="114" spans="1:11" x14ac:dyDescent="0.35">
      <c r="B114" s="225" t="s">
        <v>308</v>
      </c>
      <c r="C114" s="225" t="s">
        <v>155</v>
      </c>
      <c r="D114" s="225">
        <v>313</v>
      </c>
      <c r="E114" s="225"/>
      <c r="F114" s="225"/>
      <c r="G114" s="225" t="s">
        <v>121</v>
      </c>
      <c r="H114" s="225" t="s">
        <v>309</v>
      </c>
      <c r="I114" s="226" t="s">
        <v>156</v>
      </c>
      <c r="J114" s="227">
        <v>596.15</v>
      </c>
      <c r="K114" s="227">
        <v>6557.69</v>
      </c>
    </row>
    <row r="115" spans="1:11" x14ac:dyDescent="0.35">
      <c r="B115" s="225" t="s">
        <v>308</v>
      </c>
      <c r="C115" s="225" t="s">
        <v>155</v>
      </c>
      <c r="D115" s="225">
        <v>313</v>
      </c>
      <c r="E115" s="225"/>
      <c r="F115" s="225"/>
      <c r="G115" s="225" t="s">
        <v>159</v>
      </c>
      <c r="H115" s="225" t="s">
        <v>309</v>
      </c>
      <c r="I115" s="226" t="s">
        <v>156</v>
      </c>
      <c r="J115" s="227">
        <v>5365.39</v>
      </c>
      <c r="K115" s="227">
        <v>11923.08</v>
      </c>
    </row>
    <row r="116" spans="1:11" x14ac:dyDescent="0.35">
      <c r="A116" s="224" t="s">
        <v>310</v>
      </c>
      <c r="J116" s="228">
        <v>11923.08</v>
      </c>
    </row>
    <row r="117" spans="1:11" x14ac:dyDescent="0.35">
      <c r="A117" s="224" t="s">
        <v>311</v>
      </c>
    </row>
    <row r="118" spans="1:11" x14ac:dyDescent="0.35">
      <c r="B118" s="225" t="s">
        <v>176</v>
      </c>
      <c r="C118" s="225" t="s">
        <v>155</v>
      </c>
      <c r="D118" s="225">
        <v>312</v>
      </c>
      <c r="E118" s="225"/>
      <c r="F118" s="225"/>
      <c r="G118" s="225" t="s">
        <v>116</v>
      </c>
      <c r="H118" s="225" t="s">
        <v>312</v>
      </c>
      <c r="I118" s="226" t="s">
        <v>156</v>
      </c>
      <c r="J118" s="227">
        <v>711.01</v>
      </c>
      <c r="K118" s="227">
        <v>711.01</v>
      </c>
    </row>
    <row r="119" spans="1:11" x14ac:dyDescent="0.35">
      <c r="B119" s="225" t="s">
        <v>176</v>
      </c>
      <c r="C119" s="225" t="s">
        <v>155</v>
      </c>
      <c r="D119" s="225">
        <v>312</v>
      </c>
      <c r="E119" s="225"/>
      <c r="F119" s="225"/>
      <c r="G119" s="225" t="s">
        <v>117</v>
      </c>
      <c r="H119" s="225" t="s">
        <v>312</v>
      </c>
      <c r="I119" s="226" t="s">
        <v>156</v>
      </c>
      <c r="J119" s="227">
        <v>1078.77</v>
      </c>
      <c r="K119" s="227">
        <v>1789.78</v>
      </c>
    </row>
    <row r="120" spans="1:11" x14ac:dyDescent="0.35">
      <c r="B120" s="225" t="s">
        <v>176</v>
      </c>
      <c r="C120" s="225" t="s">
        <v>155</v>
      </c>
      <c r="D120" s="225">
        <v>312</v>
      </c>
      <c r="E120" s="225"/>
      <c r="F120" s="225"/>
      <c r="G120" s="225" t="s">
        <v>122</v>
      </c>
      <c r="H120" s="225" t="s">
        <v>312</v>
      </c>
      <c r="I120" s="226" t="s">
        <v>156</v>
      </c>
      <c r="J120" s="227">
        <v>661.97</v>
      </c>
      <c r="K120" s="227">
        <v>2451.75</v>
      </c>
    </row>
    <row r="121" spans="1:11" x14ac:dyDescent="0.35">
      <c r="B121" s="225" t="s">
        <v>176</v>
      </c>
      <c r="C121" s="225" t="s">
        <v>155</v>
      </c>
      <c r="D121" s="225">
        <v>312</v>
      </c>
      <c r="E121" s="225"/>
      <c r="F121" s="225"/>
      <c r="G121" s="225" t="s">
        <v>117</v>
      </c>
      <c r="H121" s="225" t="s">
        <v>312</v>
      </c>
      <c r="I121" s="226" t="s">
        <v>156</v>
      </c>
      <c r="J121" s="227">
        <v>359.59</v>
      </c>
      <c r="K121" s="227">
        <v>2811.34</v>
      </c>
    </row>
    <row r="122" spans="1:11" x14ac:dyDescent="0.35">
      <c r="B122" s="225" t="s">
        <v>176</v>
      </c>
      <c r="C122" s="225" t="s">
        <v>155</v>
      </c>
      <c r="D122" s="225">
        <v>312</v>
      </c>
      <c r="E122" s="225"/>
      <c r="F122" s="225"/>
      <c r="G122" s="225" t="s">
        <v>116</v>
      </c>
      <c r="H122" s="225" t="s">
        <v>312</v>
      </c>
      <c r="I122" s="226" t="s">
        <v>156</v>
      </c>
      <c r="J122" s="227">
        <v>237</v>
      </c>
      <c r="K122" s="227">
        <v>3048.34</v>
      </c>
    </row>
    <row r="123" spans="1:11" x14ac:dyDescent="0.35">
      <c r="B123" s="225" t="s">
        <v>176</v>
      </c>
      <c r="C123" s="225" t="s">
        <v>155</v>
      </c>
      <c r="D123" s="225">
        <v>312</v>
      </c>
      <c r="E123" s="225"/>
      <c r="F123" s="225"/>
      <c r="G123" s="225" t="s">
        <v>122</v>
      </c>
      <c r="H123" s="225" t="s">
        <v>312</v>
      </c>
      <c r="I123" s="226" t="s">
        <v>156</v>
      </c>
      <c r="J123" s="227">
        <v>220.66</v>
      </c>
      <c r="K123" s="227">
        <v>3269</v>
      </c>
    </row>
    <row r="124" spans="1:11" x14ac:dyDescent="0.35">
      <c r="B124" s="225" t="s">
        <v>308</v>
      </c>
      <c r="C124" s="225" t="s">
        <v>155</v>
      </c>
      <c r="D124" s="225">
        <v>313</v>
      </c>
      <c r="E124" s="225"/>
      <c r="F124" s="225"/>
      <c r="G124" s="225" t="s">
        <v>117</v>
      </c>
      <c r="H124" s="225" t="s">
        <v>313</v>
      </c>
      <c r="I124" s="226" t="s">
        <v>156</v>
      </c>
      <c r="J124" s="227">
        <v>1078.77</v>
      </c>
      <c r="K124" s="227">
        <v>4347.7700000000004</v>
      </c>
    </row>
    <row r="125" spans="1:11" x14ac:dyDescent="0.35">
      <c r="B125" s="225" t="s">
        <v>308</v>
      </c>
      <c r="C125" s="225" t="s">
        <v>155</v>
      </c>
      <c r="D125" s="225">
        <v>313</v>
      </c>
      <c r="E125" s="225"/>
      <c r="F125" s="225"/>
      <c r="G125" s="225" t="s">
        <v>116</v>
      </c>
      <c r="H125" s="225" t="s">
        <v>313</v>
      </c>
      <c r="I125" s="226" t="s">
        <v>156</v>
      </c>
      <c r="J125" s="227">
        <v>711.01</v>
      </c>
      <c r="K125" s="227">
        <v>5058.78</v>
      </c>
    </row>
    <row r="126" spans="1:11" x14ac:dyDescent="0.35">
      <c r="B126" s="225" t="s">
        <v>308</v>
      </c>
      <c r="C126" s="225" t="s">
        <v>155</v>
      </c>
      <c r="D126" s="225">
        <v>313</v>
      </c>
      <c r="E126" s="225"/>
      <c r="F126" s="225"/>
      <c r="G126" s="225" t="s">
        <v>122</v>
      </c>
      <c r="H126" s="225" t="s">
        <v>313</v>
      </c>
      <c r="I126" s="226" t="s">
        <v>156</v>
      </c>
      <c r="J126" s="227">
        <v>661.97</v>
      </c>
      <c r="K126" s="227">
        <v>5720.75</v>
      </c>
    </row>
    <row r="127" spans="1:11" x14ac:dyDescent="0.35">
      <c r="B127" s="225" t="s">
        <v>308</v>
      </c>
      <c r="C127" s="225" t="s">
        <v>155</v>
      </c>
      <c r="D127" s="225">
        <v>313</v>
      </c>
      <c r="E127" s="225"/>
      <c r="F127" s="225"/>
      <c r="G127" s="225" t="s">
        <v>117</v>
      </c>
      <c r="H127" s="225" t="s">
        <v>313</v>
      </c>
      <c r="I127" s="226" t="s">
        <v>156</v>
      </c>
      <c r="J127" s="227">
        <v>359.59</v>
      </c>
      <c r="K127" s="227">
        <v>6080.34</v>
      </c>
    </row>
    <row r="128" spans="1:11" x14ac:dyDescent="0.35">
      <c r="B128" s="225" t="s">
        <v>308</v>
      </c>
      <c r="C128" s="225" t="s">
        <v>155</v>
      </c>
      <c r="D128" s="225">
        <v>313</v>
      </c>
      <c r="E128" s="225"/>
      <c r="F128" s="225"/>
      <c r="G128" s="225" t="s">
        <v>122</v>
      </c>
      <c r="H128" s="225" t="s">
        <v>313</v>
      </c>
      <c r="I128" s="226" t="s">
        <v>156</v>
      </c>
      <c r="J128" s="227">
        <v>220.66</v>
      </c>
      <c r="K128" s="227">
        <v>6301</v>
      </c>
    </row>
    <row r="129" spans="1:11" x14ac:dyDescent="0.35">
      <c r="B129" s="225" t="s">
        <v>308</v>
      </c>
      <c r="C129" s="225" t="s">
        <v>155</v>
      </c>
      <c r="D129" s="225">
        <v>313</v>
      </c>
      <c r="E129" s="225"/>
      <c r="F129" s="225"/>
      <c r="G129" s="225" t="s">
        <v>116</v>
      </c>
      <c r="H129" s="225" t="s">
        <v>313</v>
      </c>
      <c r="I129" s="226" t="s">
        <v>156</v>
      </c>
      <c r="J129" s="227">
        <v>237</v>
      </c>
      <c r="K129" s="227">
        <v>6538</v>
      </c>
    </row>
    <row r="130" spans="1:11" x14ac:dyDescent="0.35">
      <c r="A130" s="224" t="s">
        <v>314</v>
      </c>
      <c r="J130" s="228">
        <v>6538</v>
      </c>
    </row>
    <row r="131" spans="1:11" x14ac:dyDescent="0.35">
      <c r="A131" s="224" t="s">
        <v>315</v>
      </c>
    </row>
    <row r="132" spans="1:11" x14ac:dyDescent="0.35">
      <c r="B132" s="225" t="s">
        <v>176</v>
      </c>
      <c r="C132" s="225" t="s">
        <v>155</v>
      </c>
      <c r="D132" s="225">
        <v>312</v>
      </c>
      <c r="E132" s="225"/>
      <c r="F132" s="225"/>
      <c r="G132" s="225" t="s">
        <v>104</v>
      </c>
      <c r="H132" s="225" t="s">
        <v>316</v>
      </c>
      <c r="I132" s="226" t="s">
        <v>156</v>
      </c>
      <c r="J132" s="227">
        <v>713.41</v>
      </c>
      <c r="K132" s="227">
        <v>713.41</v>
      </c>
    </row>
    <row r="133" spans="1:11" x14ac:dyDescent="0.35">
      <c r="B133" s="225" t="s">
        <v>176</v>
      </c>
      <c r="C133" s="225" t="s">
        <v>155</v>
      </c>
      <c r="D133" s="225">
        <v>312</v>
      </c>
      <c r="E133" s="225"/>
      <c r="F133" s="225"/>
      <c r="G133" s="225" t="s">
        <v>110</v>
      </c>
      <c r="H133" s="225" t="s">
        <v>316</v>
      </c>
      <c r="I133" s="226" t="s">
        <v>156</v>
      </c>
      <c r="J133" s="227">
        <v>1.98</v>
      </c>
      <c r="K133" s="227">
        <v>715.39</v>
      </c>
    </row>
    <row r="134" spans="1:11" x14ac:dyDescent="0.35">
      <c r="B134" s="225" t="s">
        <v>176</v>
      </c>
      <c r="C134" s="225" t="s">
        <v>155</v>
      </c>
      <c r="D134" s="225">
        <v>312</v>
      </c>
      <c r="E134" s="225"/>
      <c r="F134" s="225"/>
      <c r="G134" s="225" t="s">
        <v>109</v>
      </c>
      <c r="H134" s="225" t="s">
        <v>316</v>
      </c>
      <c r="I134" s="226" t="s">
        <v>156</v>
      </c>
      <c r="J134" s="227">
        <v>3.96</v>
      </c>
      <c r="K134" s="227">
        <v>719.35</v>
      </c>
    </row>
    <row r="135" spans="1:11" x14ac:dyDescent="0.35">
      <c r="B135" s="225" t="s">
        <v>176</v>
      </c>
      <c r="C135" s="225" t="s">
        <v>155</v>
      </c>
      <c r="D135" s="225">
        <v>312</v>
      </c>
      <c r="E135" s="225"/>
      <c r="F135" s="225"/>
      <c r="G135" s="225" t="s">
        <v>108</v>
      </c>
      <c r="H135" s="225" t="s">
        <v>316</v>
      </c>
      <c r="I135" s="226" t="s">
        <v>156</v>
      </c>
      <c r="J135" s="227">
        <v>4.9400000000000004</v>
      </c>
      <c r="K135" s="227">
        <v>724.29</v>
      </c>
    </row>
    <row r="136" spans="1:11" x14ac:dyDescent="0.35">
      <c r="B136" s="225" t="s">
        <v>176</v>
      </c>
      <c r="C136" s="225" t="s">
        <v>155</v>
      </c>
      <c r="D136" s="225">
        <v>312</v>
      </c>
      <c r="E136" s="225"/>
      <c r="F136" s="225"/>
      <c r="G136" s="225" t="s">
        <v>111</v>
      </c>
      <c r="H136" s="225" t="s">
        <v>316</v>
      </c>
      <c r="I136" s="226" t="s">
        <v>156</v>
      </c>
      <c r="J136" s="227">
        <v>5.93</v>
      </c>
      <c r="K136" s="227">
        <v>730.22</v>
      </c>
    </row>
    <row r="137" spans="1:11" x14ac:dyDescent="0.35">
      <c r="B137" s="225" t="s">
        <v>176</v>
      </c>
      <c r="C137" s="225" t="s">
        <v>155</v>
      </c>
      <c r="D137" s="225">
        <v>312</v>
      </c>
      <c r="E137" s="225"/>
      <c r="F137" s="225"/>
      <c r="G137" s="225" t="s">
        <v>110</v>
      </c>
      <c r="H137" s="225" t="s">
        <v>316</v>
      </c>
      <c r="I137" s="226" t="s">
        <v>156</v>
      </c>
      <c r="J137" s="227">
        <v>6.92</v>
      </c>
      <c r="K137" s="227">
        <v>737.14</v>
      </c>
    </row>
    <row r="138" spans="1:11" x14ac:dyDescent="0.35">
      <c r="B138" s="225" t="s">
        <v>176</v>
      </c>
      <c r="C138" s="225" t="s">
        <v>155</v>
      </c>
      <c r="D138" s="225">
        <v>312</v>
      </c>
      <c r="E138" s="225"/>
      <c r="F138" s="225"/>
      <c r="G138" s="225" t="s">
        <v>109</v>
      </c>
      <c r="H138" s="225" t="s">
        <v>316</v>
      </c>
      <c r="I138" s="226" t="s">
        <v>156</v>
      </c>
      <c r="J138" s="227">
        <v>13.85</v>
      </c>
      <c r="K138" s="227">
        <v>750.99</v>
      </c>
    </row>
    <row r="139" spans="1:11" x14ac:dyDescent="0.35">
      <c r="B139" s="225" t="s">
        <v>176</v>
      </c>
      <c r="C139" s="225" t="s">
        <v>155</v>
      </c>
      <c r="D139" s="225">
        <v>312</v>
      </c>
      <c r="E139" s="225"/>
      <c r="F139" s="225"/>
      <c r="G139" s="225" t="s">
        <v>108</v>
      </c>
      <c r="H139" s="225" t="s">
        <v>316</v>
      </c>
      <c r="I139" s="226" t="s">
        <v>156</v>
      </c>
      <c r="J139" s="227">
        <v>17.309999999999999</v>
      </c>
      <c r="K139" s="227">
        <v>768.3</v>
      </c>
    </row>
    <row r="140" spans="1:11" x14ac:dyDescent="0.35">
      <c r="B140" s="225" t="s">
        <v>176</v>
      </c>
      <c r="C140" s="225" t="s">
        <v>155</v>
      </c>
      <c r="D140" s="225">
        <v>312</v>
      </c>
      <c r="E140" s="225"/>
      <c r="F140" s="225"/>
      <c r="G140" s="225" t="s">
        <v>102</v>
      </c>
      <c r="H140" s="225" t="s">
        <v>316</v>
      </c>
      <c r="I140" s="226" t="s">
        <v>156</v>
      </c>
      <c r="J140" s="227">
        <v>19.78</v>
      </c>
      <c r="K140" s="227">
        <v>788.08</v>
      </c>
    </row>
    <row r="141" spans="1:11" x14ac:dyDescent="0.35">
      <c r="B141" s="225" t="s">
        <v>176</v>
      </c>
      <c r="C141" s="225" t="s">
        <v>155</v>
      </c>
      <c r="D141" s="225">
        <v>312</v>
      </c>
      <c r="E141" s="225"/>
      <c r="F141" s="225"/>
      <c r="G141" s="225" t="s">
        <v>111</v>
      </c>
      <c r="H141" s="225" t="s">
        <v>316</v>
      </c>
      <c r="I141" s="226" t="s">
        <v>156</v>
      </c>
      <c r="J141" s="227">
        <v>20.77</v>
      </c>
      <c r="K141" s="227">
        <v>808.85</v>
      </c>
    </row>
    <row r="142" spans="1:11" x14ac:dyDescent="0.35">
      <c r="B142" s="225" t="s">
        <v>176</v>
      </c>
      <c r="C142" s="225" t="s">
        <v>155</v>
      </c>
      <c r="D142" s="225">
        <v>312</v>
      </c>
      <c r="E142" s="225"/>
      <c r="F142" s="225"/>
      <c r="G142" s="225" t="s">
        <v>104</v>
      </c>
      <c r="H142" s="225" t="s">
        <v>316</v>
      </c>
      <c r="I142" s="226" t="s">
        <v>156</v>
      </c>
      <c r="J142" s="227">
        <v>23.74</v>
      </c>
      <c r="K142" s="227">
        <v>832.59</v>
      </c>
    </row>
    <row r="143" spans="1:11" x14ac:dyDescent="0.35">
      <c r="B143" s="225" t="s">
        <v>176</v>
      </c>
      <c r="C143" s="225" t="s">
        <v>155</v>
      </c>
      <c r="D143" s="225">
        <v>312</v>
      </c>
      <c r="E143" s="225"/>
      <c r="F143" s="225"/>
      <c r="G143" s="225" t="s">
        <v>110</v>
      </c>
      <c r="H143" s="225" t="s">
        <v>316</v>
      </c>
      <c r="I143" s="226" t="s">
        <v>156</v>
      </c>
      <c r="J143" s="227">
        <v>31.65</v>
      </c>
      <c r="K143" s="227">
        <v>864.24</v>
      </c>
    </row>
    <row r="144" spans="1:11" x14ac:dyDescent="0.35">
      <c r="B144" s="225" t="s">
        <v>176</v>
      </c>
      <c r="C144" s="225" t="s">
        <v>155</v>
      </c>
      <c r="D144" s="225">
        <v>312</v>
      </c>
      <c r="E144" s="225"/>
      <c r="F144" s="225"/>
      <c r="G144" s="225" t="s">
        <v>112</v>
      </c>
      <c r="H144" s="225" t="s">
        <v>316</v>
      </c>
      <c r="I144" s="226" t="s">
        <v>156</v>
      </c>
      <c r="J144" s="227">
        <v>38.57</v>
      </c>
      <c r="K144" s="227">
        <v>902.81</v>
      </c>
    </row>
    <row r="145" spans="2:11" x14ac:dyDescent="0.35">
      <c r="B145" s="225" t="s">
        <v>176</v>
      </c>
      <c r="C145" s="225" t="s">
        <v>155</v>
      </c>
      <c r="D145" s="225">
        <v>312</v>
      </c>
      <c r="E145" s="225"/>
      <c r="F145" s="225"/>
      <c r="G145" s="225" t="s">
        <v>110</v>
      </c>
      <c r="H145" s="225" t="s">
        <v>316</v>
      </c>
      <c r="I145" s="226" t="s">
        <v>156</v>
      </c>
      <c r="J145" s="227">
        <v>59.45</v>
      </c>
      <c r="K145" s="227">
        <v>962.26</v>
      </c>
    </row>
    <row r="146" spans="2:11" x14ac:dyDescent="0.35">
      <c r="B146" s="225" t="s">
        <v>176</v>
      </c>
      <c r="C146" s="225" t="s">
        <v>155</v>
      </c>
      <c r="D146" s="225">
        <v>312</v>
      </c>
      <c r="E146" s="225"/>
      <c r="F146" s="225"/>
      <c r="G146" s="225" t="s">
        <v>109</v>
      </c>
      <c r="H146" s="225" t="s">
        <v>316</v>
      </c>
      <c r="I146" s="226" t="s">
        <v>156</v>
      </c>
      <c r="J146" s="227">
        <v>63.3</v>
      </c>
      <c r="K146" s="227">
        <v>1025.56</v>
      </c>
    </row>
    <row r="147" spans="2:11" x14ac:dyDescent="0.35">
      <c r="B147" s="225" t="s">
        <v>176</v>
      </c>
      <c r="C147" s="225" t="s">
        <v>155</v>
      </c>
      <c r="D147" s="225">
        <v>312</v>
      </c>
      <c r="E147" s="225"/>
      <c r="F147" s="225"/>
      <c r="G147" s="225" t="s">
        <v>102</v>
      </c>
      <c r="H147" s="225" t="s">
        <v>316</v>
      </c>
      <c r="I147" s="226" t="s">
        <v>156</v>
      </c>
      <c r="J147" s="227">
        <v>69.23</v>
      </c>
      <c r="K147" s="227">
        <v>1094.79</v>
      </c>
    </row>
    <row r="148" spans="2:11" x14ac:dyDescent="0.35">
      <c r="B148" s="225" t="s">
        <v>176</v>
      </c>
      <c r="C148" s="225" t="s">
        <v>155</v>
      </c>
      <c r="D148" s="225">
        <v>312</v>
      </c>
      <c r="E148" s="225"/>
      <c r="F148" s="225"/>
      <c r="G148" s="225" t="s">
        <v>108</v>
      </c>
      <c r="H148" s="225" t="s">
        <v>316</v>
      </c>
      <c r="I148" s="226" t="s">
        <v>156</v>
      </c>
      <c r="J148" s="227">
        <v>79.12</v>
      </c>
      <c r="K148" s="227">
        <v>1173.9100000000001</v>
      </c>
    </row>
    <row r="149" spans="2:11" x14ac:dyDescent="0.35">
      <c r="B149" s="225" t="s">
        <v>176</v>
      </c>
      <c r="C149" s="225" t="s">
        <v>155</v>
      </c>
      <c r="D149" s="225">
        <v>312</v>
      </c>
      <c r="E149" s="225"/>
      <c r="F149" s="225"/>
      <c r="G149" s="225" t="s">
        <v>104</v>
      </c>
      <c r="H149" s="225" t="s">
        <v>316</v>
      </c>
      <c r="I149" s="226" t="s">
        <v>156</v>
      </c>
      <c r="J149" s="227">
        <v>83.08</v>
      </c>
      <c r="K149" s="227">
        <v>1256.99</v>
      </c>
    </row>
    <row r="150" spans="2:11" x14ac:dyDescent="0.35">
      <c r="B150" s="225" t="s">
        <v>176</v>
      </c>
      <c r="C150" s="225" t="s">
        <v>155</v>
      </c>
      <c r="D150" s="225">
        <v>312</v>
      </c>
      <c r="E150" s="225"/>
      <c r="F150" s="225"/>
      <c r="G150" s="225" t="s">
        <v>111</v>
      </c>
      <c r="H150" s="225" t="s">
        <v>316</v>
      </c>
      <c r="I150" s="226" t="s">
        <v>156</v>
      </c>
      <c r="J150" s="227">
        <v>94.95</v>
      </c>
      <c r="K150" s="227">
        <v>1351.94</v>
      </c>
    </row>
    <row r="151" spans="2:11" x14ac:dyDescent="0.35">
      <c r="B151" s="225" t="s">
        <v>176</v>
      </c>
      <c r="C151" s="225" t="s">
        <v>155</v>
      </c>
      <c r="D151" s="225">
        <v>312</v>
      </c>
      <c r="E151" s="225"/>
      <c r="F151" s="225"/>
      <c r="G151" s="225" t="s">
        <v>109</v>
      </c>
      <c r="H151" s="225" t="s">
        <v>316</v>
      </c>
      <c r="I151" s="226" t="s">
        <v>156</v>
      </c>
      <c r="J151" s="227">
        <v>118.9</v>
      </c>
      <c r="K151" s="227">
        <v>1470.84</v>
      </c>
    </row>
    <row r="152" spans="2:11" x14ac:dyDescent="0.35">
      <c r="B152" s="225" t="s">
        <v>176</v>
      </c>
      <c r="C152" s="225" t="s">
        <v>155</v>
      </c>
      <c r="D152" s="225">
        <v>312</v>
      </c>
      <c r="E152" s="225"/>
      <c r="F152" s="225"/>
      <c r="G152" s="225" t="s">
        <v>112</v>
      </c>
      <c r="H152" s="225" t="s">
        <v>316</v>
      </c>
      <c r="I152" s="226" t="s">
        <v>156</v>
      </c>
      <c r="J152" s="227">
        <v>1159.28</v>
      </c>
      <c r="K152" s="227">
        <v>2630.12</v>
      </c>
    </row>
    <row r="153" spans="2:11" x14ac:dyDescent="0.35">
      <c r="B153" s="225" t="s">
        <v>176</v>
      </c>
      <c r="C153" s="225" t="s">
        <v>155</v>
      </c>
      <c r="D153" s="225">
        <v>312</v>
      </c>
      <c r="E153" s="225"/>
      <c r="F153" s="225"/>
      <c r="G153" s="225" t="s">
        <v>112</v>
      </c>
      <c r="H153" s="225" t="s">
        <v>316</v>
      </c>
      <c r="I153" s="226" t="s">
        <v>156</v>
      </c>
      <c r="J153" s="227">
        <v>617.14</v>
      </c>
      <c r="K153" s="227">
        <v>3247.26</v>
      </c>
    </row>
    <row r="154" spans="2:11" x14ac:dyDescent="0.35">
      <c r="B154" s="225" t="s">
        <v>176</v>
      </c>
      <c r="C154" s="225" t="s">
        <v>155</v>
      </c>
      <c r="D154" s="225">
        <v>312</v>
      </c>
      <c r="E154" s="225"/>
      <c r="F154" s="225"/>
      <c r="G154" s="225" t="s">
        <v>102</v>
      </c>
      <c r="H154" s="225" t="s">
        <v>316</v>
      </c>
      <c r="I154" s="226" t="s">
        <v>156</v>
      </c>
      <c r="J154" s="227">
        <v>594.51</v>
      </c>
      <c r="K154" s="227">
        <v>3841.77</v>
      </c>
    </row>
    <row r="155" spans="2:11" x14ac:dyDescent="0.35">
      <c r="B155" s="225" t="s">
        <v>176</v>
      </c>
      <c r="C155" s="225" t="s">
        <v>155</v>
      </c>
      <c r="D155" s="225">
        <v>312</v>
      </c>
      <c r="E155" s="225"/>
      <c r="F155" s="225"/>
      <c r="G155" s="225" t="s">
        <v>104</v>
      </c>
      <c r="H155" s="225" t="s">
        <v>316</v>
      </c>
      <c r="I155" s="226" t="s">
        <v>156</v>
      </c>
      <c r="J155" s="227">
        <v>379.78</v>
      </c>
      <c r="K155" s="227">
        <v>4221.55</v>
      </c>
    </row>
    <row r="156" spans="2:11" x14ac:dyDescent="0.35">
      <c r="B156" s="225" t="s">
        <v>176</v>
      </c>
      <c r="C156" s="225" t="s">
        <v>155</v>
      </c>
      <c r="D156" s="225">
        <v>312</v>
      </c>
      <c r="E156" s="225"/>
      <c r="F156" s="225"/>
      <c r="G156" s="225" t="s">
        <v>102</v>
      </c>
      <c r="H156" s="225" t="s">
        <v>316</v>
      </c>
      <c r="I156" s="226" t="s">
        <v>156</v>
      </c>
      <c r="J156" s="227">
        <v>316.48</v>
      </c>
      <c r="K156" s="227">
        <v>4538.03</v>
      </c>
    </row>
    <row r="157" spans="2:11" x14ac:dyDescent="0.35">
      <c r="B157" s="225" t="s">
        <v>176</v>
      </c>
      <c r="C157" s="225" t="s">
        <v>155</v>
      </c>
      <c r="D157" s="225">
        <v>312</v>
      </c>
      <c r="E157" s="225"/>
      <c r="F157" s="225"/>
      <c r="G157" s="225" t="s">
        <v>111</v>
      </c>
      <c r="H157" s="225" t="s">
        <v>316</v>
      </c>
      <c r="I157" s="226" t="s">
        <v>156</v>
      </c>
      <c r="J157" s="227">
        <v>178.35</v>
      </c>
      <c r="K157" s="227">
        <v>4716.38</v>
      </c>
    </row>
    <row r="158" spans="2:11" x14ac:dyDescent="0.35">
      <c r="B158" s="225" t="s">
        <v>176</v>
      </c>
      <c r="C158" s="225" t="s">
        <v>155</v>
      </c>
      <c r="D158" s="225">
        <v>312</v>
      </c>
      <c r="E158" s="225"/>
      <c r="F158" s="225"/>
      <c r="G158" s="225" t="s">
        <v>108</v>
      </c>
      <c r="H158" s="225" t="s">
        <v>316</v>
      </c>
      <c r="I158" s="226" t="s">
        <v>156</v>
      </c>
      <c r="J158" s="227">
        <v>148.63</v>
      </c>
      <c r="K158" s="227">
        <v>4865.01</v>
      </c>
    </row>
    <row r="159" spans="2:11" x14ac:dyDescent="0.35">
      <c r="B159" s="225" t="s">
        <v>176</v>
      </c>
      <c r="C159" s="225" t="s">
        <v>155</v>
      </c>
      <c r="D159" s="225">
        <v>312</v>
      </c>
      <c r="E159" s="225"/>
      <c r="F159" s="225"/>
      <c r="G159" s="225" t="s">
        <v>112</v>
      </c>
      <c r="H159" s="225" t="s">
        <v>316</v>
      </c>
      <c r="I159" s="226" t="s">
        <v>156</v>
      </c>
      <c r="J159" s="227">
        <v>134.99</v>
      </c>
      <c r="K159" s="227">
        <v>5000</v>
      </c>
    </row>
    <row r="160" spans="2:11" x14ac:dyDescent="0.35">
      <c r="B160" s="225" t="s">
        <v>308</v>
      </c>
      <c r="C160" s="225" t="s">
        <v>155</v>
      </c>
      <c r="D160" s="225">
        <v>313</v>
      </c>
      <c r="E160" s="225"/>
      <c r="F160" s="225"/>
      <c r="G160" s="225" t="s">
        <v>112</v>
      </c>
      <c r="H160" s="225" t="s">
        <v>317</v>
      </c>
      <c r="I160" s="226" t="s">
        <v>156</v>
      </c>
      <c r="J160" s="227">
        <v>600</v>
      </c>
      <c r="K160" s="227">
        <v>5600</v>
      </c>
    </row>
    <row r="161" spans="1:11" x14ac:dyDescent="0.35">
      <c r="B161" s="225" t="s">
        <v>308</v>
      </c>
      <c r="C161" s="225" t="s">
        <v>155</v>
      </c>
      <c r="D161" s="225">
        <v>313</v>
      </c>
      <c r="E161" s="225"/>
      <c r="F161" s="225"/>
      <c r="G161" s="225" t="s">
        <v>111</v>
      </c>
      <c r="H161" s="225" t="s">
        <v>317</v>
      </c>
      <c r="I161" s="226" t="s">
        <v>156</v>
      </c>
      <c r="J161" s="227">
        <v>92.31</v>
      </c>
      <c r="K161" s="227">
        <v>5692.31</v>
      </c>
    </row>
    <row r="162" spans="1:11" x14ac:dyDescent="0.35">
      <c r="B162" s="225" t="s">
        <v>308</v>
      </c>
      <c r="C162" s="225" t="s">
        <v>155</v>
      </c>
      <c r="D162" s="225">
        <v>313</v>
      </c>
      <c r="E162" s="225"/>
      <c r="F162" s="225"/>
      <c r="G162" s="225" t="s">
        <v>108</v>
      </c>
      <c r="H162" s="225" t="s">
        <v>317</v>
      </c>
      <c r="I162" s="226" t="s">
        <v>156</v>
      </c>
      <c r="J162" s="227">
        <v>76.92</v>
      </c>
      <c r="K162" s="227">
        <v>5769.23</v>
      </c>
    </row>
    <row r="163" spans="1:11" x14ac:dyDescent="0.35">
      <c r="B163" s="225" t="s">
        <v>308</v>
      </c>
      <c r="C163" s="225" t="s">
        <v>155</v>
      </c>
      <c r="D163" s="225">
        <v>313</v>
      </c>
      <c r="E163" s="225"/>
      <c r="F163" s="225"/>
      <c r="G163" s="225" t="s">
        <v>110</v>
      </c>
      <c r="H163" s="225" t="s">
        <v>317</v>
      </c>
      <c r="I163" s="226" t="s">
        <v>156</v>
      </c>
      <c r="J163" s="227">
        <v>69.23</v>
      </c>
      <c r="K163" s="227">
        <v>5838.46</v>
      </c>
    </row>
    <row r="164" spans="1:11" x14ac:dyDescent="0.35">
      <c r="B164" s="225" t="s">
        <v>308</v>
      </c>
      <c r="C164" s="225" t="s">
        <v>155</v>
      </c>
      <c r="D164" s="225">
        <v>313</v>
      </c>
      <c r="E164" s="225"/>
      <c r="F164" s="225"/>
      <c r="G164" s="225" t="s">
        <v>109</v>
      </c>
      <c r="H164" s="225" t="s">
        <v>317</v>
      </c>
      <c r="I164" s="226" t="s">
        <v>156</v>
      </c>
      <c r="J164" s="227">
        <v>61.54</v>
      </c>
      <c r="K164" s="227">
        <v>5900</v>
      </c>
    </row>
    <row r="165" spans="1:11" x14ac:dyDescent="0.35">
      <c r="B165" s="225" t="s">
        <v>308</v>
      </c>
      <c r="C165" s="225" t="s">
        <v>155</v>
      </c>
      <c r="D165" s="225">
        <v>313</v>
      </c>
      <c r="E165" s="225"/>
      <c r="F165" s="225"/>
      <c r="G165" s="225" t="s">
        <v>110</v>
      </c>
      <c r="H165" s="225" t="s">
        <v>317</v>
      </c>
      <c r="I165" s="226" t="s">
        <v>156</v>
      </c>
      <c r="J165" s="227">
        <v>30.77</v>
      </c>
      <c r="K165" s="227">
        <v>5930.77</v>
      </c>
    </row>
    <row r="166" spans="1:11" x14ac:dyDescent="0.35">
      <c r="B166" s="225" t="s">
        <v>308</v>
      </c>
      <c r="C166" s="225" t="s">
        <v>155</v>
      </c>
      <c r="D166" s="225">
        <v>313</v>
      </c>
      <c r="E166" s="225"/>
      <c r="F166" s="225"/>
      <c r="G166" s="225" t="s">
        <v>112</v>
      </c>
      <c r="H166" s="225" t="s">
        <v>317</v>
      </c>
      <c r="I166" s="226" t="s">
        <v>156</v>
      </c>
      <c r="J166" s="227">
        <v>1350</v>
      </c>
      <c r="K166" s="227">
        <v>7280.77</v>
      </c>
    </row>
    <row r="167" spans="1:11" x14ac:dyDescent="0.35">
      <c r="B167" s="225" t="s">
        <v>308</v>
      </c>
      <c r="C167" s="225" t="s">
        <v>155</v>
      </c>
      <c r="D167" s="225">
        <v>313</v>
      </c>
      <c r="E167" s="225"/>
      <c r="F167" s="225"/>
      <c r="G167" s="225" t="s">
        <v>104</v>
      </c>
      <c r="H167" s="225" t="s">
        <v>317</v>
      </c>
      <c r="I167" s="226" t="s">
        <v>156</v>
      </c>
      <c r="J167" s="227">
        <v>830.77</v>
      </c>
      <c r="K167" s="227">
        <v>8111.54</v>
      </c>
    </row>
    <row r="168" spans="1:11" x14ac:dyDescent="0.35">
      <c r="B168" s="225" t="s">
        <v>308</v>
      </c>
      <c r="C168" s="225" t="s">
        <v>155</v>
      </c>
      <c r="D168" s="225">
        <v>313</v>
      </c>
      <c r="E168" s="225"/>
      <c r="F168" s="225"/>
      <c r="G168" s="225" t="s">
        <v>102</v>
      </c>
      <c r="H168" s="225" t="s">
        <v>317</v>
      </c>
      <c r="I168" s="226" t="s">
        <v>156</v>
      </c>
      <c r="J168" s="227">
        <v>692.31</v>
      </c>
      <c r="K168" s="227">
        <v>8803.85</v>
      </c>
    </row>
    <row r="169" spans="1:11" x14ac:dyDescent="0.35">
      <c r="B169" s="225" t="s">
        <v>308</v>
      </c>
      <c r="C169" s="225" t="s">
        <v>155</v>
      </c>
      <c r="D169" s="225">
        <v>313</v>
      </c>
      <c r="E169" s="225"/>
      <c r="F169" s="225"/>
      <c r="G169" s="225" t="s">
        <v>109</v>
      </c>
      <c r="H169" s="225" t="s">
        <v>317</v>
      </c>
      <c r="I169" s="226" t="s">
        <v>156</v>
      </c>
      <c r="J169" s="227">
        <v>138.46</v>
      </c>
      <c r="K169" s="227">
        <v>8942.31</v>
      </c>
    </row>
    <row r="170" spans="1:11" x14ac:dyDescent="0.35">
      <c r="B170" s="225" t="s">
        <v>308</v>
      </c>
      <c r="C170" s="225" t="s">
        <v>155</v>
      </c>
      <c r="D170" s="225">
        <v>313</v>
      </c>
      <c r="E170" s="225"/>
      <c r="F170" s="225"/>
      <c r="G170" s="225" t="s">
        <v>104</v>
      </c>
      <c r="H170" s="225" t="s">
        <v>317</v>
      </c>
      <c r="I170" s="226" t="s">
        <v>156</v>
      </c>
      <c r="J170" s="227">
        <v>369.23</v>
      </c>
      <c r="K170" s="227">
        <v>9311.5400000000009</v>
      </c>
    </row>
    <row r="171" spans="1:11" x14ac:dyDescent="0.35">
      <c r="B171" s="225" t="s">
        <v>308</v>
      </c>
      <c r="C171" s="225" t="s">
        <v>155</v>
      </c>
      <c r="D171" s="225">
        <v>313</v>
      </c>
      <c r="E171" s="225"/>
      <c r="F171" s="225"/>
      <c r="G171" s="225" t="s">
        <v>102</v>
      </c>
      <c r="H171" s="225" t="s">
        <v>317</v>
      </c>
      <c r="I171" s="226" t="s">
        <v>156</v>
      </c>
      <c r="J171" s="227">
        <v>307.69</v>
      </c>
      <c r="K171" s="227">
        <v>9619.23</v>
      </c>
    </row>
    <row r="172" spans="1:11" x14ac:dyDescent="0.35">
      <c r="B172" s="225" t="s">
        <v>308</v>
      </c>
      <c r="C172" s="225" t="s">
        <v>155</v>
      </c>
      <c r="D172" s="225">
        <v>313</v>
      </c>
      <c r="E172" s="225"/>
      <c r="F172" s="225"/>
      <c r="G172" s="225" t="s">
        <v>111</v>
      </c>
      <c r="H172" s="225" t="s">
        <v>317</v>
      </c>
      <c r="I172" s="226" t="s">
        <v>156</v>
      </c>
      <c r="J172" s="227">
        <v>207.69</v>
      </c>
      <c r="K172" s="227">
        <v>9826.92</v>
      </c>
    </row>
    <row r="173" spans="1:11" x14ac:dyDescent="0.35">
      <c r="B173" s="225" t="s">
        <v>308</v>
      </c>
      <c r="C173" s="225" t="s">
        <v>155</v>
      </c>
      <c r="D173" s="225">
        <v>313</v>
      </c>
      <c r="E173" s="225"/>
      <c r="F173" s="225"/>
      <c r="G173" s="225" t="s">
        <v>108</v>
      </c>
      <c r="H173" s="225" t="s">
        <v>317</v>
      </c>
      <c r="I173" s="226" t="s">
        <v>156</v>
      </c>
      <c r="J173" s="227">
        <v>173.08</v>
      </c>
      <c r="K173" s="227">
        <v>10000</v>
      </c>
    </row>
    <row r="174" spans="1:11" x14ac:dyDescent="0.35">
      <c r="A174" s="224" t="s">
        <v>318</v>
      </c>
      <c r="J174" s="228">
        <v>10000</v>
      </c>
    </row>
    <row r="175" spans="1:11" x14ac:dyDescent="0.35">
      <c r="A175" s="224" t="s">
        <v>319</v>
      </c>
    </row>
    <row r="176" spans="1:11" x14ac:dyDescent="0.35">
      <c r="B176" s="225" t="s">
        <v>176</v>
      </c>
      <c r="C176" s="225" t="s">
        <v>155</v>
      </c>
      <c r="D176" s="225">
        <v>312</v>
      </c>
      <c r="E176" s="225"/>
      <c r="F176" s="225"/>
      <c r="G176" s="225" t="s">
        <v>122</v>
      </c>
      <c r="H176" s="225" t="s">
        <v>321</v>
      </c>
      <c r="I176" s="226" t="s">
        <v>156</v>
      </c>
      <c r="J176" s="227">
        <v>76.150000000000006</v>
      </c>
      <c r="K176" s="227">
        <v>76.150000000000006</v>
      </c>
    </row>
    <row r="177" spans="1:11" x14ac:dyDescent="0.35">
      <c r="B177" s="225" t="s">
        <v>176</v>
      </c>
      <c r="C177" s="225" t="s">
        <v>155</v>
      </c>
      <c r="D177" s="225">
        <v>312</v>
      </c>
      <c r="E177" s="225"/>
      <c r="F177" s="225"/>
      <c r="G177" s="225" t="s">
        <v>122</v>
      </c>
      <c r="H177" s="225" t="s">
        <v>321</v>
      </c>
      <c r="I177" s="226" t="s">
        <v>156</v>
      </c>
      <c r="J177" s="227">
        <v>8.4600000000000009</v>
      </c>
      <c r="K177" s="227">
        <v>84.61</v>
      </c>
    </row>
    <row r="178" spans="1:11" x14ac:dyDescent="0.35">
      <c r="B178" s="225" t="s">
        <v>176</v>
      </c>
      <c r="C178" s="225" t="s">
        <v>155</v>
      </c>
      <c r="D178" s="225">
        <v>312</v>
      </c>
      <c r="E178" s="225"/>
      <c r="F178" s="225"/>
      <c r="G178" s="225" t="s">
        <v>116</v>
      </c>
      <c r="H178" s="225" t="s">
        <v>321</v>
      </c>
      <c r="I178" s="226" t="s">
        <v>156</v>
      </c>
      <c r="J178" s="227">
        <v>38.08</v>
      </c>
      <c r="K178" s="227">
        <v>122.69</v>
      </c>
    </row>
    <row r="179" spans="1:11" x14ac:dyDescent="0.35">
      <c r="B179" s="225" t="s">
        <v>176</v>
      </c>
      <c r="C179" s="225" t="s">
        <v>155</v>
      </c>
      <c r="D179" s="225">
        <v>312</v>
      </c>
      <c r="E179" s="225"/>
      <c r="F179" s="225"/>
      <c r="G179" s="225" t="s">
        <v>320</v>
      </c>
      <c r="H179" s="225" t="s">
        <v>321</v>
      </c>
      <c r="I179" s="226" t="s">
        <v>156</v>
      </c>
      <c r="J179" s="227">
        <v>3388.85</v>
      </c>
      <c r="K179" s="227">
        <v>3511.54</v>
      </c>
    </row>
    <row r="180" spans="1:11" x14ac:dyDescent="0.35">
      <c r="B180" s="225" t="s">
        <v>176</v>
      </c>
      <c r="C180" s="225" t="s">
        <v>155</v>
      </c>
      <c r="D180" s="225">
        <v>312</v>
      </c>
      <c r="E180" s="225"/>
      <c r="F180" s="225"/>
      <c r="G180" s="225" t="s">
        <v>320</v>
      </c>
      <c r="H180" s="225" t="s">
        <v>321</v>
      </c>
      <c r="I180" s="226" t="s">
        <v>156</v>
      </c>
      <c r="J180" s="227">
        <v>376.54</v>
      </c>
      <c r="K180" s="227">
        <v>3888.08</v>
      </c>
    </row>
    <row r="181" spans="1:11" x14ac:dyDescent="0.35">
      <c r="B181" s="225" t="s">
        <v>176</v>
      </c>
      <c r="C181" s="225" t="s">
        <v>155</v>
      </c>
      <c r="D181" s="225">
        <v>312</v>
      </c>
      <c r="E181" s="225"/>
      <c r="F181" s="225"/>
      <c r="G181" s="225" t="s">
        <v>116</v>
      </c>
      <c r="H181" s="225" t="s">
        <v>321</v>
      </c>
      <c r="I181" s="226" t="s">
        <v>156</v>
      </c>
      <c r="J181" s="227">
        <v>342.69</v>
      </c>
      <c r="K181" s="227">
        <v>4230.7700000000004</v>
      </c>
    </row>
    <row r="182" spans="1:11" x14ac:dyDescent="0.35">
      <c r="B182" s="225" t="s">
        <v>308</v>
      </c>
      <c r="C182" s="225" t="s">
        <v>155</v>
      </c>
      <c r="D182" s="225">
        <v>313</v>
      </c>
      <c r="E182" s="225"/>
      <c r="F182" s="225"/>
      <c r="G182" s="225" t="s">
        <v>116</v>
      </c>
      <c r="H182" s="225" t="s">
        <v>322</v>
      </c>
      <c r="I182" s="226" t="s">
        <v>156</v>
      </c>
      <c r="J182" s="227">
        <v>342.69</v>
      </c>
      <c r="K182" s="227">
        <v>4573.46</v>
      </c>
    </row>
    <row r="183" spans="1:11" x14ac:dyDescent="0.35">
      <c r="B183" s="225" t="s">
        <v>308</v>
      </c>
      <c r="C183" s="225" t="s">
        <v>155</v>
      </c>
      <c r="D183" s="225">
        <v>313</v>
      </c>
      <c r="E183" s="225"/>
      <c r="F183" s="225"/>
      <c r="G183" s="225" t="s">
        <v>122</v>
      </c>
      <c r="H183" s="225" t="s">
        <v>322</v>
      </c>
      <c r="I183" s="226" t="s">
        <v>156</v>
      </c>
      <c r="J183" s="227">
        <v>76.150000000000006</v>
      </c>
      <c r="K183" s="227">
        <v>4649.6099999999997</v>
      </c>
    </row>
    <row r="184" spans="1:11" x14ac:dyDescent="0.35">
      <c r="B184" s="225" t="s">
        <v>308</v>
      </c>
      <c r="C184" s="225" t="s">
        <v>155</v>
      </c>
      <c r="D184" s="225">
        <v>313</v>
      </c>
      <c r="E184" s="225"/>
      <c r="F184" s="225"/>
      <c r="G184" s="225" t="s">
        <v>116</v>
      </c>
      <c r="H184" s="225" t="s">
        <v>322</v>
      </c>
      <c r="I184" s="226" t="s">
        <v>156</v>
      </c>
      <c r="J184" s="227">
        <v>38.08</v>
      </c>
      <c r="K184" s="227">
        <v>4687.6899999999996</v>
      </c>
    </row>
    <row r="185" spans="1:11" x14ac:dyDescent="0.35">
      <c r="B185" s="225" t="s">
        <v>308</v>
      </c>
      <c r="C185" s="225" t="s">
        <v>155</v>
      </c>
      <c r="D185" s="225">
        <v>313</v>
      </c>
      <c r="E185" s="225"/>
      <c r="F185" s="225"/>
      <c r="G185" s="225" t="s">
        <v>122</v>
      </c>
      <c r="H185" s="225" t="s">
        <v>322</v>
      </c>
      <c r="I185" s="226" t="s">
        <v>156</v>
      </c>
      <c r="J185" s="227">
        <v>8.4600000000000009</v>
      </c>
      <c r="K185" s="227">
        <v>4696.1499999999996</v>
      </c>
    </row>
    <row r="186" spans="1:11" x14ac:dyDescent="0.35">
      <c r="B186" s="225" t="s">
        <v>308</v>
      </c>
      <c r="C186" s="225" t="s">
        <v>155</v>
      </c>
      <c r="D186" s="225">
        <v>313</v>
      </c>
      <c r="E186" s="225"/>
      <c r="F186" s="225"/>
      <c r="G186" s="225" t="s">
        <v>320</v>
      </c>
      <c r="H186" s="225" t="s">
        <v>322</v>
      </c>
      <c r="I186" s="226" t="s">
        <v>156</v>
      </c>
      <c r="J186" s="227">
        <v>3388.85</v>
      </c>
      <c r="K186" s="227">
        <v>8085</v>
      </c>
    </row>
    <row r="187" spans="1:11" x14ac:dyDescent="0.35">
      <c r="B187" s="225" t="s">
        <v>308</v>
      </c>
      <c r="C187" s="225" t="s">
        <v>155</v>
      </c>
      <c r="D187" s="225">
        <v>313</v>
      </c>
      <c r="E187" s="225"/>
      <c r="F187" s="225"/>
      <c r="G187" s="225" t="s">
        <v>320</v>
      </c>
      <c r="H187" s="225" t="s">
        <v>322</v>
      </c>
      <c r="I187" s="226" t="s">
        <v>156</v>
      </c>
      <c r="J187" s="227">
        <v>376.54</v>
      </c>
      <c r="K187" s="227">
        <v>8461.5400000000009</v>
      </c>
    </row>
    <row r="188" spans="1:11" x14ac:dyDescent="0.35">
      <c r="A188" s="224" t="s">
        <v>323</v>
      </c>
      <c r="J188" s="228">
        <v>8461.5400000000009</v>
      </c>
    </row>
    <row r="189" spans="1:11" x14ac:dyDescent="0.35">
      <c r="A189" s="224" t="s">
        <v>324</v>
      </c>
    </row>
    <row r="190" spans="1:11" x14ac:dyDescent="0.35">
      <c r="B190" s="225" t="s">
        <v>176</v>
      </c>
      <c r="C190" s="225" t="s">
        <v>155</v>
      </c>
      <c r="D190" s="225">
        <v>312</v>
      </c>
      <c r="E190" s="225"/>
      <c r="F190" s="225"/>
      <c r="G190" s="225" t="s">
        <v>98</v>
      </c>
      <c r="H190" s="225" t="s">
        <v>325</v>
      </c>
      <c r="I190" s="226" t="s">
        <v>156</v>
      </c>
      <c r="J190" s="227">
        <v>1938.46</v>
      </c>
      <c r="K190" s="227">
        <v>1938.46</v>
      </c>
    </row>
    <row r="191" spans="1:11" x14ac:dyDescent="0.35">
      <c r="B191" s="225" t="s">
        <v>176</v>
      </c>
      <c r="C191" s="225" t="s">
        <v>155</v>
      </c>
      <c r="D191" s="225">
        <v>312</v>
      </c>
      <c r="E191" s="225"/>
      <c r="F191" s="225"/>
      <c r="G191" s="225" t="s">
        <v>99</v>
      </c>
      <c r="H191" s="225" t="s">
        <v>325</v>
      </c>
      <c r="I191" s="226" t="s">
        <v>156</v>
      </c>
      <c r="J191" s="227">
        <v>753.85</v>
      </c>
      <c r="K191" s="227">
        <v>2692.31</v>
      </c>
    </row>
    <row r="192" spans="1:11" x14ac:dyDescent="0.35">
      <c r="B192" s="225" t="s">
        <v>308</v>
      </c>
      <c r="C192" s="225" t="s">
        <v>155</v>
      </c>
      <c r="D192" s="225">
        <v>313</v>
      </c>
      <c r="E192" s="225"/>
      <c r="F192" s="225"/>
      <c r="G192" s="225" t="s">
        <v>98</v>
      </c>
      <c r="H192" s="225" t="s">
        <v>327</v>
      </c>
      <c r="I192" s="226" t="s">
        <v>156</v>
      </c>
      <c r="J192" s="227">
        <v>1938.46</v>
      </c>
      <c r="K192" s="227">
        <v>4630.7700000000004</v>
      </c>
    </row>
    <row r="193" spans="1:11" x14ac:dyDescent="0.35">
      <c r="B193" s="225" t="s">
        <v>308</v>
      </c>
      <c r="C193" s="225" t="s">
        <v>155</v>
      </c>
      <c r="D193" s="225">
        <v>313</v>
      </c>
      <c r="E193" s="225"/>
      <c r="F193" s="225"/>
      <c r="G193" s="225" t="s">
        <v>102</v>
      </c>
      <c r="H193" s="225" t="s">
        <v>326</v>
      </c>
      <c r="I193" s="226" t="s">
        <v>156</v>
      </c>
      <c r="J193" s="227">
        <v>2500</v>
      </c>
      <c r="K193" s="227">
        <v>7130.77</v>
      </c>
    </row>
    <row r="194" spans="1:11" x14ac:dyDescent="0.35">
      <c r="B194" s="225" t="s">
        <v>308</v>
      </c>
      <c r="C194" s="225" t="s">
        <v>155</v>
      </c>
      <c r="D194" s="225">
        <v>313</v>
      </c>
      <c r="E194" s="225"/>
      <c r="F194" s="225"/>
      <c r="G194" s="225" t="s">
        <v>99</v>
      </c>
      <c r="H194" s="225" t="s">
        <v>327</v>
      </c>
      <c r="I194" s="226" t="s">
        <v>156</v>
      </c>
      <c r="J194" s="227">
        <v>753.85</v>
      </c>
      <c r="K194" s="227">
        <v>7884.62</v>
      </c>
    </row>
    <row r="195" spans="1:11" x14ac:dyDescent="0.35">
      <c r="A195" s="224" t="s">
        <v>328</v>
      </c>
      <c r="J195" s="228">
        <v>7884.62</v>
      </c>
    </row>
    <row r="196" spans="1:11" x14ac:dyDescent="0.35">
      <c r="A196" s="224" t="s">
        <v>329</v>
      </c>
    </row>
    <row r="197" spans="1:11" x14ac:dyDescent="0.35">
      <c r="B197" s="225" t="s">
        <v>176</v>
      </c>
      <c r="C197" s="225" t="s">
        <v>155</v>
      </c>
      <c r="D197" s="225">
        <v>312</v>
      </c>
      <c r="E197" s="225"/>
      <c r="F197" s="225"/>
      <c r="G197" s="225" t="s">
        <v>102</v>
      </c>
      <c r="H197" s="225" t="s">
        <v>330</v>
      </c>
      <c r="I197" s="226" t="s">
        <v>156</v>
      </c>
      <c r="J197" s="227">
        <v>2500</v>
      </c>
      <c r="K197" s="227">
        <v>2500</v>
      </c>
    </row>
    <row r="198" spans="1:11" x14ac:dyDescent="0.35">
      <c r="A198" s="224" t="s">
        <v>331</v>
      </c>
      <c r="J198" s="228">
        <v>2500</v>
      </c>
    </row>
    <row r="199" spans="1:11" x14ac:dyDescent="0.35">
      <c r="A199" s="224" t="s">
        <v>332</v>
      </c>
      <c r="J199" s="228">
        <v>47307.24</v>
      </c>
    </row>
    <row r="200" spans="1:11" x14ac:dyDescent="0.35">
      <c r="A200" s="224" t="s">
        <v>333</v>
      </c>
    </row>
    <row r="201" spans="1:11" x14ac:dyDescent="0.35">
      <c r="A201" s="224" t="s">
        <v>335</v>
      </c>
    </row>
    <row r="202" spans="1:11" x14ac:dyDescent="0.35">
      <c r="B202" s="225" t="s">
        <v>176</v>
      </c>
      <c r="C202" s="225" t="s">
        <v>155</v>
      </c>
      <c r="D202" s="225">
        <v>312</v>
      </c>
      <c r="E202" s="225"/>
      <c r="F202" s="225"/>
      <c r="G202" s="225" t="s">
        <v>98</v>
      </c>
      <c r="H202" s="225" t="s">
        <v>336</v>
      </c>
      <c r="I202" s="226" t="s">
        <v>156</v>
      </c>
      <c r="J202" s="227">
        <v>222.3</v>
      </c>
      <c r="K202" s="227">
        <v>222.3</v>
      </c>
    </row>
    <row r="203" spans="1:11" x14ac:dyDescent="0.35">
      <c r="B203" s="225" t="s">
        <v>176</v>
      </c>
      <c r="C203" s="225" t="s">
        <v>155</v>
      </c>
      <c r="D203" s="225">
        <v>312</v>
      </c>
      <c r="E203" s="225"/>
      <c r="F203" s="225"/>
      <c r="G203" s="225" t="s">
        <v>99</v>
      </c>
      <c r="H203" s="225" t="s">
        <v>336</v>
      </c>
      <c r="I203" s="226" t="s">
        <v>156</v>
      </c>
      <c r="J203" s="227">
        <v>362.7</v>
      </c>
      <c r="K203" s="227">
        <v>585</v>
      </c>
    </row>
    <row r="204" spans="1:11" x14ac:dyDescent="0.35">
      <c r="B204" s="225" t="s">
        <v>308</v>
      </c>
      <c r="C204" s="225" t="s">
        <v>155</v>
      </c>
      <c r="D204" s="225">
        <v>313</v>
      </c>
      <c r="E204" s="225"/>
      <c r="F204" s="225"/>
      <c r="G204" s="225" t="s">
        <v>99</v>
      </c>
      <c r="H204" s="225" t="s">
        <v>337</v>
      </c>
      <c r="I204" s="226" t="s">
        <v>156</v>
      </c>
      <c r="J204" s="227">
        <v>403</v>
      </c>
      <c r="K204" s="227">
        <v>988</v>
      </c>
    </row>
    <row r="205" spans="1:11" x14ac:dyDescent="0.35">
      <c r="B205" s="225" t="s">
        <v>308</v>
      </c>
      <c r="C205" s="225" t="s">
        <v>155</v>
      </c>
      <c r="D205" s="225">
        <v>313</v>
      </c>
      <c r="E205" s="225"/>
      <c r="F205" s="225"/>
      <c r="G205" s="225" t="s">
        <v>98</v>
      </c>
      <c r="H205" s="225" t="s">
        <v>337</v>
      </c>
      <c r="I205" s="226" t="s">
        <v>156</v>
      </c>
      <c r="J205" s="227">
        <v>247</v>
      </c>
      <c r="K205" s="227">
        <v>1235</v>
      </c>
    </row>
    <row r="206" spans="1:11" x14ac:dyDescent="0.35">
      <c r="A206" s="224" t="s">
        <v>338</v>
      </c>
      <c r="J206" s="228">
        <v>1235</v>
      </c>
    </row>
    <row r="207" spans="1:11" x14ac:dyDescent="0.35">
      <c r="A207" s="224" t="s">
        <v>339</v>
      </c>
    </row>
    <row r="208" spans="1:11" x14ac:dyDescent="0.35">
      <c r="B208" s="225" t="s">
        <v>176</v>
      </c>
      <c r="C208" s="225" t="s">
        <v>155</v>
      </c>
      <c r="D208" s="225">
        <v>312</v>
      </c>
      <c r="E208" s="225"/>
      <c r="F208" s="225"/>
      <c r="G208" s="225" t="s">
        <v>117</v>
      </c>
      <c r="H208" s="225" t="s">
        <v>340</v>
      </c>
      <c r="I208" s="226" t="s">
        <v>156</v>
      </c>
      <c r="J208" s="227">
        <v>721.16</v>
      </c>
      <c r="K208" s="227">
        <v>721.16</v>
      </c>
    </row>
    <row r="209" spans="1:11" x14ac:dyDescent="0.35">
      <c r="B209" s="225" t="s">
        <v>176</v>
      </c>
      <c r="C209" s="225" t="s">
        <v>155</v>
      </c>
      <c r="D209" s="225">
        <v>312</v>
      </c>
      <c r="E209" s="225"/>
      <c r="F209" s="225"/>
      <c r="G209" s="225" t="s">
        <v>117</v>
      </c>
      <c r="H209" s="225" t="s">
        <v>340</v>
      </c>
      <c r="I209" s="226" t="s">
        <v>156</v>
      </c>
      <c r="J209" s="227">
        <v>721.15</v>
      </c>
      <c r="K209" s="227">
        <v>1442.31</v>
      </c>
    </row>
    <row r="210" spans="1:11" x14ac:dyDescent="0.35">
      <c r="B210" s="225" t="s">
        <v>308</v>
      </c>
      <c r="C210" s="225" t="s">
        <v>155</v>
      </c>
      <c r="D210" s="225">
        <v>313</v>
      </c>
      <c r="E210" s="225"/>
      <c r="F210" s="225"/>
      <c r="G210" s="225" t="s">
        <v>117</v>
      </c>
      <c r="H210" s="225" t="s">
        <v>341</v>
      </c>
      <c r="I210" s="226" t="s">
        <v>156</v>
      </c>
      <c r="J210" s="227">
        <v>649.04</v>
      </c>
      <c r="K210" s="227">
        <v>2091.35</v>
      </c>
    </row>
    <row r="211" spans="1:11" x14ac:dyDescent="0.35">
      <c r="B211" s="225" t="s">
        <v>308</v>
      </c>
      <c r="C211" s="225" t="s">
        <v>155</v>
      </c>
      <c r="D211" s="225">
        <v>313</v>
      </c>
      <c r="E211" s="225"/>
      <c r="F211" s="225"/>
      <c r="G211" s="225" t="s">
        <v>117</v>
      </c>
      <c r="H211" s="225" t="s">
        <v>341</v>
      </c>
      <c r="I211" s="226" t="s">
        <v>156</v>
      </c>
      <c r="J211" s="227">
        <v>793.27</v>
      </c>
      <c r="K211" s="227">
        <v>2884.62</v>
      </c>
    </row>
    <row r="212" spans="1:11" x14ac:dyDescent="0.35">
      <c r="A212" s="224" t="s">
        <v>342</v>
      </c>
      <c r="J212" s="228">
        <v>2884.62</v>
      </c>
    </row>
    <row r="213" spans="1:11" x14ac:dyDescent="0.35">
      <c r="A213" s="224" t="s">
        <v>343</v>
      </c>
    </row>
    <row r="214" spans="1:11" x14ac:dyDescent="0.35">
      <c r="B214" s="225" t="s">
        <v>308</v>
      </c>
      <c r="C214" s="225" t="s">
        <v>155</v>
      </c>
      <c r="D214" s="225">
        <v>313</v>
      </c>
      <c r="E214" s="225"/>
      <c r="F214" s="225"/>
      <c r="G214" s="225" t="s">
        <v>99</v>
      </c>
      <c r="H214" s="225" t="s">
        <v>344</v>
      </c>
      <c r="I214" s="226" t="s">
        <v>156</v>
      </c>
      <c r="J214" s="227">
        <v>16.2</v>
      </c>
      <c r="K214" s="227">
        <v>16.2</v>
      </c>
    </row>
    <row r="215" spans="1:11" x14ac:dyDescent="0.35">
      <c r="B215" s="225" t="s">
        <v>308</v>
      </c>
      <c r="C215" s="225" t="s">
        <v>155</v>
      </c>
      <c r="D215" s="225">
        <v>313</v>
      </c>
      <c r="E215" s="225"/>
      <c r="F215" s="225"/>
      <c r="G215" s="225" t="s">
        <v>98</v>
      </c>
      <c r="H215" s="225" t="s">
        <v>344</v>
      </c>
      <c r="I215" s="226" t="s">
        <v>156</v>
      </c>
      <c r="J215" s="227">
        <v>73.8</v>
      </c>
      <c r="K215" s="227">
        <v>90</v>
      </c>
    </row>
    <row r="216" spans="1:11" x14ac:dyDescent="0.35">
      <c r="A216" s="224" t="s">
        <v>345</v>
      </c>
      <c r="J216" s="228">
        <v>90</v>
      </c>
    </row>
    <row r="217" spans="1:11" x14ac:dyDescent="0.35">
      <c r="A217" s="224" t="s">
        <v>346</v>
      </c>
    </row>
    <row r="218" spans="1:11" x14ac:dyDescent="0.35">
      <c r="B218" s="225" t="s">
        <v>176</v>
      </c>
      <c r="C218" s="225" t="s">
        <v>155</v>
      </c>
      <c r="D218" s="225">
        <v>312</v>
      </c>
      <c r="E218" s="225"/>
      <c r="F218" s="225"/>
      <c r="G218" s="225" t="s">
        <v>98</v>
      </c>
      <c r="H218" s="225" t="s">
        <v>347</v>
      </c>
      <c r="I218" s="226" t="s">
        <v>156</v>
      </c>
      <c r="J218" s="227">
        <v>206.91</v>
      </c>
      <c r="K218" s="227">
        <v>206.91</v>
      </c>
    </row>
    <row r="219" spans="1:11" x14ac:dyDescent="0.35">
      <c r="B219" s="225" t="s">
        <v>176</v>
      </c>
      <c r="C219" s="225" t="s">
        <v>155</v>
      </c>
      <c r="D219" s="225">
        <v>312</v>
      </c>
      <c r="E219" s="225"/>
      <c r="F219" s="225"/>
      <c r="G219" s="225" t="s">
        <v>99</v>
      </c>
      <c r="H219" s="225" t="s">
        <v>347</v>
      </c>
      <c r="I219" s="226" t="s">
        <v>156</v>
      </c>
      <c r="J219" s="227">
        <v>337.59</v>
      </c>
      <c r="K219" s="227">
        <v>544.5</v>
      </c>
    </row>
    <row r="220" spans="1:11" x14ac:dyDescent="0.35">
      <c r="B220" s="225" t="s">
        <v>308</v>
      </c>
      <c r="C220" s="225" t="s">
        <v>155</v>
      </c>
      <c r="D220" s="225">
        <v>313</v>
      </c>
      <c r="E220" s="225"/>
      <c r="F220" s="225"/>
      <c r="G220" s="225" t="s">
        <v>98</v>
      </c>
      <c r="H220" s="225" t="s">
        <v>348</v>
      </c>
      <c r="I220" s="226" t="s">
        <v>156</v>
      </c>
      <c r="J220" s="227">
        <v>229.9</v>
      </c>
      <c r="K220" s="227">
        <v>774.4</v>
      </c>
    </row>
    <row r="221" spans="1:11" x14ac:dyDescent="0.35">
      <c r="B221" s="225" t="s">
        <v>308</v>
      </c>
      <c r="C221" s="225" t="s">
        <v>155</v>
      </c>
      <c r="D221" s="225">
        <v>313</v>
      </c>
      <c r="E221" s="225"/>
      <c r="F221" s="225"/>
      <c r="G221" s="225" t="s">
        <v>99</v>
      </c>
      <c r="H221" s="225" t="s">
        <v>348</v>
      </c>
      <c r="I221" s="226" t="s">
        <v>156</v>
      </c>
      <c r="J221" s="227">
        <v>375.1</v>
      </c>
      <c r="K221" s="227">
        <v>1149.5</v>
      </c>
    </row>
    <row r="222" spans="1:11" x14ac:dyDescent="0.35">
      <c r="A222" s="224" t="s">
        <v>349</v>
      </c>
      <c r="J222" s="228">
        <v>1149.5</v>
      </c>
    </row>
    <row r="223" spans="1:11" x14ac:dyDescent="0.35">
      <c r="A223" s="224" t="s">
        <v>350</v>
      </c>
    </row>
    <row r="224" spans="1:11" x14ac:dyDescent="0.35">
      <c r="B224" s="225" t="s">
        <v>176</v>
      </c>
      <c r="C224" s="225" t="s">
        <v>155</v>
      </c>
      <c r="D224" s="225">
        <v>312</v>
      </c>
      <c r="E224" s="225"/>
      <c r="F224" s="225"/>
      <c r="G224" s="225" t="s">
        <v>99</v>
      </c>
      <c r="H224" s="225" t="s">
        <v>351</v>
      </c>
      <c r="I224" s="226" t="s">
        <v>156</v>
      </c>
      <c r="J224" s="227">
        <v>257.60000000000002</v>
      </c>
      <c r="K224" s="227">
        <v>257.60000000000002</v>
      </c>
    </row>
    <row r="225" spans="1:11" x14ac:dyDescent="0.35">
      <c r="B225" s="225" t="s">
        <v>176</v>
      </c>
      <c r="C225" s="225" t="s">
        <v>155</v>
      </c>
      <c r="D225" s="225">
        <v>312</v>
      </c>
      <c r="E225" s="225"/>
      <c r="F225" s="225"/>
      <c r="G225" s="225" t="s">
        <v>98</v>
      </c>
      <c r="H225" s="225" t="s">
        <v>351</v>
      </c>
      <c r="I225" s="226" t="s">
        <v>156</v>
      </c>
      <c r="J225" s="227">
        <v>862.4</v>
      </c>
      <c r="K225" s="227">
        <v>1120</v>
      </c>
    </row>
    <row r="226" spans="1:11" x14ac:dyDescent="0.35">
      <c r="B226" s="225" t="s">
        <v>308</v>
      </c>
      <c r="C226" s="225" t="s">
        <v>155</v>
      </c>
      <c r="D226" s="225">
        <v>313</v>
      </c>
      <c r="E226" s="225"/>
      <c r="F226" s="225"/>
      <c r="G226" s="225" t="s">
        <v>99</v>
      </c>
      <c r="H226" s="225" t="s">
        <v>352</v>
      </c>
      <c r="I226" s="226" t="s">
        <v>156</v>
      </c>
      <c r="J226" s="227">
        <v>258.81</v>
      </c>
      <c r="K226" s="227">
        <v>1378.81</v>
      </c>
    </row>
    <row r="227" spans="1:11" x14ac:dyDescent="0.35">
      <c r="B227" s="225" t="s">
        <v>308</v>
      </c>
      <c r="C227" s="225" t="s">
        <v>155</v>
      </c>
      <c r="D227" s="225">
        <v>313</v>
      </c>
      <c r="E227" s="225"/>
      <c r="F227" s="225"/>
      <c r="G227" s="225" t="s">
        <v>98</v>
      </c>
      <c r="H227" s="225" t="s">
        <v>352</v>
      </c>
      <c r="I227" s="226" t="s">
        <v>156</v>
      </c>
      <c r="J227" s="227">
        <v>866.44</v>
      </c>
      <c r="K227" s="227">
        <v>2245.25</v>
      </c>
    </row>
    <row r="228" spans="1:11" x14ac:dyDescent="0.35">
      <c r="A228" s="224" t="s">
        <v>353</v>
      </c>
      <c r="J228" s="228">
        <v>2245.25</v>
      </c>
    </row>
    <row r="229" spans="1:11" x14ac:dyDescent="0.35">
      <c r="A229" s="224" t="s">
        <v>354</v>
      </c>
    </row>
    <row r="230" spans="1:11" x14ac:dyDescent="0.35">
      <c r="B230" s="225" t="s">
        <v>176</v>
      </c>
      <c r="C230" s="225" t="s">
        <v>155</v>
      </c>
      <c r="D230" s="225">
        <v>312</v>
      </c>
      <c r="E230" s="225"/>
      <c r="F230" s="225"/>
      <c r="G230" s="225" t="s">
        <v>101</v>
      </c>
      <c r="H230" s="225" t="s">
        <v>356</v>
      </c>
      <c r="I230" s="226" t="s">
        <v>156</v>
      </c>
      <c r="J230" s="227">
        <v>960</v>
      </c>
      <c r="K230" s="227">
        <v>960</v>
      </c>
    </row>
    <row r="231" spans="1:11" x14ac:dyDescent="0.35">
      <c r="B231" s="225" t="s">
        <v>176</v>
      </c>
      <c r="C231" s="225" t="s">
        <v>155</v>
      </c>
      <c r="D231" s="225">
        <v>312</v>
      </c>
      <c r="E231" s="225"/>
      <c r="F231" s="225"/>
      <c r="G231" s="225" t="s">
        <v>166</v>
      </c>
      <c r="H231" s="225" t="s">
        <v>359</v>
      </c>
      <c r="I231" s="226" t="s">
        <v>156</v>
      </c>
      <c r="J231" s="227">
        <v>2092.7399999999998</v>
      </c>
      <c r="K231" s="227">
        <v>3052.74</v>
      </c>
    </row>
    <row r="232" spans="1:11" x14ac:dyDescent="0.35">
      <c r="B232" s="225" t="s">
        <v>176</v>
      </c>
      <c r="C232" s="225" t="s">
        <v>155</v>
      </c>
      <c r="D232" s="225">
        <v>312</v>
      </c>
      <c r="E232" s="225"/>
      <c r="F232" s="225"/>
      <c r="G232" s="225" t="s">
        <v>98</v>
      </c>
      <c r="H232" s="225" t="s">
        <v>355</v>
      </c>
      <c r="I232" s="226" t="s">
        <v>156</v>
      </c>
      <c r="J232" s="227">
        <v>2684.05</v>
      </c>
      <c r="K232" s="227">
        <v>5736.79</v>
      </c>
    </row>
    <row r="233" spans="1:11" x14ac:dyDescent="0.35">
      <c r="B233" s="225" t="s">
        <v>176</v>
      </c>
      <c r="C233" s="225" t="s">
        <v>155</v>
      </c>
      <c r="D233" s="225">
        <v>312</v>
      </c>
      <c r="E233" s="225"/>
      <c r="F233" s="225"/>
      <c r="G233" s="225" t="s">
        <v>101</v>
      </c>
      <c r="H233" s="225" t="s">
        <v>357</v>
      </c>
      <c r="I233" s="226" t="s">
        <v>156</v>
      </c>
      <c r="J233" s="227">
        <v>1296.1600000000001</v>
      </c>
      <c r="K233" s="227">
        <v>7032.95</v>
      </c>
    </row>
    <row r="234" spans="1:11" x14ac:dyDescent="0.35">
      <c r="B234" s="225" t="s">
        <v>176</v>
      </c>
      <c r="C234" s="225" t="s">
        <v>155</v>
      </c>
      <c r="D234" s="225">
        <v>312</v>
      </c>
      <c r="E234" s="225"/>
      <c r="F234" s="225"/>
      <c r="G234" s="225" t="s">
        <v>98</v>
      </c>
      <c r="H234" s="225" t="s">
        <v>358</v>
      </c>
      <c r="I234" s="226" t="s">
        <v>156</v>
      </c>
      <c r="J234" s="227">
        <v>1964.88</v>
      </c>
      <c r="K234" s="227">
        <v>8997.83</v>
      </c>
    </row>
    <row r="235" spans="1:11" x14ac:dyDescent="0.35">
      <c r="B235" s="225" t="s">
        <v>308</v>
      </c>
      <c r="C235" s="225" t="s">
        <v>155</v>
      </c>
      <c r="D235" s="225">
        <v>313</v>
      </c>
      <c r="E235" s="225"/>
      <c r="F235" s="225"/>
      <c r="G235" s="225" t="s">
        <v>98</v>
      </c>
      <c r="H235" s="225" t="s">
        <v>363</v>
      </c>
      <c r="I235" s="226" t="s">
        <v>156</v>
      </c>
      <c r="J235" s="227">
        <v>2684.88</v>
      </c>
      <c r="K235" s="227">
        <v>11682.71</v>
      </c>
    </row>
    <row r="236" spans="1:11" x14ac:dyDescent="0.35">
      <c r="B236" s="225" t="s">
        <v>308</v>
      </c>
      <c r="C236" s="225" t="s">
        <v>155</v>
      </c>
      <c r="D236" s="225">
        <v>313</v>
      </c>
      <c r="E236" s="225"/>
      <c r="F236" s="225"/>
      <c r="G236" s="225" t="s">
        <v>101</v>
      </c>
      <c r="H236" s="225" t="s">
        <v>364</v>
      </c>
      <c r="I236" s="226" t="s">
        <v>156</v>
      </c>
      <c r="J236" s="227">
        <v>960</v>
      </c>
      <c r="K236" s="227">
        <v>12642.71</v>
      </c>
    </row>
    <row r="237" spans="1:11" x14ac:dyDescent="0.35">
      <c r="B237" s="225" t="s">
        <v>308</v>
      </c>
      <c r="C237" s="225" t="s">
        <v>155</v>
      </c>
      <c r="D237" s="225">
        <v>313</v>
      </c>
      <c r="E237" s="225"/>
      <c r="F237" s="225"/>
      <c r="G237" s="225" t="s">
        <v>101</v>
      </c>
      <c r="H237" s="225" t="s">
        <v>360</v>
      </c>
      <c r="I237" s="226" t="s">
        <v>156</v>
      </c>
      <c r="J237" s="227">
        <v>1279.52</v>
      </c>
      <c r="K237" s="227">
        <v>13922.23</v>
      </c>
    </row>
    <row r="238" spans="1:11" x14ac:dyDescent="0.35">
      <c r="B238" s="225" t="s">
        <v>308</v>
      </c>
      <c r="C238" s="225" t="s">
        <v>155</v>
      </c>
      <c r="D238" s="225">
        <v>313</v>
      </c>
      <c r="E238" s="225"/>
      <c r="F238" s="225"/>
      <c r="G238" s="225" t="s">
        <v>166</v>
      </c>
      <c r="H238" s="225" t="s">
        <v>361</v>
      </c>
      <c r="I238" s="226" t="s">
        <v>156</v>
      </c>
      <c r="J238" s="227">
        <v>2040.41</v>
      </c>
      <c r="K238" s="227">
        <v>15962.64</v>
      </c>
    </row>
    <row r="239" spans="1:11" x14ac:dyDescent="0.35">
      <c r="B239" s="225" t="s">
        <v>308</v>
      </c>
      <c r="C239" s="225" t="s">
        <v>155</v>
      </c>
      <c r="D239" s="225">
        <v>313</v>
      </c>
      <c r="E239" s="225"/>
      <c r="F239" s="225"/>
      <c r="G239" s="225" t="s">
        <v>98</v>
      </c>
      <c r="H239" s="225" t="s">
        <v>362</v>
      </c>
      <c r="I239" s="226" t="s">
        <v>156</v>
      </c>
      <c r="J239" s="227">
        <v>2165.5500000000002</v>
      </c>
      <c r="K239" s="227">
        <v>18128.189999999999</v>
      </c>
    </row>
    <row r="240" spans="1:11" x14ac:dyDescent="0.35">
      <c r="A240" s="224" t="s">
        <v>365</v>
      </c>
      <c r="J240" s="228">
        <v>18128.189999999999</v>
      </c>
    </row>
    <row r="241" spans="1:11" x14ac:dyDescent="0.35">
      <c r="A241" s="224" t="s">
        <v>366</v>
      </c>
    </row>
    <row r="242" spans="1:11" x14ac:dyDescent="0.35">
      <c r="B242" s="225" t="s">
        <v>176</v>
      </c>
      <c r="C242" s="225" t="s">
        <v>155</v>
      </c>
      <c r="D242" s="225">
        <v>312</v>
      </c>
      <c r="E242" s="225"/>
      <c r="F242" s="225"/>
      <c r="G242" s="225" t="s">
        <v>105</v>
      </c>
      <c r="H242" s="225" t="s">
        <v>367</v>
      </c>
      <c r="I242" s="226" t="s">
        <v>156</v>
      </c>
      <c r="J242" s="227">
        <v>1080</v>
      </c>
      <c r="K242" s="227">
        <v>1080</v>
      </c>
    </row>
    <row r="243" spans="1:11" x14ac:dyDescent="0.35">
      <c r="B243" s="225" t="s">
        <v>308</v>
      </c>
      <c r="C243" s="225" t="s">
        <v>155</v>
      </c>
      <c r="D243" s="225">
        <v>313</v>
      </c>
      <c r="E243" s="225"/>
      <c r="F243" s="225"/>
      <c r="G243" s="225" t="s">
        <v>105</v>
      </c>
      <c r="H243" s="225" t="s">
        <v>368</v>
      </c>
      <c r="I243" s="226" t="s">
        <v>156</v>
      </c>
      <c r="J243" s="227">
        <v>1020</v>
      </c>
      <c r="K243" s="227">
        <v>2100</v>
      </c>
    </row>
    <row r="244" spans="1:11" x14ac:dyDescent="0.35">
      <c r="A244" s="224" t="s">
        <v>369</v>
      </c>
      <c r="J244" s="228">
        <v>2100</v>
      </c>
    </row>
    <row r="245" spans="1:11" x14ac:dyDescent="0.35">
      <c r="A245" s="224" t="s">
        <v>370</v>
      </c>
    </row>
    <row r="246" spans="1:11" x14ac:dyDescent="0.35">
      <c r="B246" s="225" t="s">
        <v>176</v>
      </c>
      <c r="C246" s="225" t="s">
        <v>155</v>
      </c>
      <c r="D246" s="225">
        <v>312</v>
      </c>
      <c r="E246" s="225"/>
      <c r="F246" s="225"/>
      <c r="G246" s="225" t="s">
        <v>108</v>
      </c>
      <c r="H246" s="225" t="s">
        <v>373</v>
      </c>
      <c r="I246" s="226" t="s">
        <v>156</v>
      </c>
      <c r="J246" s="227">
        <v>1323.46</v>
      </c>
      <c r="K246" s="227">
        <v>1323.46</v>
      </c>
    </row>
    <row r="247" spans="1:11" x14ac:dyDescent="0.35">
      <c r="B247" s="225" t="s">
        <v>176</v>
      </c>
      <c r="C247" s="225" t="s">
        <v>155</v>
      </c>
      <c r="D247" s="225">
        <v>312</v>
      </c>
      <c r="E247" s="225"/>
      <c r="F247" s="225"/>
      <c r="G247" s="225" t="s">
        <v>110</v>
      </c>
      <c r="H247" s="225" t="s">
        <v>372</v>
      </c>
      <c r="I247" s="226" t="s">
        <v>156</v>
      </c>
      <c r="J247" s="227">
        <v>625</v>
      </c>
      <c r="K247" s="227">
        <v>1948.46</v>
      </c>
    </row>
    <row r="248" spans="1:11" x14ac:dyDescent="0.35">
      <c r="B248" s="225" t="s">
        <v>176</v>
      </c>
      <c r="C248" s="225" t="s">
        <v>155</v>
      </c>
      <c r="D248" s="225">
        <v>312</v>
      </c>
      <c r="E248" s="225"/>
      <c r="F248" s="225"/>
      <c r="G248" s="225" t="s">
        <v>109</v>
      </c>
      <c r="H248" s="225" t="s">
        <v>372</v>
      </c>
      <c r="I248" s="226" t="s">
        <v>156</v>
      </c>
      <c r="J248" s="227">
        <v>625</v>
      </c>
      <c r="K248" s="227">
        <v>2573.46</v>
      </c>
    </row>
    <row r="249" spans="1:11" x14ac:dyDescent="0.35">
      <c r="B249" s="225" t="s">
        <v>176</v>
      </c>
      <c r="C249" s="225" t="s">
        <v>155</v>
      </c>
      <c r="D249" s="225">
        <v>312</v>
      </c>
      <c r="E249" s="225"/>
      <c r="F249" s="225"/>
      <c r="G249" s="225" t="s">
        <v>106</v>
      </c>
      <c r="H249" s="225" t="s">
        <v>372</v>
      </c>
      <c r="I249" s="226" t="s">
        <v>156</v>
      </c>
      <c r="J249" s="227">
        <v>625</v>
      </c>
      <c r="K249" s="227">
        <v>3198.46</v>
      </c>
    </row>
    <row r="250" spans="1:11" x14ac:dyDescent="0.35">
      <c r="B250" s="225" t="s">
        <v>176</v>
      </c>
      <c r="C250" s="225" t="s">
        <v>155</v>
      </c>
      <c r="D250" s="225">
        <v>312</v>
      </c>
      <c r="E250" s="225"/>
      <c r="F250" s="225"/>
      <c r="G250" s="225" t="s">
        <v>107</v>
      </c>
      <c r="H250" s="225" t="s">
        <v>372</v>
      </c>
      <c r="I250" s="226" t="s">
        <v>156</v>
      </c>
      <c r="J250" s="227">
        <v>450</v>
      </c>
      <c r="K250" s="227">
        <v>3648.46</v>
      </c>
    </row>
    <row r="251" spans="1:11" x14ac:dyDescent="0.35">
      <c r="B251" s="225" t="s">
        <v>176</v>
      </c>
      <c r="C251" s="225" t="s">
        <v>155</v>
      </c>
      <c r="D251" s="225">
        <v>312</v>
      </c>
      <c r="E251" s="225"/>
      <c r="F251" s="225"/>
      <c r="G251" s="225" t="s">
        <v>106</v>
      </c>
      <c r="H251" s="225" t="s">
        <v>373</v>
      </c>
      <c r="I251" s="226" t="s">
        <v>156</v>
      </c>
      <c r="J251" s="227">
        <v>268.27</v>
      </c>
      <c r="K251" s="227">
        <v>3916.73</v>
      </c>
    </row>
    <row r="252" spans="1:11" x14ac:dyDescent="0.35">
      <c r="B252" s="225" t="s">
        <v>176</v>
      </c>
      <c r="C252" s="225" t="s">
        <v>155</v>
      </c>
      <c r="D252" s="225">
        <v>312</v>
      </c>
      <c r="E252" s="225"/>
      <c r="F252" s="225"/>
      <c r="G252" s="225" t="s">
        <v>109</v>
      </c>
      <c r="H252" s="225" t="s">
        <v>373</v>
      </c>
      <c r="I252" s="226" t="s">
        <v>156</v>
      </c>
      <c r="J252" s="227">
        <v>196.73</v>
      </c>
      <c r="K252" s="227">
        <v>4113.46</v>
      </c>
    </row>
    <row r="253" spans="1:11" x14ac:dyDescent="0.35">
      <c r="B253" s="225" t="s">
        <v>176</v>
      </c>
      <c r="C253" s="225" t="s">
        <v>155</v>
      </c>
      <c r="D253" s="225">
        <v>312</v>
      </c>
      <c r="E253" s="225"/>
      <c r="F253" s="225"/>
      <c r="G253" s="225" t="s">
        <v>108</v>
      </c>
      <c r="H253" s="225" t="s">
        <v>372</v>
      </c>
      <c r="I253" s="226" t="s">
        <v>156</v>
      </c>
      <c r="J253" s="227">
        <v>175</v>
      </c>
      <c r="K253" s="227">
        <v>4288.46</v>
      </c>
    </row>
    <row r="254" spans="1:11" x14ac:dyDescent="0.35">
      <c r="B254" s="225" t="s">
        <v>308</v>
      </c>
      <c r="C254" s="225" t="s">
        <v>155</v>
      </c>
      <c r="D254" s="225">
        <v>313</v>
      </c>
      <c r="E254" s="225"/>
      <c r="F254" s="225"/>
      <c r="G254" s="225" t="s">
        <v>108</v>
      </c>
      <c r="H254" s="225" t="s">
        <v>375</v>
      </c>
      <c r="I254" s="226" t="s">
        <v>156</v>
      </c>
      <c r="J254" s="227">
        <v>175</v>
      </c>
      <c r="K254" s="227">
        <v>4463.46</v>
      </c>
    </row>
    <row r="255" spans="1:11" x14ac:dyDescent="0.35">
      <c r="B255" s="225" t="s">
        <v>308</v>
      </c>
      <c r="C255" s="225" t="s">
        <v>155</v>
      </c>
      <c r="D255" s="225">
        <v>313</v>
      </c>
      <c r="E255" s="225"/>
      <c r="F255" s="225"/>
      <c r="G255" s="225" t="s">
        <v>109</v>
      </c>
      <c r="H255" s="225" t="s">
        <v>375</v>
      </c>
      <c r="I255" s="226" t="s">
        <v>156</v>
      </c>
      <c r="J255" s="227">
        <v>625</v>
      </c>
      <c r="K255" s="227">
        <v>5088.46</v>
      </c>
    </row>
    <row r="256" spans="1:11" x14ac:dyDescent="0.35">
      <c r="B256" s="225" t="s">
        <v>308</v>
      </c>
      <c r="C256" s="225" t="s">
        <v>155</v>
      </c>
      <c r="D256" s="225">
        <v>313</v>
      </c>
      <c r="E256" s="225"/>
      <c r="F256" s="225"/>
      <c r="G256" s="225" t="s">
        <v>110</v>
      </c>
      <c r="H256" s="225" t="s">
        <v>375</v>
      </c>
      <c r="I256" s="226" t="s">
        <v>156</v>
      </c>
      <c r="J256" s="227">
        <v>625</v>
      </c>
      <c r="K256" s="227">
        <v>5713.46</v>
      </c>
    </row>
    <row r="257" spans="1:11" x14ac:dyDescent="0.35">
      <c r="B257" s="225" t="s">
        <v>308</v>
      </c>
      <c r="C257" s="225" t="s">
        <v>155</v>
      </c>
      <c r="D257" s="225">
        <v>313</v>
      </c>
      <c r="E257" s="225"/>
      <c r="F257" s="225"/>
      <c r="G257" s="225" t="s">
        <v>106</v>
      </c>
      <c r="H257" s="225" t="s">
        <v>375</v>
      </c>
      <c r="I257" s="226" t="s">
        <v>156</v>
      </c>
      <c r="J257" s="227">
        <v>625</v>
      </c>
      <c r="K257" s="227">
        <v>6338.46</v>
      </c>
    </row>
    <row r="258" spans="1:11" x14ac:dyDescent="0.35">
      <c r="B258" s="225" t="s">
        <v>308</v>
      </c>
      <c r="C258" s="225" t="s">
        <v>155</v>
      </c>
      <c r="D258" s="225">
        <v>313</v>
      </c>
      <c r="E258" s="225"/>
      <c r="F258" s="225"/>
      <c r="G258" s="225" t="s">
        <v>107</v>
      </c>
      <c r="H258" s="225" t="s">
        <v>375</v>
      </c>
      <c r="I258" s="226" t="s">
        <v>156</v>
      </c>
      <c r="J258" s="227">
        <v>450</v>
      </c>
      <c r="K258" s="227">
        <v>6788.46</v>
      </c>
    </row>
    <row r="259" spans="1:11" x14ac:dyDescent="0.35">
      <c r="B259" s="225" t="s">
        <v>308</v>
      </c>
      <c r="C259" s="225" t="s">
        <v>155</v>
      </c>
      <c r="D259" s="225">
        <v>313</v>
      </c>
      <c r="E259" s="225"/>
      <c r="F259" s="225"/>
      <c r="G259" s="225" t="s">
        <v>108</v>
      </c>
      <c r="H259" s="225" t="s">
        <v>374</v>
      </c>
      <c r="I259" s="226" t="s">
        <v>156</v>
      </c>
      <c r="J259" s="227">
        <v>1323.46</v>
      </c>
      <c r="K259" s="227">
        <v>8111.92</v>
      </c>
    </row>
    <row r="260" spans="1:11" x14ac:dyDescent="0.35">
      <c r="B260" s="225" t="s">
        <v>308</v>
      </c>
      <c r="C260" s="225" t="s">
        <v>155</v>
      </c>
      <c r="D260" s="225">
        <v>313</v>
      </c>
      <c r="E260" s="225"/>
      <c r="F260" s="225"/>
      <c r="G260" s="225" t="s">
        <v>106</v>
      </c>
      <c r="H260" s="225" t="s">
        <v>374</v>
      </c>
      <c r="I260" s="226" t="s">
        <v>156</v>
      </c>
      <c r="J260" s="227">
        <v>268.27</v>
      </c>
      <c r="K260" s="227">
        <v>8380.19</v>
      </c>
    </row>
    <row r="261" spans="1:11" x14ac:dyDescent="0.35">
      <c r="B261" s="225" t="s">
        <v>308</v>
      </c>
      <c r="C261" s="225" t="s">
        <v>155</v>
      </c>
      <c r="D261" s="225">
        <v>313</v>
      </c>
      <c r="E261" s="225"/>
      <c r="F261" s="225"/>
      <c r="G261" s="225" t="s">
        <v>109</v>
      </c>
      <c r="H261" s="225" t="s">
        <v>374</v>
      </c>
      <c r="I261" s="226" t="s">
        <v>156</v>
      </c>
      <c r="J261" s="227">
        <v>196.73</v>
      </c>
      <c r="K261" s="227">
        <v>8576.92</v>
      </c>
    </row>
    <row r="262" spans="1:11" x14ac:dyDescent="0.35">
      <c r="A262" s="224" t="s">
        <v>376</v>
      </c>
      <c r="J262" s="228">
        <v>8576.92</v>
      </c>
    </row>
    <row r="263" spans="1:11" x14ac:dyDescent="0.35">
      <c r="A263" s="224" t="s">
        <v>377</v>
      </c>
    </row>
    <row r="264" spans="1:11" x14ac:dyDescent="0.35">
      <c r="B264" s="225" t="s">
        <v>176</v>
      </c>
      <c r="C264" s="225" t="s">
        <v>155</v>
      </c>
      <c r="D264" s="225">
        <v>312</v>
      </c>
      <c r="E264" s="225"/>
      <c r="F264" s="225"/>
      <c r="G264" s="225" t="s">
        <v>100</v>
      </c>
      <c r="H264" s="225" t="s">
        <v>379</v>
      </c>
      <c r="I264" s="226" t="s">
        <v>156</v>
      </c>
      <c r="J264" s="227">
        <v>676.5</v>
      </c>
      <c r="K264" s="227">
        <v>676.5</v>
      </c>
    </row>
    <row r="265" spans="1:11" x14ac:dyDescent="0.35">
      <c r="B265" s="225" t="s">
        <v>176</v>
      </c>
      <c r="C265" s="225" t="s">
        <v>155</v>
      </c>
      <c r="D265" s="225">
        <v>312</v>
      </c>
      <c r="E265" s="225"/>
      <c r="F265" s="225"/>
      <c r="G265" s="225" t="s">
        <v>100</v>
      </c>
      <c r="H265" s="225" t="s">
        <v>378</v>
      </c>
      <c r="I265" s="226" t="s">
        <v>156</v>
      </c>
      <c r="J265" s="227">
        <v>528</v>
      </c>
      <c r="K265" s="227">
        <v>1204.5</v>
      </c>
    </row>
    <row r="266" spans="1:11" x14ac:dyDescent="0.35">
      <c r="B266" s="225" t="s">
        <v>308</v>
      </c>
      <c r="C266" s="225" t="s">
        <v>155</v>
      </c>
      <c r="D266" s="225">
        <v>313</v>
      </c>
      <c r="E266" s="225"/>
      <c r="F266" s="225"/>
      <c r="G266" s="225" t="s">
        <v>100</v>
      </c>
      <c r="H266" s="225" t="s">
        <v>380</v>
      </c>
      <c r="I266" s="226" t="s">
        <v>156</v>
      </c>
      <c r="J266" s="227">
        <v>783.75</v>
      </c>
      <c r="K266" s="227">
        <v>1988.25</v>
      </c>
    </row>
    <row r="267" spans="1:11" x14ac:dyDescent="0.35">
      <c r="B267" s="225" t="s">
        <v>308</v>
      </c>
      <c r="C267" s="225" t="s">
        <v>155</v>
      </c>
      <c r="D267" s="225">
        <v>313</v>
      </c>
      <c r="E267" s="225"/>
      <c r="F267" s="225"/>
      <c r="G267" s="225" t="s">
        <v>100</v>
      </c>
      <c r="H267" s="225" t="s">
        <v>381</v>
      </c>
      <c r="I267" s="226" t="s">
        <v>156</v>
      </c>
      <c r="J267" s="227">
        <v>629.75</v>
      </c>
      <c r="K267" s="227">
        <v>2618</v>
      </c>
    </row>
    <row r="268" spans="1:11" x14ac:dyDescent="0.35">
      <c r="A268" s="224" t="s">
        <v>382</v>
      </c>
      <c r="J268" s="228">
        <v>2618</v>
      </c>
    </row>
    <row r="269" spans="1:11" x14ac:dyDescent="0.35">
      <c r="A269" s="224" t="s">
        <v>383</v>
      </c>
    </row>
    <row r="270" spans="1:11" x14ac:dyDescent="0.35">
      <c r="B270" s="225" t="s">
        <v>176</v>
      </c>
      <c r="C270" s="225" t="s">
        <v>155</v>
      </c>
      <c r="D270" s="225">
        <v>312</v>
      </c>
      <c r="E270" s="225"/>
      <c r="F270" s="225"/>
      <c r="G270" s="225" t="s">
        <v>98</v>
      </c>
      <c r="H270" s="225" t="s">
        <v>384</v>
      </c>
      <c r="I270" s="226" t="s">
        <v>156</v>
      </c>
      <c r="J270" s="227">
        <v>588</v>
      </c>
      <c r="K270" s="227">
        <v>588</v>
      </c>
    </row>
    <row r="271" spans="1:11" x14ac:dyDescent="0.35">
      <c r="B271" s="225" t="s">
        <v>176</v>
      </c>
      <c r="C271" s="225" t="s">
        <v>155</v>
      </c>
      <c r="D271" s="225">
        <v>312</v>
      </c>
      <c r="E271" s="225"/>
      <c r="F271" s="225"/>
      <c r="G271" s="225" t="s">
        <v>98</v>
      </c>
      <c r="H271" s="225" t="s">
        <v>386</v>
      </c>
      <c r="I271" s="226" t="s">
        <v>156</v>
      </c>
      <c r="J271" s="227">
        <v>1541.34</v>
      </c>
      <c r="K271" s="227">
        <v>2129.34</v>
      </c>
    </row>
    <row r="272" spans="1:11" x14ac:dyDescent="0.35">
      <c r="B272" s="225" t="s">
        <v>176</v>
      </c>
      <c r="C272" s="225" t="s">
        <v>155</v>
      </c>
      <c r="D272" s="225">
        <v>312</v>
      </c>
      <c r="E272" s="225"/>
      <c r="F272" s="225"/>
      <c r="G272" s="225" t="s">
        <v>98</v>
      </c>
      <c r="H272" s="225" t="s">
        <v>385</v>
      </c>
      <c r="I272" s="226" t="s">
        <v>156</v>
      </c>
      <c r="J272" s="227">
        <v>1337.23</v>
      </c>
      <c r="K272" s="227">
        <v>3466.57</v>
      </c>
    </row>
    <row r="273" spans="1:11" x14ac:dyDescent="0.35">
      <c r="B273" s="225" t="s">
        <v>308</v>
      </c>
      <c r="C273" s="225" t="s">
        <v>155</v>
      </c>
      <c r="D273" s="225">
        <v>313</v>
      </c>
      <c r="E273" s="225"/>
      <c r="F273" s="225"/>
      <c r="G273" s="225" t="s">
        <v>98</v>
      </c>
      <c r="H273" s="225" t="s">
        <v>388</v>
      </c>
      <c r="I273" s="226" t="s">
        <v>156</v>
      </c>
      <c r="J273" s="227">
        <v>1591.87</v>
      </c>
      <c r="K273" s="227">
        <v>5058.4399999999996</v>
      </c>
    </row>
    <row r="274" spans="1:11" x14ac:dyDescent="0.35">
      <c r="B274" s="225" t="s">
        <v>308</v>
      </c>
      <c r="C274" s="225" t="s">
        <v>155</v>
      </c>
      <c r="D274" s="225">
        <v>313</v>
      </c>
      <c r="E274" s="225"/>
      <c r="F274" s="225"/>
      <c r="G274" s="225" t="s">
        <v>98</v>
      </c>
      <c r="H274" s="225" t="s">
        <v>387</v>
      </c>
      <c r="I274" s="226" t="s">
        <v>156</v>
      </c>
      <c r="J274" s="227">
        <v>90</v>
      </c>
      <c r="K274" s="227">
        <v>5148.4399999999996</v>
      </c>
    </row>
    <row r="275" spans="1:11" x14ac:dyDescent="0.35">
      <c r="B275" s="225" t="s">
        <v>308</v>
      </c>
      <c r="C275" s="225" t="s">
        <v>155</v>
      </c>
      <c r="D275" s="225">
        <v>313</v>
      </c>
      <c r="E275" s="225"/>
      <c r="F275" s="225"/>
      <c r="G275" s="225" t="s">
        <v>98</v>
      </c>
      <c r="H275" s="225" t="s">
        <v>387</v>
      </c>
      <c r="I275" s="226" t="s">
        <v>156</v>
      </c>
      <c r="J275" s="227">
        <v>10</v>
      </c>
      <c r="K275" s="227">
        <v>5158.4399999999996</v>
      </c>
    </row>
    <row r="276" spans="1:11" x14ac:dyDescent="0.35">
      <c r="B276" s="225" t="s">
        <v>308</v>
      </c>
      <c r="C276" s="225" t="s">
        <v>155</v>
      </c>
      <c r="D276" s="225">
        <v>313</v>
      </c>
      <c r="E276" s="225"/>
      <c r="F276" s="225"/>
      <c r="G276" s="225" t="s">
        <v>98</v>
      </c>
      <c r="H276" s="225" t="s">
        <v>387</v>
      </c>
      <c r="I276" s="226" t="s">
        <v>156</v>
      </c>
      <c r="J276" s="227">
        <v>1247.73</v>
      </c>
      <c r="K276" s="227">
        <v>6406.17</v>
      </c>
    </row>
    <row r="277" spans="1:11" x14ac:dyDescent="0.35">
      <c r="A277" s="224" t="s">
        <v>389</v>
      </c>
      <c r="J277" s="228">
        <v>6406.17</v>
      </c>
    </row>
    <row r="278" spans="1:11" x14ac:dyDescent="0.35">
      <c r="A278" s="224" t="s">
        <v>703</v>
      </c>
      <c r="J278" s="228">
        <v>45433.65</v>
      </c>
    </row>
    <row r="279" spans="1:11" x14ac:dyDescent="0.35">
      <c r="A279" s="224" t="s">
        <v>390</v>
      </c>
    </row>
    <row r="280" spans="1:11" x14ac:dyDescent="0.35">
      <c r="B280" s="225" t="s">
        <v>176</v>
      </c>
      <c r="C280" s="225" t="s">
        <v>155</v>
      </c>
      <c r="D280" s="225">
        <v>312</v>
      </c>
      <c r="E280" s="225"/>
      <c r="F280" s="225"/>
      <c r="G280" s="225" t="s">
        <v>98</v>
      </c>
      <c r="H280" s="225" t="s">
        <v>393</v>
      </c>
      <c r="I280" s="226" t="s">
        <v>156</v>
      </c>
      <c r="J280" s="227">
        <v>331.66</v>
      </c>
      <c r="K280" s="227">
        <v>331.66</v>
      </c>
    </row>
    <row r="281" spans="1:11" x14ac:dyDescent="0.35">
      <c r="B281" s="225" t="s">
        <v>176</v>
      </c>
      <c r="C281" s="225" t="s">
        <v>155</v>
      </c>
      <c r="D281" s="225">
        <v>312</v>
      </c>
      <c r="E281" s="225"/>
      <c r="F281" s="225"/>
      <c r="G281" s="225" t="s">
        <v>102</v>
      </c>
      <c r="H281" s="225" t="s">
        <v>391</v>
      </c>
      <c r="I281" s="226" t="s">
        <v>156</v>
      </c>
      <c r="J281" s="227">
        <v>1538.46</v>
      </c>
      <c r="K281" s="227">
        <v>1870.12</v>
      </c>
    </row>
    <row r="282" spans="1:11" x14ac:dyDescent="0.35">
      <c r="B282" s="225" t="s">
        <v>176</v>
      </c>
      <c r="C282" s="225" t="s">
        <v>155</v>
      </c>
      <c r="D282" s="225">
        <v>312</v>
      </c>
      <c r="E282" s="225"/>
      <c r="F282" s="225"/>
      <c r="G282" s="225" t="s">
        <v>102</v>
      </c>
      <c r="H282" s="225" t="s">
        <v>392</v>
      </c>
      <c r="I282" s="226" t="s">
        <v>156</v>
      </c>
      <c r="J282" s="227">
        <v>1005.5</v>
      </c>
      <c r="K282" s="227">
        <v>2875.62</v>
      </c>
    </row>
    <row r="283" spans="1:11" x14ac:dyDescent="0.35">
      <c r="B283" s="225" t="s">
        <v>308</v>
      </c>
      <c r="C283" s="225" t="s">
        <v>155</v>
      </c>
      <c r="D283" s="225">
        <v>313</v>
      </c>
      <c r="E283" s="225"/>
      <c r="F283" s="225"/>
      <c r="G283" s="225" t="s">
        <v>102</v>
      </c>
      <c r="H283" s="225" t="s">
        <v>394</v>
      </c>
      <c r="I283" s="226" t="s">
        <v>156</v>
      </c>
      <c r="J283" s="227">
        <v>989.01</v>
      </c>
      <c r="K283" s="227">
        <v>3864.63</v>
      </c>
    </row>
    <row r="284" spans="1:11" x14ac:dyDescent="0.35">
      <c r="B284" s="225" t="s">
        <v>308</v>
      </c>
      <c r="C284" s="225" t="s">
        <v>155</v>
      </c>
      <c r="D284" s="225">
        <v>313</v>
      </c>
      <c r="E284" s="225"/>
      <c r="F284" s="225"/>
      <c r="G284" s="225" t="s">
        <v>102</v>
      </c>
      <c r="H284" s="225" t="s">
        <v>395</v>
      </c>
      <c r="I284" s="226" t="s">
        <v>156</v>
      </c>
      <c r="J284" s="227">
        <v>1538.46</v>
      </c>
      <c r="K284" s="227">
        <v>5403.09</v>
      </c>
    </row>
    <row r="285" spans="1:11" x14ac:dyDescent="0.35">
      <c r="B285" s="225" t="s">
        <v>308</v>
      </c>
      <c r="C285" s="225" t="s">
        <v>155</v>
      </c>
      <c r="D285" s="225">
        <v>313</v>
      </c>
      <c r="E285" s="225"/>
      <c r="F285" s="225"/>
      <c r="G285" s="225" t="s">
        <v>98</v>
      </c>
      <c r="H285" s="225" t="s">
        <v>396</v>
      </c>
      <c r="I285" s="226" t="s">
        <v>156</v>
      </c>
      <c r="J285" s="227">
        <v>576.79999999999995</v>
      </c>
      <c r="K285" s="227">
        <v>5979.89</v>
      </c>
    </row>
    <row r="286" spans="1:11" x14ac:dyDescent="0.35">
      <c r="A286" s="224" t="s">
        <v>397</v>
      </c>
      <c r="J286" s="228">
        <v>5979.89</v>
      </c>
    </row>
    <row r="287" spans="1:11" x14ac:dyDescent="0.35">
      <c r="A287" s="224" t="s">
        <v>398</v>
      </c>
    </row>
    <row r="288" spans="1:11" x14ac:dyDescent="0.35">
      <c r="B288" s="225" t="s">
        <v>176</v>
      </c>
      <c r="C288" s="225" t="s">
        <v>155</v>
      </c>
      <c r="D288" s="225">
        <v>312</v>
      </c>
      <c r="E288" s="225"/>
      <c r="F288" s="225"/>
      <c r="G288" s="225" t="s">
        <v>320</v>
      </c>
      <c r="H288" s="225" t="s">
        <v>399</v>
      </c>
      <c r="I288" s="226" t="s">
        <v>156</v>
      </c>
      <c r="J288" s="227">
        <v>76.92</v>
      </c>
      <c r="K288" s="227">
        <v>76.92</v>
      </c>
    </row>
    <row r="289" spans="1:11" x14ac:dyDescent="0.35">
      <c r="B289" s="225" t="s">
        <v>176</v>
      </c>
      <c r="C289" s="225" t="s">
        <v>155</v>
      </c>
      <c r="D289" s="225">
        <v>312</v>
      </c>
      <c r="E289" s="225"/>
      <c r="F289" s="225"/>
      <c r="G289" s="225" t="s">
        <v>102</v>
      </c>
      <c r="H289" s="225" t="s">
        <v>399</v>
      </c>
      <c r="I289" s="226" t="s">
        <v>156</v>
      </c>
      <c r="J289" s="227">
        <v>1461.55</v>
      </c>
      <c r="K289" s="227">
        <v>1538.47</v>
      </c>
    </row>
    <row r="290" spans="1:11" x14ac:dyDescent="0.35">
      <c r="B290" s="225" t="s">
        <v>308</v>
      </c>
      <c r="C290" s="225" t="s">
        <v>155</v>
      </c>
      <c r="D290" s="225">
        <v>313</v>
      </c>
      <c r="E290" s="225"/>
      <c r="F290" s="225"/>
      <c r="G290" s="225" t="s">
        <v>320</v>
      </c>
      <c r="H290" s="225" t="s">
        <v>400</v>
      </c>
      <c r="I290" s="226" t="s">
        <v>156</v>
      </c>
      <c r="J290" s="227">
        <v>76.92</v>
      </c>
      <c r="K290" s="227">
        <v>1615.39</v>
      </c>
    </row>
    <row r="291" spans="1:11" x14ac:dyDescent="0.35">
      <c r="B291" s="225" t="s">
        <v>308</v>
      </c>
      <c r="C291" s="225" t="s">
        <v>155</v>
      </c>
      <c r="D291" s="225">
        <v>313</v>
      </c>
      <c r="E291" s="225"/>
      <c r="F291" s="225"/>
      <c r="G291" s="225" t="s">
        <v>102</v>
      </c>
      <c r="H291" s="225" t="s">
        <v>400</v>
      </c>
      <c r="I291" s="226" t="s">
        <v>156</v>
      </c>
      <c r="J291" s="227">
        <v>1461.55</v>
      </c>
      <c r="K291" s="227">
        <v>3076.94</v>
      </c>
    </row>
    <row r="292" spans="1:11" x14ac:dyDescent="0.35">
      <c r="A292" s="224" t="s">
        <v>401</v>
      </c>
      <c r="J292" s="228">
        <v>3076.94</v>
      </c>
    </row>
    <row r="293" spans="1:11" x14ac:dyDescent="0.35">
      <c r="A293" s="224" t="s">
        <v>402</v>
      </c>
    </row>
    <row r="294" spans="1:11" x14ac:dyDescent="0.35">
      <c r="B294" s="225" t="s">
        <v>176</v>
      </c>
      <c r="C294" s="225" t="s">
        <v>155</v>
      </c>
      <c r="D294" s="225">
        <v>312</v>
      </c>
      <c r="E294" s="225"/>
      <c r="F294" s="225"/>
      <c r="G294" s="225" t="s">
        <v>103</v>
      </c>
      <c r="H294" s="225" t="s">
        <v>403</v>
      </c>
      <c r="I294" s="226" t="s">
        <v>156</v>
      </c>
      <c r="J294" s="227">
        <v>1040.77</v>
      </c>
      <c r="K294" s="227">
        <v>1040.77</v>
      </c>
    </row>
    <row r="295" spans="1:11" x14ac:dyDescent="0.35">
      <c r="B295" s="225" t="s">
        <v>176</v>
      </c>
      <c r="C295" s="225" t="s">
        <v>155</v>
      </c>
      <c r="D295" s="225">
        <v>312</v>
      </c>
      <c r="E295" s="225"/>
      <c r="F295" s="225"/>
      <c r="G295" s="225" t="s">
        <v>104</v>
      </c>
      <c r="H295" s="225" t="s">
        <v>403</v>
      </c>
      <c r="I295" s="226" t="s">
        <v>156</v>
      </c>
      <c r="J295" s="227">
        <v>2113.08</v>
      </c>
      <c r="K295" s="227">
        <v>3153.85</v>
      </c>
    </row>
    <row r="296" spans="1:11" x14ac:dyDescent="0.35">
      <c r="B296" s="225" t="s">
        <v>308</v>
      </c>
      <c r="C296" s="225" t="s">
        <v>155</v>
      </c>
      <c r="D296" s="225">
        <v>313</v>
      </c>
      <c r="E296" s="225"/>
      <c r="F296" s="225"/>
      <c r="G296" s="225" t="s">
        <v>104</v>
      </c>
      <c r="H296" s="225" t="s">
        <v>404</v>
      </c>
      <c r="I296" s="226" t="s">
        <v>156</v>
      </c>
      <c r="J296" s="227">
        <v>2113.08</v>
      </c>
      <c r="K296" s="227">
        <v>5266.93</v>
      </c>
    </row>
    <row r="297" spans="1:11" x14ac:dyDescent="0.35">
      <c r="B297" s="225" t="s">
        <v>308</v>
      </c>
      <c r="C297" s="225" t="s">
        <v>155</v>
      </c>
      <c r="D297" s="225">
        <v>313</v>
      </c>
      <c r="E297" s="225"/>
      <c r="F297" s="225"/>
      <c r="G297" s="225" t="s">
        <v>103</v>
      </c>
      <c r="H297" s="225" t="s">
        <v>404</v>
      </c>
      <c r="I297" s="226" t="s">
        <v>156</v>
      </c>
      <c r="J297" s="227">
        <v>1040.77</v>
      </c>
      <c r="K297" s="227">
        <v>6307.7</v>
      </c>
    </row>
    <row r="298" spans="1:11" x14ac:dyDescent="0.35">
      <c r="A298" s="224" t="s">
        <v>405</v>
      </c>
      <c r="J298" s="228">
        <v>6307.7</v>
      </c>
    </row>
    <row r="299" spans="1:11" x14ac:dyDescent="0.35">
      <c r="A299" s="224" t="s">
        <v>406</v>
      </c>
    </row>
    <row r="300" spans="1:11" x14ac:dyDescent="0.35">
      <c r="B300" s="225" t="s">
        <v>176</v>
      </c>
      <c r="C300" s="225" t="s">
        <v>155</v>
      </c>
      <c r="D300" s="225">
        <v>312</v>
      </c>
      <c r="E300" s="225"/>
      <c r="F300" s="225"/>
      <c r="G300" s="225" t="s">
        <v>103</v>
      </c>
      <c r="H300" s="225" t="s">
        <v>407</v>
      </c>
      <c r="I300" s="226" t="s">
        <v>156</v>
      </c>
      <c r="J300" s="227">
        <v>2115.39</v>
      </c>
      <c r="K300" s="227">
        <v>2115.39</v>
      </c>
    </row>
    <row r="301" spans="1:11" x14ac:dyDescent="0.35">
      <c r="B301" s="225" t="s">
        <v>308</v>
      </c>
      <c r="C301" s="225" t="s">
        <v>155</v>
      </c>
      <c r="D301" s="225">
        <v>313</v>
      </c>
      <c r="E301" s="225"/>
      <c r="F301" s="225"/>
      <c r="G301" s="225" t="s">
        <v>103</v>
      </c>
      <c r="H301" s="225" t="s">
        <v>408</v>
      </c>
      <c r="I301" s="226" t="s">
        <v>156</v>
      </c>
      <c r="J301" s="227">
        <v>2115.39</v>
      </c>
      <c r="K301" s="227">
        <v>4230.78</v>
      </c>
    </row>
    <row r="302" spans="1:11" x14ac:dyDescent="0.35">
      <c r="A302" s="224" t="s">
        <v>409</v>
      </c>
      <c r="J302" s="228">
        <v>4230.78</v>
      </c>
    </row>
    <row r="303" spans="1:11" x14ac:dyDescent="0.35">
      <c r="A303" s="224" t="s">
        <v>410</v>
      </c>
    </row>
    <row r="304" spans="1:11" x14ac:dyDescent="0.35">
      <c r="B304" s="225" t="s">
        <v>176</v>
      </c>
      <c r="C304" s="225" t="s">
        <v>155</v>
      </c>
      <c r="D304" s="225">
        <v>312</v>
      </c>
      <c r="E304" s="225"/>
      <c r="F304" s="225"/>
      <c r="G304" s="225" t="s">
        <v>105</v>
      </c>
      <c r="H304" s="225" t="s">
        <v>411</v>
      </c>
      <c r="I304" s="226" t="s">
        <v>156</v>
      </c>
      <c r="J304" s="227">
        <v>1538.46</v>
      </c>
      <c r="K304" s="227">
        <v>1538.46</v>
      </c>
    </row>
    <row r="305" spans="1:11" x14ac:dyDescent="0.35">
      <c r="B305" s="225" t="s">
        <v>308</v>
      </c>
      <c r="C305" s="225" t="s">
        <v>155</v>
      </c>
      <c r="D305" s="225">
        <v>313</v>
      </c>
      <c r="E305" s="225"/>
      <c r="F305" s="225"/>
      <c r="G305" s="225" t="s">
        <v>105</v>
      </c>
      <c r="H305" s="225" t="s">
        <v>412</v>
      </c>
      <c r="I305" s="226" t="s">
        <v>156</v>
      </c>
      <c r="J305" s="227">
        <v>1538.46</v>
      </c>
      <c r="K305" s="227">
        <v>3076.92</v>
      </c>
    </row>
    <row r="306" spans="1:11" x14ac:dyDescent="0.35">
      <c r="A306" s="224" t="s">
        <v>413</v>
      </c>
      <c r="J306" s="228">
        <v>3076.92</v>
      </c>
    </row>
    <row r="307" spans="1:11" x14ac:dyDescent="0.35">
      <c r="A307" s="224" t="s">
        <v>704</v>
      </c>
      <c r="J307" s="228">
        <v>115413.12</v>
      </c>
    </row>
    <row r="308" spans="1:11" x14ac:dyDescent="0.35">
      <c r="A308" s="224" t="s">
        <v>414</v>
      </c>
    </row>
    <row r="309" spans="1:11" x14ac:dyDescent="0.35">
      <c r="A309" s="224" t="s">
        <v>415</v>
      </c>
    </row>
    <row r="310" spans="1:11" x14ac:dyDescent="0.35">
      <c r="B310" s="225" t="s">
        <v>191</v>
      </c>
      <c r="C310" s="225" t="s">
        <v>287</v>
      </c>
      <c r="D310" s="225">
        <v>293512262</v>
      </c>
      <c r="E310" s="225" t="s">
        <v>416</v>
      </c>
      <c r="F310" s="225"/>
      <c r="G310" s="225" t="s">
        <v>112</v>
      </c>
      <c r="H310" s="225" t="s">
        <v>419</v>
      </c>
      <c r="I310" s="225" t="s">
        <v>288</v>
      </c>
      <c r="J310" s="227">
        <v>854.68</v>
      </c>
      <c r="K310" s="227">
        <v>854.68</v>
      </c>
    </row>
    <row r="311" spans="1:11" x14ac:dyDescent="0.35">
      <c r="B311" s="225" t="s">
        <v>191</v>
      </c>
      <c r="C311" s="225" t="s">
        <v>287</v>
      </c>
      <c r="D311" s="225">
        <v>293512262</v>
      </c>
      <c r="E311" s="225" t="s">
        <v>416</v>
      </c>
      <c r="F311" s="225"/>
      <c r="G311" s="225" t="s">
        <v>371</v>
      </c>
      <c r="H311" s="225" t="s">
        <v>418</v>
      </c>
      <c r="I311" s="225" t="s">
        <v>288</v>
      </c>
      <c r="J311" s="227">
        <v>897.33</v>
      </c>
      <c r="K311" s="227">
        <v>1752.01</v>
      </c>
    </row>
    <row r="312" spans="1:11" x14ac:dyDescent="0.35">
      <c r="B312" s="225" t="s">
        <v>191</v>
      </c>
      <c r="C312" s="225" t="s">
        <v>287</v>
      </c>
      <c r="D312" s="225">
        <v>293512262</v>
      </c>
      <c r="E312" s="225" t="s">
        <v>416</v>
      </c>
      <c r="F312" s="225"/>
      <c r="G312" s="225" t="s">
        <v>106</v>
      </c>
      <c r="H312" s="225" t="s">
        <v>417</v>
      </c>
      <c r="I312" s="225" t="s">
        <v>288</v>
      </c>
      <c r="J312" s="227">
        <v>897.33</v>
      </c>
      <c r="K312" s="227">
        <v>2649.34</v>
      </c>
    </row>
    <row r="313" spans="1:11" x14ac:dyDescent="0.35">
      <c r="B313" s="225" t="s">
        <v>191</v>
      </c>
      <c r="C313" s="225" t="s">
        <v>287</v>
      </c>
      <c r="D313" s="225">
        <v>293512262</v>
      </c>
      <c r="E313" s="225" t="s">
        <v>416</v>
      </c>
      <c r="F313" s="225"/>
      <c r="G313" s="225" t="s">
        <v>320</v>
      </c>
      <c r="H313" s="225" t="s">
        <v>422</v>
      </c>
      <c r="I313" s="225" t="s">
        <v>288</v>
      </c>
      <c r="J313" s="227">
        <v>1028.1199999999999</v>
      </c>
      <c r="K313" s="227">
        <v>3677.46</v>
      </c>
    </row>
    <row r="314" spans="1:11" x14ac:dyDescent="0.35">
      <c r="B314" s="225" t="s">
        <v>191</v>
      </c>
      <c r="C314" s="225" t="s">
        <v>287</v>
      </c>
      <c r="D314" s="225">
        <v>293512262</v>
      </c>
      <c r="E314" s="225" t="s">
        <v>416</v>
      </c>
      <c r="F314" s="225"/>
      <c r="G314" s="225" t="s">
        <v>117</v>
      </c>
      <c r="H314" s="225" t="s">
        <v>426</v>
      </c>
      <c r="I314" s="225" t="s">
        <v>288</v>
      </c>
      <c r="J314" s="227">
        <v>1068.1300000000001</v>
      </c>
      <c r="K314" s="227">
        <v>4745.59</v>
      </c>
    </row>
    <row r="315" spans="1:11" x14ac:dyDescent="0.35">
      <c r="B315" s="225" t="s">
        <v>191</v>
      </c>
      <c r="C315" s="225" t="s">
        <v>287</v>
      </c>
      <c r="D315" s="225">
        <v>293512262</v>
      </c>
      <c r="E315" s="225" t="s">
        <v>416</v>
      </c>
      <c r="F315" s="225"/>
      <c r="G315" s="225" t="s">
        <v>174</v>
      </c>
      <c r="H315" s="225" t="s">
        <v>420</v>
      </c>
      <c r="I315" s="225" t="s">
        <v>288</v>
      </c>
      <c r="J315" s="227">
        <v>365.26</v>
      </c>
      <c r="K315" s="227">
        <v>5110.8500000000004</v>
      </c>
    </row>
    <row r="316" spans="1:11" x14ac:dyDescent="0.35">
      <c r="B316" s="225" t="s">
        <v>191</v>
      </c>
      <c r="C316" s="225" t="s">
        <v>287</v>
      </c>
      <c r="D316" s="225">
        <v>293512262</v>
      </c>
      <c r="E316" s="225" t="s">
        <v>416</v>
      </c>
      <c r="F316" s="225"/>
      <c r="G316" s="225" t="s">
        <v>103</v>
      </c>
      <c r="H316" s="225" t="s">
        <v>424</v>
      </c>
      <c r="I316" s="225" t="s">
        <v>288</v>
      </c>
      <c r="J316" s="227">
        <v>1371.53</v>
      </c>
      <c r="K316" s="227">
        <v>6482.38</v>
      </c>
    </row>
    <row r="317" spans="1:11" x14ac:dyDescent="0.35">
      <c r="B317" s="225" t="s">
        <v>191</v>
      </c>
      <c r="C317" s="225" t="s">
        <v>287</v>
      </c>
      <c r="D317" s="225">
        <v>293512262</v>
      </c>
      <c r="E317" s="225" t="s">
        <v>416</v>
      </c>
      <c r="F317" s="225"/>
      <c r="G317" s="225" t="s">
        <v>101</v>
      </c>
      <c r="H317" s="225" t="s">
        <v>423</v>
      </c>
      <c r="I317" s="225" t="s">
        <v>288</v>
      </c>
      <c r="J317" s="227">
        <v>2014.41</v>
      </c>
      <c r="K317" s="227">
        <v>8496.7900000000009</v>
      </c>
    </row>
    <row r="318" spans="1:11" x14ac:dyDescent="0.35">
      <c r="B318" s="225" t="s">
        <v>191</v>
      </c>
      <c r="C318" s="225" t="s">
        <v>287</v>
      </c>
      <c r="D318" s="225">
        <v>293512262</v>
      </c>
      <c r="E318" s="225" t="s">
        <v>416</v>
      </c>
      <c r="F318" s="225"/>
      <c r="G318" s="225" t="s">
        <v>102</v>
      </c>
      <c r="H318" s="225" t="s">
        <v>421</v>
      </c>
      <c r="I318" s="225" t="s">
        <v>288</v>
      </c>
      <c r="J318" s="227">
        <v>3581.26</v>
      </c>
      <c r="K318" s="227">
        <v>12078.05</v>
      </c>
    </row>
    <row r="319" spans="1:11" x14ac:dyDescent="0.35">
      <c r="B319" s="225" t="s">
        <v>191</v>
      </c>
      <c r="C319" s="225" t="s">
        <v>287</v>
      </c>
      <c r="D319" s="225">
        <v>293512262</v>
      </c>
      <c r="E319" s="225" t="s">
        <v>416</v>
      </c>
      <c r="F319" s="225"/>
      <c r="G319" s="225" t="s">
        <v>98</v>
      </c>
      <c r="H319" s="225" t="s">
        <v>421</v>
      </c>
      <c r="I319" s="225" t="s">
        <v>288</v>
      </c>
      <c r="J319" s="227">
        <v>6576.97</v>
      </c>
      <c r="K319" s="227">
        <v>18655.02</v>
      </c>
    </row>
    <row r="320" spans="1:11" x14ac:dyDescent="0.35">
      <c r="B320" s="225" t="s">
        <v>191</v>
      </c>
      <c r="C320" s="225" t="s">
        <v>287</v>
      </c>
      <c r="D320" s="225">
        <v>293512262</v>
      </c>
      <c r="E320" s="225" t="s">
        <v>416</v>
      </c>
      <c r="F320" s="225"/>
      <c r="G320" s="225" t="s">
        <v>122</v>
      </c>
      <c r="H320" s="225" t="s">
        <v>425</v>
      </c>
      <c r="I320" s="225" t="s">
        <v>288</v>
      </c>
      <c r="J320" s="227">
        <v>1361.2</v>
      </c>
      <c r="K320" s="227">
        <v>20016.22</v>
      </c>
    </row>
    <row r="321" spans="1:11" x14ac:dyDescent="0.35">
      <c r="A321" s="224" t="s">
        <v>427</v>
      </c>
      <c r="J321" s="228">
        <v>20016.22</v>
      </c>
    </row>
    <row r="322" spans="1:11" x14ac:dyDescent="0.35">
      <c r="A322" s="224" t="s">
        <v>428</v>
      </c>
    </row>
    <row r="323" spans="1:11" x14ac:dyDescent="0.35">
      <c r="B323" s="225" t="s">
        <v>191</v>
      </c>
      <c r="C323" s="225" t="s">
        <v>287</v>
      </c>
      <c r="D323" s="225" t="s">
        <v>432</v>
      </c>
      <c r="E323" s="225" t="s">
        <v>429</v>
      </c>
      <c r="F323" s="225"/>
      <c r="G323" s="225" t="s">
        <v>106</v>
      </c>
      <c r="H323" s="225" t="s">
        <v>430</v>
      </c>
      <c r="I323" s="225" t="s">
        <v>288</v>
      </c>
      <c r="J323" s="227">
        <v>23.91</v>
      </c>
      <c r="K323" s="227">
        <v>23.91</v>
      </c>
    </row>
    <row r="324" spans="1:11" x14ac:dyDescent="0.35">
      <c r="B324" s="225" t="s">
        <v>191</v>
      </c>
      <c r="C324" s="225" t="s">
        <v>287</v>
      </c>
      <c r="D324" s="225" t="s">
        <v>432</v>
      </c>
      <c r="E324" s="225" t="s">
        <v>429</v>
      </c>
      <c r="F324" s="225"/>
      <c r="G324" s="225" t="s">
        <v>371</v>
      </c>
      <c r="H324" s="225" t="s">
        <v>430</v>
      </c>
      <c r="I324" s="225" t="s">
        <v>288</v>
      </c>
      <c r="J324" s="227">
        <v>23.91</v>
      </c>
      <c r="K324" s="227">
        <v>47.82</v>
      </c>
    </row>
    <row r="325" spans="1:11" x14ac:dyDescent="0.35">
      <c r="B325" s="225" t="s">
        <v>191</v>
      </c>
      <c r="C325" s="225" t="s">
        <v>287</v>
      </c>
      <c r="D325" s="225" t="s">
        <v>432</v>
      </c>
      <c r="E325" s="225" t="s">
        <v>429</v>
      </c>
      <c r="F325" s="225"/>
      <c r="G325" s="225" t="s">
        <v>174</v>
      </c>
      <c r="H325" s="225" t="s">
        <v>430</v>
      </c>
      <c r="I325" s="225" t="s">
        <v>288</v>
      </c>
      <c r="J325" s="227">
        <v>29.1</v>
      </c>
      <c r="K325" s="227">
        <v>76.92</v>
      </c>
    </row>
    <row r="326" spans="1:11" x14ac:dyDescent="0.35">
      <c r="B326" s="225" t="s">
        <v>191</v>
      </c>
      <c r="C326" s="225" t="s">
        <v>287</v>
      </c>
      <c r="D326" s="225" t="s">
        <v>432</v>
      </c>
      <c r="E326" s="225" t="s">
        <v>429</v>
      </c>
      <c r="F326" s="225"/>
      <c r="G326" s="225" t="s">
        <v>320</v>
      </c>
      <c r="H326" s="225" t="s">
        <v>430</v>
      </c>
      <c r="I326" s="225" t="s">
        <v>288</v>
      </c>
      <c r="J326" s="227">
        <v>52.71</v>
      </c>
      <c r="K326" s="227">
        <v>129.63</v>
      </c>
    </row>
    <row r="327" spans="1:11" x14ac:dyDescent="0.35">
      <c r="B327" s="225" t="s">
        <v>191</v>
      </c>
      <c r="C327" s="225" t="s">
        <v>287</v>
      </c>
      <c r="D327" s="225" t="s">
        <v>432</v>
      </c>
      <c r="E327" s="225" t="s">
        <v>429</v>
      </c>
      <c r="F327" s="225"/>
      <c r="G327" s="225" t="s">
        <v>112</v>
      </c>
      <c r="H327" s="225" t="s">
        <v>431</v>
      </c>
      <c r="I327" s="225" t="s">
        <v>288</v>
      </c>
      <c r="J327" s="227">
        <v>68.06</v>
      </c>
      <c r="K327" s="227">
        <v>197.69</v>
      </c>
    </row>
    <row r="328" spans="1:11" x14ac:dyDescent="0.35">
      <c r="B328" s="225" t="s">
        <v>191</v>
      </c>
      <c r="C328" s="225" t="s">
        <v>287</v>
      </c>
      <c r="D328" s="225" t="s">
        <v>432</v>
      </c>
      <c r="E328" s="225" t="s">
        <v>429</v>
      </c>
      <c r="F328" s="225"/>
      <c r="G328" s="225" t="s">
        <v>117</v>
      </c>
      <c r="H328" s="225" t="s">
        <v>430</v>
      </c>
      <c r="I328" s="225" t="s">
        <v>288</v>
      </c>
      <c r="J328" s="227">
        <v>93.22</v>
      </c>
      <c r="K328" s="227">
        <v>290.91000000000003</v>
      </c>
    </row>
    <row r="329" spans="1:11" x14ac:dyDescent="0.35">
      <c r="B329" s="225" t="s">
        <v>191</v>
      </c>
      <c r="C329" s="225" t="s">
        <v>287</v>
      </c>
      <c r="D329" s="225" t="s">
        <v>432</v>
      </c>
      <c r="E329" s="225" t="s">
        <v>429</v>
      </c>
      <c r="F329" s="225"/>
      <c r="G329" s="225" t="s">
        <v>122</v>
      </c>
      <c r="H329" s="225" t="s">
        <v>430</v>
      </c>
      <c r="I329" s="225" t="s">
        <v>288</v>
      </c>
      <c r="J329" s="227">
        <v>116.32</v>
      </c>
      <c r="K329" s="227">
        <v>407.23</v>
      </c>
    </row>
    <row r="330" spans="1:11" x14ac:dyDescent="0.35">
      <c r="B330" s="225" t="s">
        <v>191</v>
      </c>
      <c r="C330" s="225" t="s">
        <v>287</v>
      </c>
      <c r="D330" s="225" t="s">
        <v>432</v>
      </c>
      <c r="E330" s="225" t="s">
        <v>429</v>
      </c>
      <c r="F330" s="225"/>
      <c r="G330" s="225" t="s">
        <v>101</v>
      </c>
      <c r="H330" s="225" t="s">
        <v>430</v>
      </c>
      <c r="I330" s="225" t="s">
        <v>288</v>
      </c>
      <c r="J330" s="227">
        <v>122.13</v>
      </c>
      <c r="K330" s="227">
        <v>529.36</v>
      </c>
    </row>
    <row r="331" spans="1:11" x14ac:dyDescent="0.35">
      <c r="B331" s="225" t="s">
        <v>191</v>
      </c>
      <c r="C331" s="225" t="s">
        <v>287</v>
      </c>
      <c r="D331" s="225" t="s">
        <v>432</v>
      </c>
      <c r="E331" s="225" t="s">
        <v>429</v>
      </c>
      <c r="F331" s="225"/>
      <c r="G331" s="225" t="s">
        <v>159</v>
      </c>
      <c r="H331" s="225" t="s">
        <v>430</v>
      </c>
      <c r="I331" s="225" t="s">
        <v>288</v>
      </c>
      <c r="J331" s="227">
        <v>129.27000000000001</v>
      </c>
      <c r="K331" s="227">
        <v>658.63</v>
      </c>
    </row>
    <row r="332" spans="1:11" x14ac:dyDescent="0.35">
      <c r="B332" s="225" t="s">
        <v>191</v>
      </c>
      <c r="C332" s="225" t="s">
        <v>287</v>
      </c>
      <c r="D332" s="225" t="s">
        <v>432</v>
      </c>
      <c r="E332" s="225" t="s">
        <v>429</v>
      </c>
      <c r="F332" s="225"/>
      <c r="G332" s="225" t="s">
        <v>103</v>
      </c>
      <c r="H332" s="225" t="s">
        <v>430</v>
      </c>
      <c r="I332" s="225" t="s">
        <v>288</v>
      </c>
      <c r="J332" s="227">
        <v>149.55000000000001</v>
      </c>
      <c r="K332" s="227">
        <v>808.18</v>
      </c>
    </row>
    <row r="333" spans="1:11" x14ac:dyDescent="0.35">
      <c r="B333" s="225" t="s">
        <v>191</v>
      </c>
      <c r="C333" s="225" t="s">
        <v>287</v>
      </c>
      <c r="D333" s="225" t="s">
        <v>432</v>
      </c>
      <c r="E333" s="225" t="s">
        <v>429</v>
      </c>
      <c r="F333" s="225"/>
      <c r="G333" s="225" t="s">
        <v>98</v>
      </c>
      <c r="H333" s="225" t="s">
        <v>430</v>
      </c>
      <c r="I333" s="225" t="s">
        <v>288</v>
      </c>
      <c r="J333" s="227">
        <v>441.72</v>
      </c>
      <c r="K333" s="227">
        <v>1249.9000000000001</v>
      </c>
    </row>
    <row r="334" spans="1:11" x14ac:dyDescent="0.35">
      <c r="B334" s="225" t="s">
        <v>191</v>
      </c>
      <c r="C334" s="225" t="s">
        <v>287</v>
      </c>
      <c r="D334" s="225" t="s">
        <v>432</v>
      </c>
      <c r="E334" s="225" t="s">
        <v>429</v>
      </c>
      <c r="F334" s="225"/>
      <c r="G334" s="225" t="s">
        <v>102</v>
      </c>
      <c r="H334" s="225" t="s">
        <v>430</v>
      </c>
      <c r="I334" s="225" t="s">
        <v>288</v>
      </c>
      <c r="J334" s="227">
        <v>241.2</v>
      </c>
      <c r="K334" s="227">
        <v>1491.1</v>
      </c>
    </row>
    <row r="335" spans="1:11" x14ac:dyDescent="0.35">
      <c r="A335" s="224" t="s">
        <v>433</v>
      </c>
      <c r="J335" s="228">
        <v>1491.1</v>
      </c>
    </row>
    <row r="336" spans="1:11" x14ac:dyDescent="0.35">
      <c r="A336" s="224" t="s">
        <v>434</v>
      </c>
      <c r="J336" s="228">
        <v>21507.32</v>
      </c>
    </row>
    <row r="337" spans="1:11" x14ac:dyDescent="0.35">
      <c r="A337" s="224" t="s">
        <v>435</v>
      </c>
    </row>
    <row r="338" spans="1:11" x14ac:dyDescent="0.35">
      <c r="A338" s="224" t="s">
        <v>725</v>
      </c>
    </row>
    <row r="339" spans="1:11" x14ac:dyDescent="0.35">
      <c r="B339" s="225" t="s">
        <v>180</v>
      </c>
      <c r="C339" s="225" t="s">
        <v>155</v>
      </c>
      <c r="D339" s="225">
        <v>215</v>
      </c>
      <c r="E339" s="225"/>
      <c r="F339" s="225"/>
      <c r="G339" s="225" t="s">
        <v>304</v>
      </c>
      <c r="H339" s="225" t="s">
        <v>726</v>
      </c>
      <c r="I339" s="226" t="s">
        <v>156</v>
      </c>
      <c r="J339" s="227">
        <v>6787</v>
      </c>
      <c r="K339" s="227">
        <v>6787</v>
      </c>
    </row>
    <row r="340" spans="1:11" x14ac:dyDescent="0.35">
      <c r="A340" s="224" t="s">
        <v>727</v>
      </c>
      <c r="J340" s="228">
        <v>6787</v>
      </c>
    </row>
    <row r="341" spans="1:11" x14ac:dyDescent="0.35">
      <c r="A341" s="224" t="s">
        <v>436</v>
      </c>
    </row>
    <row r="342" spans="1:11" x14ac:dyDescent="0.35">
      <c r="B342" s="225" t="s">
        <v>176</v>
      </c>
      <c r="C342" s="225" t="s">
        <v>155</v>
      </c>
      <c r="D342" s="225">
        <v>312</v>
      </c>
      <c r="E342" s="225"/>
      <c r="F342" s="225"/>
      <c r="G342" s="225" t="s">
        <v>159</v>
      </c>
      <c r="H342" s="225" t="s">
        <v>307</v>
      </c>
      <c r="I342" s="226" t="s">
        <v>156</v>
      </c>
      <c r="J342" s="227">
        <v>555.16999999999996</v>
      </c>
      <c r="K342" s="227">
        <v>555.16999999999996</v>
      </c>
    </row>
    <row r="343" spans="1:11" x14ac:dyDescent="0.35">
      <c r="B343" s="225" t="s">
        <v>176</v>
      </c>
      <c r="C343" s="225" t="s">
        <v>155</v>
      </c>
      <c r="D343" s="225">
        <v>312</v>
      </c>
      <c r="E343" s="225"/>
      <c r="F343" s="225"/>
      <c r="G343" s="225" t="s">
        <v>320</v>
      </c>
      <c r="H343" s="225" t="s">
        <v>321</v>
      </c>
      <c r="I343" s="226" t="s">
        <v>156</v>
      </c>
      <c r="J343" s="227">
        <v>342.25</v>
      </c>
      <c r="K343" s="227">
        <v>897.42</v>
      </c>
    </row>
    <row r="344" spans="1:11" x14ac:dyDescent="0.35">
      <c r="B344" s="225" t="s">
        <v>176</v>
      </c>
      <c r="C344" s="225" t="s">
        <v>155</v>
      </c>
      <c r="D344" s="225">
        <v>312</v>
      </c>
      <c r="E344" s="225"/>
      <c r="F344" s="225"/>
      <c r="G344" s="225" t="s">
        <v>98</v>
      </c>
      <c r="H344" s="225" t="s">
        <v>355</v>
      </c>
      <c r="I344" s="226" t="s">
        <v>156</v>
      </c>
      <c r="J344" s="227">
        <v>272.72000000000003</v>
      </c>
      <c r="K344" s="227">
        <v>1170.1400000000001</v>
      </c>
    </row>
    <row r="345" spans="1:11" x14ac:dyDescent="0.35">
      <c r="B345" s="225" t="s">
        <v>176</v>
      </c>
      <c r="C345" s="225" t="s">
        <v>155</v>
      </c>
      <c r="D345" s="225">
        <v>312</v>
      </c>
      <c r="E345" s="225"/>
      <c r="F345" s="225"/>
      <c r="G345" s="225" t="s">
        <v>102</v>
      </c>
      <c r="H345" s="225" t="s">
        <v>330</v>
      </c>
      <c r="I345" s="226" t="s">
        <v>156</v>
      </c>
      <c r="J345" s="227">
        <v>253.69</v>
      </c>
      <c r="K345" s="227">
        <v>1423.83</v>
      </c>
    </row>
    <row r="346" spans="1:11" x14ac:dyDescent="0.35">
      <c r="B346" s="225" t="s">
        <v>176</v>
      </c>
      <c r="C346" s="225" t="s">
        <v>155</v>
      </c>
      <c r="D346" s="225">
        <v>312</v>
      </c>
      <c r="E346" s="225"/>
      <c r="F346" s="225"/>
      <c r="G346" s="225" t="s">
        <v>104</v>
      </c>
      <c r="H346" s="225" t="s">
        <v>403</v>
      </c>
      <c r="I346" s="226" t="s">
        <v>156</v>
      </c>
      <c r="J346" s="227">
        <v>220.82</v>
      </c>
      <c r="K346" s="227">
        <v>1644.65</v>
      </c>
    </row>
    <row r="347" spans="1:11" x14ac:dyDescent="0.35">
      <c r="B347" s="225" t="s">
        <v>176</v>
      </c>
      <c r="C347" s="225" t="s">
        <v>155</v>
      </c>
      <c r="D347" s="225">
        <v>312</v>
      </c>
      <c r="E347" s="225"/>
      <c r="F347" s="225"/>
      <c r="G347" s="225" t="s">
        <v>103</v>
      </c>
      <c r="H347" s="225" t="s">
        <v>407</v>
      </c>
      <c r="I347" s="226" t="s">
        <v>156</v>
      </c>
      <c r="J347" s="227">
        <v>215.24</v>
      </c>
      <c r="K347" s="227">
        <v>1859.89</v>
      </c>
    </row>
    <row r="348" spans="1:11" x14ac:dyDescent="0.35">
      <c r="B348" s="225" t="s">
        <v>176</v>
      </c>
      <c r="C348" s="225" t="s">
        <v>155</v>
      </c>
      <c r="D348" s="225">
        <v>312</v>
      </c>
      <c r="E348" s="225"/>
      <c r="F348" s="225"/>
      <c r="G348" s="225" t="s">
        <v>166</v>
      </c>
      <c r="H348" s="225" t="s">
        <v>359</v>
      </c>
      <c r="I348" s="226" t="s">
        <v>156</v>
      </c>
      <c r="J348" s="227">
        <v>210.34</v>
      </c>
      <c r="K348" s="227">
        <v>2070.23</v>
      </c>
    </row>
    <row r="349" spans="1:11" x14ac:dyDescent="0.35">
      <c r="B349" s="225" t="s">
        <v>176</v>
      </c>
      <c r="C349" s="225" t="s">
        <v>155</v>
      </c>
      <c r="D349" s="225">
        <v>312</v>
      </c>
      <c r="E349" s="225"/>
      <c r="F349" s="225"/>
      <c r="G349" s="225" t="s">
        <v>98</v>
      </c>
      <c r="H349" s="225" t="s">
        <v>358</v>
      </c>
      <c r="I349" s="226" t="s">
        <v>156</v>
      </c>
      <c r="J349" s="227">
        <v>205.34</v>
      </c>
      <c r="K349" s="227">
        <v>2275.5700000000002</v>
      </c>
    </row>
    <row r="350" spans="1:11" x14ac:dyDescent="0.35">
      <c r="B350" s="225" t="s">
        <v>176</v>
      </c>
      <c r="C350" s="225" t="s">
        <v>155</v>
      </c>
      <c r="D350" s="225">
        <v>312</v>
      </c>
      <c r="E350" s="225"/>
      <c r="F350" s="225"/>
      <c r="G350" s="225" t="s">
        <v>98</v>
      </c>
      <c r="H350" s="225" t="s">
        <v>325</v>
      </c>
      <c r="I350" s="226" t="s">
        <v>156</v>
      </c>
      <c r="J350" s="227">
        <v>194.06</v>
      </c>
      <c r="K350" s="227">
        <v>2469.63</v>
      </c>
    </row>
    <row r="351" spans="1:11" x14ac:dyDescent="0.35">
      <c r="B351" s="225" t="s">
        <v>176</v>
      </c>
      <c r="C351" s="225" t="s">
        <v>155</v>
      </c>
      <c r="D351" s="225">
        <v>312</v>
      </c>
      <c r="E351" s="225"/>
      <c r="F351" s="225"/>
      <c r="G351" s="225" t="s">
        <v>102</v>
      </c>
      <c r="H351" s="225" t="s">
        <v>391</v>
      </c>
      <c r="I351" s="226" t="s">
        <v>156</v>
      </c>
      <c r="J351" s="227">
        <v>160.77000000000001</v>
      </c>
      <c r="K351" s="227">
        <v>2630.4</v>
      </c>
    </row>
    <row r="352" spans="1:11" x14ac:dyDescent="0.35">
      <c r="B352" s="225" t="s">
        <v>176</v>
      </c>
      <c r="C352" s="225" t="s">
        <v>155</v>
      </c>
      <c r="D352" s="225">
        <v>312</v>
      </c>
      <c r="E352" s="225"/>
      <c r="F352" s="225"/>
      <c r="G352" s="225" t="s">
        <v>105</v>
      </c>
      <c r="H352" s="225" t="s">
        <v>411</v>
      </c>
      <c r="I352" s="226" t="s">
        <v>156</v>
      </c>
      <c r="J352" s="227">
        <v>154.32</v>
      </c>
      <c r="K352" s="227">
        <v>2784.72</v>
      </c>
    </row>
    <row r="353" spans="2:11" x14ac:dyDescent="0.35">
      <c r="B353" s="225" t="s">
        <v>176</v>
      </c>
      <c r="C353" s="225" t="s">
        <v>155</v>
      </c>
      <c r="D353" s="225">
        <v>312</v>
      </c>
      <c r="E353" s="225"/>
      <c r="F353" s="225"/>
      <c r="G353" s="225" t="s">
        <v>98</v>
      </c>
      <c r="H353" s="225" t="s">
        <v>386</v>
      </c>
      <c r="I353" s="226" t="s">
        <v>156</v>
      </c>
      <c r="J353" s="227">
        <v>150.38</v>
      </c>
      <c r="K353" s="227">
        <v>2935.1</v>
      </c>
    </row>
    <row r="354" spans="2:11" x14ac:dyDescent="0.35">
      <c r="B354" s="225" t="s">
        <v>176</v>
      </c>
      <c r="C354" s="225" t="s">
        <v>155</v>
      </c>
      <c r="D354" s="225">
        <v>312</v>
      </c>
      <c r="E354" s="225"/>
      <c r="F354" s="225"/>
      <c r="G354" s="225" t="s">
        <v>102</v>
      </c>
      <c r="H354" s="225" t="s">
        <v>399</v>
      </c>
      <c r="I354" s="226" t="s">
        <v>156</v>
      </c>
      <c r="J354" s="227">
        <v>141.38999999999999</v>
      </c>
      <c r="K354" s="227">
        <v>3076.49</v>
      </c>
    </row>
    <row r="355" spans="2:11" x14ac:dyDescent="0.35">
      <c r="B355" s="225" t="s">
        <v>176</v>
      </c>
      <c r="C355" s="225" t="s">
        <v>155</v>
      </c>
      <c r="D355" s="225">
        <v>312</v>
      </c>
      <c r="E355" s="225"/>
      <c r="F355" s="225"/>
      <c r="G355" s="225" t="s">
        <v>98</v>
      </c>
      <c r="H355" s="225" t="s">
        <v>385</v>
      </c>
      <c r="I355" s="226" t="s">
        <v>156</v>
      </c>
      <c r="J355" s="227">
        <v>131.38</v>
      </c>
      <c r="K355" s="227">
        <v>3207.87</v>
      </c>
    </row>
    <row r="356" spans="2:11" x14ac:dyDescent="0.35">
      <c r="B356" s="225" t="s">
        <v>176</v>
      </c>
      <c r="C356" s="225" t="s">
        <v>155</v>
      </c>
      <c r="D356" s="225">
        <v>312</v>
      </c>
      <c r="E356" s="225"/>
      <c r="F356" s="225"/>
      <c r="G356" s="225" t="s">
        <v>108</v>
      </c>
      <c r="H356" s="225" t="s">
        <v>373</v>
      </c>
      <c r="I356" s="226" t="s">
        <v>156</v>
      </c>
      <c r="J356" s="227">
        <v>130.96</v>
      </c>
      <c r="K356" s="227">
        <v>3338.83</v>
      </c>
    </row>
    <row r="357" spans="2:11" x14ac:dyDescent="0.35">
      <c r="B357" s="225" t="s">
        <v>176</v>
      </c>
      <c r="C357" s="225" t="s">
        <v>155</v>
      </c>
      <c r="D357" s="225">
        <v>312</v>
      </c>
      <c r="E357" s="225"/>
      <c r="F357" s="225"/>
      <c r="G357" s="225" t="s">
        <v>101</v>
      </c>
      <c r="H357" s="225" t="s">
        <v>357</v>
      </c>
      <c r="I357" s="226" t="s">
        <v>156</v>
      </c>
      <c r="J357" s="227">
        <v>128.53</v>
      </c>
      <c r="K357" s="227">
        <v>3467.36</v>
      </c>
    </row>
    <row r="358" spans="2:11" x14ac:dyDescent="0.35">
      <c r="B358" s="225" t="s">
        <v>176</v>
      </c>
      <c r="C358" s="225" t="s">
        <v>155</v>
      </c>
      <c r="D358" s="225">
        <v>312</v>
      </c>
      <c r="E358" s="225"/>
      <c r="F358" s="225"/>
      <c r="G358" s="225" t="s">
        <v>112</v>
      </c>
      <c r="H358" s="225" t="s">
        <v>316</v>
      </c>
      <c r="I358" s="226" t="s">
        <v>156</v>
      </c>
      <c r="J358" s="227">
        <v>119.83</v>
      </c>
      <c r="K358" s="227">
        <v>3587.19</v>
      </c>
    </row>
    <row r="359" spans="2:11" x14ac:dyDescent="0.35">
      <c r="B359" s="225" t="s">
        <v>176</v>
      </c>
      <c r="C359" s="225" t="s">
        <v>155</v>
      </c>
      <c r="D359" s="225">
        <v>312</v>
      </c>
      <c r="E359" s="225"/>
      <c r="F359" s="225"/>
      <c r="G359" s="225" t="s">
        <v>105</v>
      </c>
      <c r="H359" s="225" t="s">
        <v>367</v>
      </c>
      <c r="I359" s="226" t="s">
        <v>156</v>
      </c>
      <c r="J359" s="227">
        <v>112.86</v>
      </c>
      <c r="K359" s="227">
        <v>3700.05</v>
      </c>
    </row>
    <row r="360" spans="2:11" x14ac:dyDescent="0.35">
      <c r="B360" s="225" t="s">
        <v>176</v>
      </c>
      <c r="C360" s="225" t="s">
        <v>155</v>
      </c>
      <c r="D360" s="225">
        <v>312</v>
      </c>
      <c r="E360" s="225"/>
      <c r="F360" s="225"/>
      <c r="G360" s="225" t="s">
        <v>117</v>
      </c>
      <c r="H360" s="225" t="s">
        <v>312</v>
      </c>
      <c r="I360" s="226" t="s">
        <v>156</v>
      </c>
      <c r="J360" s="227">
        <v>110.12</v>
      </c>
      <c r="K360" s="227">
        <v>3810.17</v>
      </c>
    </row>
    <row r="361" spans="2:11" x14ac:dyDescent="0.35">
      <c r="B361" s="225" t="s">
        <v>176</v>
      </c>
      <c r="C361" s="225" t="s">
        <v>155</v>
      </c>
      <c r="D361" s="225">
        <v>312</v>
      </c>
      <c r="E361" s="225"/>
      <c r="F361" s="225"/>
      <c r="G361" s="225" t="s">
        <v>103</v>
      </c>
      <c r="H361" s="225" t="s">
        <v>403</v>
      </c>
      <c r="I361" s="226" t="s">
        <v>156</v>
      </c>
      <c r="J361" s="227">
        <v>108.76</v>
      </c>
      <c r="K361" s="227">
        <v>3918.93</v>
      </c>
    </row>
    <row r="362" spans="2:11" x14ac:dyDescent="0.35">
      <c r="B362" s="225" t="s">
        <v>176</v>
      </c>
      <c r="C362" s="225" t="s">
        <v>155</v>
      </c>
      <c r="D362" s="225">
        <v>312</v>
      </c>
      <c r="E362" s="225"/>
      <c r="F362" s="225"/>
      <c r="G362" s="225" t="s">
        <v>102</v>
      </c>
      <c r="H362" s="225" t="s">
        <v>392</v>
      </c>
      <c r="I362" s="226" t="s">
        <v>156</v>
      </c>
      <c r="J362" s="227">
        <v>97.28</v>
      </c>
      <c r="K362" s="227">
        <v>4016.21</v>
      </c>
    </row>
    <row r="363" spans="2:11" x14ac:dyDescent="0.35">
      <c r="B363" s="225" t="s">
        <v>176</v>
      </c>
      <c r="C363" s="225" t="s">
        <v>155</v>
      </c>
      <c r="D363" s="225">
        <v>312</v>
      </c>
      <c r="E363" s="225"/>
      <c r="F363" s="225"/>
      <c r="G363" s="225" t="s">
        <v>101</v>
      </c>
      <c r="H363" s="225" t="s">
        <v>356</v>
      </c>
      <c r="I363" s="226" t="s">
        <v>156</v>
      </c>
      <c r="J363" s="227">
        <v>92.53</v>
      </c>
      <c r="K363" s="227">
        <v>4108.74</v>
      </c>
    </row>
    <row r="364" spans="2:11" x14ac:dyDescent="0.35">
      <c r="B364" s="225" t="s">
        <v>176</v>
      </c>
      <c r="C364" s="225" t="s">
        <v>155</v>
      </c>
      <c r="D364" s="225">
        <v>312</v>
      </c>
      <c r="E364" s="225"/>
      <c r="F364" s="225"/>
      <c r="G364" s="225" t="s">
        <v>98</v>
      </c>
      <c r="H364" s="225" t="s">
        <v>351</v>
      </c>
      <c r="I364" s="226" t="s">
        <v>156</v>
      </c>
      <c r="J364" s="227">
        <v>90.12</v>
      </c>
      <c r="K364" s="227">
        <v>4198.8599999999997</v>
      </c>
    </row>
    <row r="365" spans="2:11" x14ac:dyDescent="0.35">
      <c r="B365" s="225" t="s">
        <v>176</v>
      </c>
      <c r="C365" s="225" t="s">
        <v>155</v>
      </c>
      <c r="D365" s="225">
        <v>312</v>
      </c>
      <c r="E365" s="225"/>
      <c r="F365" s="225"/>
      <c r="G365" s="225" t="s">
        <v>99</v>
      </c>
      <c r="H365" s="225" t="s">
        <v>325</v>
      </c>
      <c r="I365" s="226" t="s">
        <v>156</v>
      </c>
      <c r="J365" s="227">
        <v>75.47</v>
      </c>
      <c r="K365" s="227">
        <v>4274.33</v>
      </c>
    </row>
    <row r="366" spans="2:11" x14ac:dyDescent="0.35">
      <c r="B366" s="225" t="s">
        <v>176</v>
      </c>
      <c r="C366" s="225" t="s">
        <v>155</v>
      </c>
      <c r="D366" s="225">
        <v>312</v>
      </c>
      <c r="E366" s="225"/>
      <c r="F366" s="225"/>
      <c r="G366" s="225" t="s">
        <v>104</v>
      </c>
      <c r="H366" s="225" t="s">
        <v>316</v>
      </c>
      <c r="I366" s="226" t="s">
        <v>156</v>
      </c>
      <c r="J366" s="227">
        <v>73.739999999999995</v>
      </c>
      <c r="K366" s="227">
        <v>4348.07</v>
      </c>
    </row>
    <row r="367" spans="2:11" x14ac:dyDescent="0.35">
      <c r="B367" s="225" t="s">
        <v>176</v>
      </c>
      <c r="C367" s="225" t="s">
        <v>155</v>
      </c>
      <c r="D367" s="225">
        <v>312</v>
      </c>
      <c r="E367" s="225"/>
      <c r="F367" s="225"/>
      <c r="G367" s="225" t="s">
        <v>116</v>
      </c>
      <c r="H367" s="225" t="s">
        <v>312</v>
      </c>
      <c r="I367" s="226" t="s">
        <v>156</v>
      </c>
      <c r="J367" s="227">
        <v>72.58</v>
      </c>
      <c r="K367" s="227">
        <v>4420.6499999999996</v>
      </c>
    </row>
    <row r="368" spans="2:11" x14ac:dyDescent="0.35">
      <c r="B368" s="225" t="s">
        <v>176</v>
      </c>
      <c r="C368" s="225" t="s">
        <v>155</v>
      </c>
      <c r="D368" s="225">
        <v>312</v>
      </c>
      <c r="E368" s="225"/>
      <c r="F368" s="225"/>
      <c r="G368" s="225" t="s">
        <v>117</v>
      </c>
      <c r="H368" s="225" t="s">
        <v>340</v>
      </c>
      <c r="I368" s="226" t="s">
        <v>156</v>
      </c>
      <c r="J368" s="227">
        <v>71.25</v>
      </c>
      <c r="K368" s="227">
        <v>4491.8999999999996</v>
      </c>
    </row>
    <row r="369" spans="2:11" x14ac:dyDescent="0.35">
      <c r="B369" s="225" t="s">
        <v>176</v>
      </c>
      <c r="C369" s="225" t="s">
        <v>155</v>
      </c>
      <c r="D369" s="225">
        <v>312</v>
      </c>
      <c r="E369" s="225"/>
      <c r="F369" s="225"/>
      <c r="G369" s="225" t="s">
        <v>117</v>
      </c>
      <c r="H369" s="225" t="s">
        <v>340</v>
      </c>
      <c r="I369" s="226" t="s">
        <v>156</v>
      </c>
      <c r="J369" s="227">
        <v>71.239999999999995</v>
      </c>
      <c r="K369" s="227">
        <v>4563.1400000000003</v>
      </c>
    </row>
    <row r="370" spans="2:11" x14ac:dyDescent="0.35">
      <c r="B370" s="225" t="s">
        <v>176</v>
      </c>
      <c r="C370" s="225" t="s">
        <v>155</v>
      </c>
      <c r="D370" s="225">
        <v>312</v>
      </c>
      <c r="E370" s="225"/>
      <c r="F370" s="225"/>
      <c r="G370" s="225" t="s">
        <v>100</v>
      </c>
      <c r="H370" s="225" t="s">
        <v>379</v>
      </c>
      <c r="I370" s="226" t="s">
        <v>156</v>
      </c>
      <c r="J370" s="227">
        <v>70.7</v>
      </c>
      <c r="K370" s="227">
        <v>4633.84</v>
      </c>
    </row>
    <row r="371" spans="2:11" x14ac:dyDescent="0.35">
      <c r="B371" s="225" t="s">
        <v>176</v>
      </c>
      <c r="C371" s="225" t="s">
        <v>155</v>
      </c>
      <c r="D371" s="225">
        <v>312</v>
      </c>
      <c r="E371" s="225"/>
      <c r="F371" s="225"/>
      <c r="G371" s="225" t="s">
        <v>122</v>
      </c>
      <c r="H371" s="225" t="s">
        <v>312</v>
      </c>
      <c r="I371" s="226" t="s">
        <v>156</v>
      </c>
      <c r="J371" s="227">
        <v>67.569999999999993</v>
      </c>
      <c r="K371" s="227">
        <v>4701.41</v>
      </c>
    </row>
    <row r="372" spans="2:11" x14ac:dyDescent="0.35">
      <c r="B372" s="225" t="s">
        <v>176</v>
      </c>
      <c r="C372" s="225" t="s">
        <v>155</v>
      </c>
      <c r="D372" s="225">
        <v>312</v>
      </c>
      <c r="E372" s="225"/>
      <c r="F372" s="225"/>
      <c r="G372" s="225" t="s">
        <v>106</v>
      </c>
      <c r="H372" s="225" t="s">
        <v>372</v>
      </c>
      <c r="I372" s="226" t="s">
        <v>156</v>
      </c>
      <c r="J372" s="227">
        <v>63.37</v>
      </c>
      <c r="K372" s="227">
        <v>4764.78</v>
      </c>
    </row>
    <row r="373" spans="2:11" x14ac:dyDescent="0.35">
      <c r="B373" s="225" t="s">
        <v>176</v>
      </c>
      <c r="C373" s="225" t="s">
        <v>155</v>
      </c>
      <c r="D373" s="225">
        <v>312</v>
      </c>
      <c r="E373" s="225"/>
      <c r="F373" s="225"/>
      <c r="G373" s="225" t="s">
        <v>110</v>
      </c>
      <c r="H373" s="225" t="s">
        <v>372</v>
      </c>
      <c r="I373" s="226" t="s">
        <v>156</v>
      </c>
      <c r="J373" s="227">
        <v>63.36</v>
      </c>
      <c r="K373" s="227">
        <v>4828.1400000000003</v>
      </c>
    </row>
    <row r="374" spans="2:11" x14ac:dyDescent="0.35">
      <c r="B374" s="225" t="s">
        <v>176</v>
      </c>
      <c r="C374" s="225" t="s">
        <v>155</v>
      </c>
      <c r="D374" s="225">
        <v>312</v>
      </c>
      <c r="E374" s="225"/>
      <c r="F374" s="225"/>
      <c r="G374" s="225" t="s">
        <v>109</v>
      </c>
      <c r="H374" s="225" t="s">
        <v>372</v>
      </c>
      <c r="I374" s="226" t="s">
        <v>156</v>
      </c>
      <c r="J374" s="227">
        <v>63.36</v>
      </c>
      <c r="K374" s="227">
        <v>4891.5</v>
      </c>
    </row>
    <row r="375" spans="2:11" x14ac:dyDescent="0.35">
      <c r="B375" s="225" t="s">
        <v>176</v>
      </c>
      <c r="C375" s="225" t="s">
        <v>155</v>
      </c>
      <c r="D375" s="225">
        <v>312</v>
      </c>
      <c r="E375" s="225"/>
      <c r="F375" s="225"/>
      <c r="G375" s="225" t="s">
        <v>112</v>
      </c>
      <c r="H375" s="225" t="s">
        <v>316</v>
      </c>
      <c r="I375" s="226" t="s">
        <v>156</v>
      </c>
      <c r="J375" s="227">
        <v>63.04</v>
      </c>
      <c r="K375" s="227">
        <v>4954.54</v>
      </c>
    </row>
    <row r="376" spans="2:11" x14ac:dyDescent="0.35">
      <c r="B376" s="225" t="s">
        <v>176</v>
      </c>
      <c r="C376" s="225" t="s">
        <v>155</v>
      </c>
      <c r="D376" s="225">
        <v>312</v>
      </c>
      <c r="E376" s="225"/>
      <c r="F376" s="225"/>
      <c r="G376" s="225" t="s">
        <v>121</v>
      </c>
      <c r="H376" s="225" t="s">
        <v>307</v>
      </c>
      <c r="I376" s="226" t="s">
        <v>156</v>
      </c>
      <c r="J376" s="227">
        <v>61.68</v>
      </c>
      <c r="K376" s="227">
        <v>5016.22</v>
      </c>
    </row>
    <row r="377" spans="2:11" x14ac:dyDescent="0.35">
      <c r="B377" s="225" t="s">
        <v>176</v>
      </c>
      <c r="C377" s="225" t="s">
        <v>155</v>
      </c>
      <c r="D377" s="225">
        <v>312</v>
      </c>
      <c r="E377" s="225"/>
      <c r="F377" s="225"/>
      <c r="G377" s="225" t="s">
        <v>102</v>
      </c>
      <c r="H377" s="225" t="s">
        <v>316</v>
      </c>
      <c r="I377" s="226" t="s">
        <v>156</v>
      </c>
      <c r="J377" s="227">
        <v>61.45</v>
      </c>
      <c r="K377" s="227">
        <v>5077.67</v>
      </c>
    </row>
    <row r="378" spans="2:11" x14ac:dyDescent="0.35">
      <c r="B378" s="225" t="s">
        <v>176</v>
      </c>
      <c r="C378" s="225" t="s">
        <v>155</v>
      </c>
      <c r="D378" s="225">
        <v>312</v>
      </c>
      <c r="E378" s="225"/>
      <c r="F378" s="225"/>
      <c r="G378" s="225" t="s">
        <v>98</v>
      </c>
      <c r="H378" s="225" t="s">
        <v>384</v>
      </c>
      <c r="I378" s="226" t="s">
        <v>156</v>
      </c>
      <c r="J378" s="227">
        <v>61.43</v>
      </c>
      <c r="K378" s="227">
        <v>5139.1000000000004</v>
      </c>
    </row>
    <row r="379" spans="2:11" x14ac:dyDescent="0.35">
      <c r="B379" s="225" t="s">
        <v>176</v>
      </c>
      <c r="C379" s="225" t="s">
        <v>155</v>
      </c>
      <c r="D379" s="225">
        <v>312</v>
      </c>
      <c r="E379" s="225"/>
      <c r="F379" s="225"/>
      <c r="G379" s="225" t="s">
        <v>100</v>
      </c>
      <c r="H379" s="225" t="s">
        <v>378</v>
      </c>
      <c r="I379" s="226" t="s">
        <v>156</v>
      </c>
      <c r="J379" s="227">
        <v>55.18</v>
      </c>
      <c r="K379" s="227">
        <v>5194.28</v>
      </c>
    </row>
    <row r="380" spans="2:11" x14ac:dyDescent="0.35">
      <c r="B380" s="225" t="s">
        <v>176</v>
      </c>
      <c r="C380" s="225" t="s">
        <v>155</v>
      </c>
      <c r="D380" s="225">
        <v>312</v>
      </c>
      <c r="E380" s="225"/>
      <c r="F380" s="225"/>
      <c r="G380" s="225" t="s">
        <v>107</v>
      </c>
      <c r="H380" s="225" t="s">
        <v>372</v>
      </c>
      <c r="I380" s="226" t="s">
        <v>156</v>
      </c>
      <c r="J380" s="227">
        <v>45.62</v>
      </c>
      <c r="K380" s="227">
        <v>5239.8999999999996</v>
      </c>
    </row>
    <row r="381" spans="2:11" x14ac:dyDescent="0.35">
      <c r="B381" s="225" t="s">
        <v>176</v>
      </c>
      <c r="C381" s="225" t="s">
        <v>155</v>
      </c>
      <c r="D381" s="225">
        <v>312</v>
      </c>
      <c r="E381" s="225"/>
      <c r="F381" s="225"/>
      <c r="G381" s="225" t="s">
        <v>104</v>
      </c>
      <c r="H381" s="225" t="s">
        <v>316</v>
      </c>
      <c r="I381" s="226" t="s">
        <v>156</v>
      </c>
      <c r="J381" s="227">
        <v>38.79</v>
      </c>
      <c r="K381" s="227">
        <v>5278.69</v>
      </c>
    </row>
    <row r="382" spans="2:11" x14ac:dyDescent="0.35">
      <c r="B382" s="225" t="s">
        <v>176</v>
      </c>
      <c r="C382" s="225" t="s">
        <v>155</v>
      </c>
      <c r="D382" s="225">
        <v>312</v>
      </c>
      <c r="E382" s="225"/>
      <c r="F382" s="225"/>
      <c r="G382" s="225" t="s">
        <v>320</v>
      </c>
      <c r="H382" s="225" t="s">
        <v>321</v>
      </c>
      <c r="I382" s="226" t="s">
        <v>156</v>
      </c>
      <c r="J382" s="227">
        <v>38.03</v>
      </c>
      <c r="K382" s="227">
        <v>5316.72</v>
      </c>
    </row>
    <row r="383" spans="2:11" x14ac:dyDescent="0.35">
      <c r="B383" s="225" t="s">
        <v>176</v>
      </c>
      <c r="C383" s="225" t="s">
        <v>155</v>
      </c>
      <c r="D383" s="225">
        <v>312</v>
      </c>
      <c r="E383" s="225"/>
      <c r="F383" s="225"/>
      <c r="G383" s="225" t="s">
        <v>99</v>
      </c>
      <c r="H383" s="225" t="s">
        <v>336</v>
      </c>
      <c r="I383" s="226" t="s">
        <v>156</v>
      </c>
      <c r="J383" s="227">
        <v>37.9</v>
      </c>
      <c r="K383" s="227">
        <v>5354.62</v>
      </c>
    </row>
    <row r="384" spans="2:11" x14ac:dyDescent="0.35">
      <c r="B384" s="225" t="s">
        <v>176</v>
      </c>
      <c r="C384" s="225" t="s">
        <v>155</v>
      </c>
      <c r="D384" s="225">
        <v>312</v>
      </c>
      <c r="E384" s="225"/>
      <c r="F384" s="225"/>
      <c r="G384" s="225" t="s">
        <v>117</v>
      </c>
      <c r="H384" s="225" t="s">
        <v>312</v>
      </c>
      <c r="I384" s="226" t="s">
        <v>156</v>
      </c>
      <c r="J384" s="227">
        <v>36.71</v>
      </c>
      <c r="K384" s="227">
        <v>5391.33</v>
      </c>
    </row>
    <row r="385" spans="2:11" x14ac:dyDescent="0.35">
      <c r="B385" s="225" t="s">
        <v>176</v>
      </c>
      <c r="C385" s="225" t="s">
        <v>155</v>
      </c>
      <c r="D385" s="225">
        <v>312</v>
      </c>
      <c r="E385" s="225"/>
      <c r="F385" s="225"/>
      <c r="G385" s="225" t="s">
        <v>99</v>
      </c>
      <c r="H385" s="225" t="s">
        <v>347</v>
      </c>
      <c r="I385" s="226" t="s">
        <v>156</v>
      </c>
      <c r="J385" s="227">
        <v>35.28</v>
      </c>
      <c r="K385" s="227">
        <v>5426.61</v>
      </c>
    </row>
    <row r="386" spans="2:11" x14ac:dyDescent="0.35">
      <c r="B386" s="225" t="s">
        <v>176</v>
      </c>
      <c r="C386" s="225" t="s">
        <v>155</v>
      </c>
      <c r="D386" s="225">
        <v>312</v>
      </c>
      <c r="E386" s="225"/>
      <c r="F386" s="225"/>
      <c r="G386" s="225" t="s">
        <v>98</v>
      </c>
      <c r="H386" s="225" t="s">
        <v>393</v>
      </c>
      <c r="I386" s="226" t="s">
        <v>156</v>
      </c>
      <c r="J386" s="227">
        <v>34.659999999999997</v>
      </c>
      <c r="K386" s="227">
        <v>5461.27</v>
      </c>
    </row>
    <row r="387" spans="2:11" x14ac:dyDescent="0.35">
      <c r="B387" s="225" t="s">
        <v>176</v>
      </c>
      <c r="C387" s="225" t="s">
        <v>155</v>
      </c>
      <c r="D387" s="225">
        <v>312</v>
      </c>
      <c r="E387" s="225"/>
      <c r="F387" s="225"/>
      <c r="G387" s="225" t="s">
        <v>116</v>
      </c>
      <c r="H387" s="225" t="s">
        <v>321</v>
      </c>
      <c r="I387" s="226" t="s">
        <v>156</v>
      </c>
      <c r="J387" s="227">
        <v>34.61</v>
      </c>
      <c r="K387" s="227">
        <v>5495.88</v>
      </c>
    </row>
    <row r="388" spans="2:11" x14ac:dyDescent="0.35">
      <c r="B388" s="225" t="s">
        <v>176</v>
      </c>
      <c r="C388" s="225" t="s">
        <v>155</v>
      </c>
      <c r="D388" s="225">
        <v>312</v>
      </c>
      <c r="E388" s="225"/>
      <c r="F388" s="225"/>
      <c r="G388" s="225" t="s">
        <v>102</v>
      </c>
      <c r="H388" s="225" t="s">
        <v>316</v>
      </c>
      <c r="I388" s="226" t="s">
        <v>156</v>
      </c>
      <c r="J388" s="227">
        <v>32.33</v>
      </c>
      <c r="K388" s="227">
        <v>5528.21</v>
      </c>
    </row>
    <row r="389" spans="2:11" x14ac:dyDescent="0.35">
      <c r="B389" s="225" t="s">
        <v>176</v>
      </c>
      <c r="C389" s="225" t="s">
        <v>155</v>
      </c>
      <c r="D389" s="225">
        <v>312</v>
      </c>
      <c r="E389" s="225"/>
      <c r="F389" s="225"/>
      <c r="G389" s="225" t="s">
        <v>99</v>
      </c>
      <c r="H389" s="225" t="s">
        <v>351</v>
      </c>
      <c r="I389" s="226" t="s">
        <v>156</v>
      </c>
      <c r="J389" s="227">
        <v>26.92</v>
      </c>
      <c r="K389" s="227">
        <v>5555.13</v>
      </c>
    </row>
    <row r="390" spans="2:11" x14ac:dyDescent="0.35">
      <c r="B390" s="225" t="s">
        <v>176</v>
      </c>
      <c r="C390" s="225" t="s">
        <v>155</v>
      </c>
      <c r="D390" s="225">
        <v>312</v>
      </c>
      <c r="E390" s="225"/>
      <c r="F390" s="225"/>
      <c r="G390" s="225" t="s">
        <v>106</v>
      </c>
      <c r="H390" s="225" t="s">
        <v>373</v>
      </c>
      <c r="I390" s="226" t="s">
        <v>156</v>
      </c>
      <c r="J390" s="227">
        <v>26.55</v>
      </c>
      <c r="K390" s="227">
        <v>5581.68</v>
      </c>
    </row>
    <row r="391" spans="2:11" x14ac:dyDescent="0.35">
      <c r="B391" s="225" t="s">
        <v>176</v>
      </c>
      <c r="C391" s="225" t="s">
        <v>155</v>
      </c>
      <c r="D391" s="225">
        <v>312</v>
      </c>
      <c r="E391" s="225"/>
      <c r="F391" s="225"/>
      <c r="G391" s="225" t="s">
        <v>116</v>
      </c>
      <c r="H391" s="225" t="s">
        <v>312</v>
      </c>
      <c r="I391" s="226" t="s">
        <v>156</v>
      </c>
      <c r="J391" s="227">
        <v>24.19</v>
      </c>
      <c r="K391" s="227">
        <v>5605.87</v>
      </c>
    </row>
    <row r="392" spans="2:11" x14ac:dyDescent="0.35">
      <c r="B392" s="225" t="s">
        <v>176</v>
      </c>
      <c r="C392" s="225" t="s">
        <v>155</v>
      </c>
      <c r="D392" s="225">
        <v>312</v>
      </c>
      <c r="E392" s="225"/>
      <c r="F392" s="225"/>
      <c r="G392" s="225" t="s">
        <v>98</v>
      </c>
      <c r="H392" s="225" t="s">
        <v>336</v>
      </c>
      <c r="I392" s="226" t="s">
        <v>156</v>
      </c>
      <c r="J392" s="227">
        <v>23.23</v>
      </c>
      <c r="K392" s="227">
        <v>5629.1</v>
      </c>
    </row>
    <row r="393" spans="2:11" x14ac:dyDescent="0.35">
      <c r="B393" s="225" t="s">
        <v>176</v>
      </c>
      <c r="C393" s="225" t="s">
        <v>155</v>
      </c>
      <c r="D393" s="225">
        <v>312</v>
      </c>
      <c r="E393" s="225"/>
      <c r="F393" s="225"/>
      <c r="G393" s="225" t="s">
        <v>122</v>
      </c>
      <c r="H393" s="225" t="s">
        <v>312</v>
      </c>
      <c r="I393" s="226" t="s">
        <v>156</v>
      </c>
      <c r="J393" s="227">
        <v>22.53</v>
      </c>
      <c r="K393" s="227">
        <v>5651.63</v>
      </c>
    </row>
    <row r="394" spans="2:11" x14ac:dyDescent="0.35">
      <c r="B394" s="225" t="s">
        <v>176</v>
      </c>
      <c r="C394" s="225" t="s">
        <v>155</v>
      </c>
      <c r="D394" s="225">
        <v>312</v>
      </c>
      <c r="E394" s="225"/>
      <c r="F394" s="225"/>
      <c r="G394" s="225" t="s">
        <v>98</v>
      </c>
      <c r="H394" s="225" t="s">
        <v>347</v>
      </c>
      <c r="I394" s="226" t="s">
        <v>156</v>
      </c>
      <c r="J394" s="227">
        <v>21.62</v>
      </c>
      <c r="K394" s="227">
        <v>5673.25</v>
      </c>
    </row>
    <row r="395" spans="2:11" x14ac:dyDescent="0.35">
      <c r="B395" s="225" t="s">
        <v>176</v>
      </c>
      <c r="C395" s="225" t="s">
        <v>155</v>
      </c>
      <c r="D395" s="225">
        <v>312</v>
      </c>
      <c r="E395" s="225"/>
      <c r="F395" s="225"/>
      <c r="G395" s="225" t="s">
        <v>109</v>
      </c>
      <c r="H395" s="225" t="s">
        <v>373</v>
      </c>
      <c r="I395" s="226" t="s">
        <v>156</v>
      </c>
      <c r="J395" s="227">
        <v>19.47</v>
      </c>
      <c r="K395" s="227">
        <v>5692.72</v>
      </c>
    </row>
    <row r="396" spans="2:11" x14ac:dyDescent="0.35">
      <c r="B396" s="225" t="s">
        <v>176</v>
      </c>
      <c r="C396" s="225" t="s">
        <v>155</v>
      </c>
      <c r="D396" s="225">
        <v>312</v>
      </c>
      <c r="E396" s="225"/>
      <c r="F396" s="225"/>
      <c r="G396" s="225" t="s">
        <v>111</v>
      </c>
      <c r="H396" s="225" t="s">
        <v>316</v>
      </c>
      <c r="I396" s="226" t="s">
        <v>156</v>
      </c>
      <c r="J396" s="227">
        <v>18.43</v>
      </c>
      <c r="K396" s="227">
        <v>5711.15</v>
      </c>
    </row>
    <row r="397" spans="2:11" x14ac:dyDescent="0.35">
      <c r="B397" s="225" t="s">
        <v>176</v>
      </c>
      <c r="C397" s="225" t="s">
        <v>155</v>
      </c>
      <c r="D397" s="225">
        <v>312</v>
      </c>
      <c r="E397" s="225"/>
      <c r="F397" s="225"/>
      <c r="G397" s="225" t="s">
        <v>108</v>
      </c>
      <c r="H397" s="225" t="s">
        <v>372</v>
      </c>
      <c r="I397" s="226" t="s">
        <v>156</v>
      </c>
      <c r="J397" s="227">
        <v>17.739999999999998</v>
      </c>
      <c r="K397" s="227">
        <v>5728.89</v>
      </c>
    </row>
    <row r="398" spans="2:11" x14ac:dyDescent="0.35">
      <c r="B398" s="225" t="s">
        <v>176</v>
      </c>
      <c r="C398" s="225" t="s">
        <v>155</v>
      </c>
      <c r="D398" s="225">
        <v>312</v>
      </c>
      <c r="E398" s="225"/>
      <c r="F398" s="225"/>
      <c r="G398" s="225" t="s">
        <v>108</v>
      </c>
      <c r="H398" s="225" t="s">
        <v>316</v>
      </c>
      <c r="I398" s="226" t="s">
        <v>156</v>
      </c>
      <c r="J398" s="227">
        <v>15.36</v>
      </c>
      <c r="K398" s="227">
        <v>5744.25</v>
      </c>
    </row>
    <row r="399" spans="2:11" x14ac:dyDescent="0.35">
      <c r="B399" s="225" t="s">
        <v>176</v>
      </c>
      <c r="C399" s="225" t="s">
        <v>155</v>
      </c>
      <c r="D399" s="225">
        <v>312</v>
      </c>
      <c r="E399" s="225"/>
      <c r="F399" s="225"/>
      <c r="G399" s="225" t="s">
        <v>112</v>
      </c>
      <c r="H399" s="225" t="s">
        <v>316</v>
      </c>
      <c r="I399" s="226" t="s">
        <v>156</v>
      </c>
      <c r="J399" s="227">
        <v>13.79</v>
      </c>
      <c r="K399" s="227">
        <v>5758.04</v>
      </c>
    </row>
    <row r="400" spans="2:11" x14ac:dyDescent="0.35">
      <c r="B400" s="225" t="s">
        <v>176</v>
      </c>
      <c r="C400" s="225" t="s">
        <v>155</v>
      </c>
      <c r="D400" s="225">
        <v>312</v>
      </c>
      <c r="E400" s="225"/>
      <c r="F400" s="225"/>
      <c r="G400" s="225" t="s">
        <v>109</v>
      </c>
      <c r="H400" s="225" t="s">
        <v>316</v>
      </c>
      <c r="I400" s="226" t="s">
        <v>156</v>
      </c>
      <c r="J400" s="227">
        <v>12.29</v>
      </c>
      <c r="K400" s="227">
        <v>5770.33</v>
      </c>
    </row>
    <row r="401" spans="2:11" x14ac:dyDescent="0.35">
      <c r="B401" s="225" t="s">
        <v>176</v>
      </c>
      <c r="C401" s="225" t="s">
        <v>155</v>
      </c>
      <c r="D401" s="225">
        <v>312</v>
      </c>
      <c r="E401" s="225"/>
      <c r="F401" s="225"/>
      <c r="G401" s="225" t="s">
        <v>111</v>
      </c>
      <c r="H401" s="225" t="s">
        <v>316</v>
      </c>
      <c r="I401" s="226" t="s">
        <v>156</v>
      </c>
      <c r="J401" s="227">
        <v>9.6999999999999993</v>
      </c>
      <c r="K401" s="227">
        <v>5780.03</v>
      </c>
    </row>
    <row r="402" spans="2:11" x14ac:dyDescent="0.35">
      <c r="B402" s="225" t="s">
        <v>176</v>
      </c>
      <c r="C402" s="225" t="s">
        <v>155</v>
      </c>
      <c r="D402" s="225">
        <v>312</v>
      </c>
      <c r="E402" s="225"/>
      <c r="F402" s="225"/>
      <c r="G402" s="225" t="s">
        <v>104</v>
      </c>
      <c r="H402" s="225" t="s">
        <v>316</v>
      </c>
      <c r="I402" s="226" t="s">
        <v>156</v>
      </c>
      <c r="J402" s="227">
        <v>8.48</v>
      </c>
      <c r="K402" s="227">
        <v>5788.51</v>
      </c>
    </row>
    <row r="403" spans="2:11" x14ac:dyDescent="0.35">
      <c r="B403" s="225" t="s">
        <v>176</v>
      </c>
      <c r="C403" s="225" t="s">
        <v>155</v>
      </c>
      <c r="D403" s="225">
        <v>312</v>
      </c>
      <c r="E403" s="225"/>
      <c r="F403" s="225"/>
      <c r="G403" s="225" t="s">
        <v>108</v>
      </c>
      <c r="H403" s="225" t="s">
        <v>316</v>
      </c>
      <c r="I403" s="226" t="s">
        <v>156</v>
      </c>
      <c r="J403" s="227">
        <v>8.08</v>
      </c>
      <c r="K403" s="227">
        <v>5796.59</v>
      </c>
    </row>
    <row r="404" spans="2:11" x14ac:dyDescent="0.35">
      <c r="B404" s="225" t="s">
        <v>176</v>
      </c>
      <c r="C404" s="225" t="s">
        <v>155</v>
      </c>
      <c r="D404" s="225">
        <v>312</v>
      </c>
      <c r="E404" s="225"/>
      <c r="F404" s="225"/>
      <c r="G404" s="225" t="s">
        <v>122</v>
      </c>
      <c r="H404" s="225" t="s">
        <v>321</v>
      </c>
      <c r="I404" s="226" t="s">
        <v>156</v>
      </c>
      <c r="J404" s="227">
        <v>7.69</v>
      </c>
      <c r="K404" s="227">
        <v>5804.28</v>
      </c>
    </row>
    <row r="405" spans="2:11" x14ac:dyDescent="0.35">
      <c r="B405" s="225" t="s">
        <v>176</v>
      </c>
      <c r="C405" s="225" t="s">
        <v>155</v>
      </c>
      <c r="D405" s="225">
        <v>312</v>
      </c>
      <c r="E405" s="225"/>
      <c r="F405" s="225"/>
      <c r="G405" s="225" t="s">
        <v>320</v>
      </c>
      <c r="H405" s="225" t="s">
        <v>399</v>
      </c>
      <c r="I405" s="226" t="s">
        <v>156</v>
      </c>
      <c r="J405" s="227">
        <v>7.44</v>
      </c>
      <c r="K405" s="227">
        <v>5811.72</v>
      </c>
    </row>
    <row r="406" spans="2:11" x14ac:dyDescent="0.35">
      <c r="B406" s="225" t="s">
        <v>176</v>
      </c>
      <c r="C406" s="225" t="s">
        <v>155</v>
      </c>
      <c r="D406" s="225">
        <v>312</v>
      </c>
      <c r="E406" s="225"/>
      <c r="F406" s="225"/>
      <c r="G406" s="225" t="s">
        <v>102</v>
      </c>
      <c r="H406" s="225" t="s">
        <v>316</v>
      </c>
      <c r="I406" s="226" t="s">
        <v>156</v>
      </c>
      <c r="J406" s="227">
        <v>7.07</v>
      </c>
      <c r="K406" s="227">
        <v>5818.79</v>
      </c>
    </row>
    <row r="407" spans="2:11" x14ac:dyDescent="0.35">
      <c r="B407" s="225" t="s">
        <v>176</v>
      </c>
      <c r="C407" s="225" t="s">
        <v>155</v>
      </c>
      <c r="D407" s="225">
        <v>312</v>
      </c>
      <c r="E407" s="225"/>
      <c r="F407" s="225"/>
      <c r="G407" s="225" t="s">
        <v>109</v>
      </c>
      <c r="H407" s="225" t="s">
        <v>316</v>
      </c>
      <c r="I407" s="226" t="s">
        <v>156</v>
      </c>
      <c r="J407" s="227">
        <v>6.47</v>
      </c>
      <c r="K407" s="227">
        <v>5825.26</v>
      </c>
    </row>
    <row r="408" spans="2:11" x14ac:dyDescent="0.35">
      <c r="B408" s="225" t="s">
        <v>176</v>
      </c>
      <c r="C408" s="225" t="s">
        <v>155</v>
      </c>
      <c r="D408" s="225">
        <v>312</v>
      </c>
      <c r="E408" s="225"/>
      <c r="F408" s="225"/>
      <c r="G408" s="225" t="s">
        <v>110</v>
      </c>
      <c r="H408" s="225" t="s">
        <v>316</v>
      </c>
      <c r="I408" s="226" t="s">
        <v>156</v>
      </c>
      <c r="J408" s="227">
        <v>6.14</v>
      </c>
      <c r="K408" s="227">
        <v>5831.4</v>
      </c>
    </row>
    <row r="409" spans="2:11" x14ac:dyDescent="0.35">
      <c r="B409" s="225" t="s">
        <v>176</v>
      </c>
      <c r="C409" s="225" t="s">
        <v>155</v>
      </c>
      <c r="D409" s="225">
        <v>312</v>
      </c>
      <c r="E409" s="225"/>
      <c r="F409" s="225"/>
      <c r="G409" s="225" t="s">
        <v>112</v>
      </c>
      <c r="H409" s="225" t="s">
        <v>316</v>
      </c>
      <c r="I409" s="226" t="s">
        <v>156</v>
      </c>
      <c r="J409" s="227">
        <v>3.95</v>
      </c>
      <c r="K409" s="227">
        <v>5835.35</v>
      </c>
    </row>
    <row r="410" spans="2:11" x14ac:dyDescent="0.35">
      <c r="B410" s="225" t="s">
        <v>176</v>
      </c>
      <c r="C410" s="225" t="s">
        <v>155</v>
      </c>
      <c r="D410" s="225">
        <v>312</v>
      </c>
      <c r="E410" s="225"/>
      <c r="F410" s="225"/>
      <c r="G410" s="225" t="s">
        <v>116</v>
      </c>
      <c r="H410" s="225" t="s">
        <v>321</v>
      </c>
      <c r="I410" s="226" t="s">
        <v>156</v>
      </c>
      <c r="J410" s="227">
        <v>3.85</v>
      </c>
      <c r="K410" s="227">
        <v>5839.2</v>
      </c>
    </row>
    <row r="411" spans="2:11" x14ac:dyDescent="0.35">
      <c r="B411" s="225" t="s">
        <v>176</v>
      </c>
      <c r="C411" s="225" t="s">
        <v>155</v>
      </c>
      <c r="D411" s="225">
        <v>312</v>
      </c>
      <c r="E411" s="225"/>
      <c r="F411" s="225"/>
      <c r="G411" s="225" t="s">
        <v>110</v>
      </c>
      <c r="H411" s="225" t="s">
        <v>316</v>
      </c>
      <c r="I411" s="226" t="s">
        <v>156</v>
      </c>
      <c r="J411" s="227">
        <v>3.23</v>
      </c>
      <c r="K411" s="227">
        <v>5842.43</v>
      </c>
    </row>
    <row r="412" spans="2:11" x14ac:dyDescent="0.35">
      <c r="B412" s="225" t="s">
        <v>176</v>
      </c>
      <c r="C412" s="225" t="s">
        <v>155</v>
      </c>
      <c r="D412" s="225">
        <v>312</v>
      </c>
      <c r="E412" s="225"/>
      <c r="F412" s="225"/>
      <c r="G412" s="225" t="s">
        <v>104</v>
      </c>
      <c r="H412" s="225" t="s">
        <v>316</v>
      </c>
      <c r="I412" s="226" t="s">
        <v>156</v>
      </c>
      <c r="J412" s="227">
        <v>2.42</v>
      </c>
      <c r="K412" s="227">
        <v>5844.85</v>
      </c>
    </row>
    <row r="413" spans="2:11" x14ac:dyDescent="0.35">
      <c r="B413" s="225" t="s">
        <v>176</v>
      </c>
      <c r="C413" s="225" t="s">
        <v>155</v>
      </c>
      <c r="D413" s="225">
        <v>312</v>
      </c>
      <c r="E413" s="225"/>
      <c r="F413" s="225"/>
      <c r="G413" s="225" t="s">
        <v>111</v>
      </c>
      <c r="H413" s="225" t="s">
        <v>316</v>
      </c>
      <c r="I413" s="226" t="s">
        <v>156</v>
      </c>
      <c r="J413" s="227">
        <v>2.12</v>
      </c>
      <c r="K413" s="227">
        <v>5846.97</v>
      </c>
    </row>
    <row r="414" spans="2:11" x14ac:dyDescent="0.35">
      <c r="B414" s="225" t="s">
        <v>176</v>
      </c>
      <c r="C414" s="225" t="s">
        <v>155</v>
      </c>
      <c r="D414" s="225">
        <v>312</v>
      </c>
      <c r="E414" s="225"/>
      <c r="F414" s="225"/>
      <c r="G414" s="225" t="s">
        <v>102</v>
      </c>
      <c r="H414" s="225" t="s">
        <v>316</v>
      </c>
      <c r="I414" s="226" t="s">
        <v>156</v>
      </c>
      <c r="J414" s="227">
        <v>2.02</v>
      </c>
      <c r="K414" s="227">
        <v>5848.99</v>
      </c>
    </row>
    <row r="415" spans="2:11" x14ac:dyDescent="0.35">
      <c r="B415" s="225" t="s">
        <v>176</v>
      </c>
      <c r="C415" s="225" t="s">
        <v>155</v>
      </c>
      <c r="D415" s="225">
        <v>312</v>
      </c>
      <c r="E415" s="225"/>
      <c r="F415" s="225"/>
      <c r="G415" s="225" t="s">
        <v>108</v>
      </c>
      <c r="H415" s="225" t="s">
        <v>316</v>
      </c>
      <c r="I415" s="226" t="s">
        <v>156</v>
      </c>
      <c r="J415" s="227">
        <v>1.77</v>
      </c>
      <c r="K415" s="227">
        <v>5850.76</v>
      </c>
    </row>
    <row r="416" spans="2:11" x14ac:dyDescent="0.35">
      <c r="B416" s="225" t="s">
        <v>176</v>
      </c>
      <c r="C416" s="225" t="s">
        <v>155</v>
      </c>
      <c r="D416" s="225">
        <v>312</v>
      </c>
      <c r="E416" s="225"/>
      <c r="F416" s="225"/>
      <c r="G416" s="225" t="s">
        <v>109</v>
      </c>
      <c r="H416" s="225" t="s">
        <v>316</v>
      </c>
      <c r="I416" s="226" t="s">
        <v>156</v>
      </c>
      <c r="J416" s="227">
        <v>1.41</v>
      </c>
      <c r="K416" s="227">
        <v>5852.17</v>
      </c>
    </row>
    <row r="417" spans="2:11" x14ac:dyDescent="0.35">
      <c r="B417" s="225" t="s">
        <v>176</v>
      </c>
      <c r="C417" s="225" t="s">
        <v>155</v>
      </c>
      <c r="D417" s="225">
        <v>312</v>
      </c>
      <c r="E417" s="225"/>
      <c r="F417" s="225"/>
      <c r="G417" s="225" t="s">
        <v>122</v>
      </c>
      <c r="H417" s="225" t="s">
        <v>321</v>
      </c>
      <c r="I417" s="226" t="s">
        <v>156</v>
      </c>
      <c r="J417" s="227">
        <v>0.85</v>
      </c>
      <c r="K417" s="227">
        <v>5853.02</v>
      </c>
    </row>
    <row r="418" spans="2:11" x14ac:dyDescent="0.35">
      <c r="B418" s="225" t="s">
        <v>176</v>
      </c>
      <c r="C418" s="225" t="s">
        <v>155</v>
      </c>
      <c r="D418" s="225">
        <v>312</v>
      </c>
      <c r="E418" s="225"/>
      <c r="F418" s="225"/>
      <c r="G418" s="225" t="s">
        <v>110</v>
      </c>
      <c r="H418" s="225" t="s">
        <v>316</v>
      </c>
      <c r="I418" s="226" t="s">
        <v>156</v>
      </c>
      <c r="J418" s="227">
        <v>0.71</v>
      </c>
      <c r="K418" s="227">
        <v>5853.73</v>
      </c>
    </row>
    <row r="419" spans="2:11" x14ac:dyDescent="0.35">
      <c r="B419" s="225" t="s">
        <v>176</v>
      </c>
      <c r="C419" s="225" t="s">
        <v>155</v>
      </c>
      <c r="D419" s="225">
        <v>312</v>
      </c>
      <c r="E419" s="225"/>
      <c r="F419" s="225"/>
      <c r="G419" s="225" t="s">
        <v>111</v>
      </c>
      <c r="H419" s="225" t="s">
        <v>316</v>
      </c>
      <c r="I419" s="226" t="s">
        <v>156</v>
      </c>
      <c r="J419" s="227">
        <v>0.61</v>
      </c>
      <c r="K419" s="227">
        <v>5854.34</v>
      </c>
    </row>
    <row r="420" spans="2:11" x14ac:dyDescent="0.35">
      <c r="B420" s="225" t="s">
        <v>176</v>
      </c>
      <c r="C420" s="225" t="s">
        <v>155</v>
      </c>
      <c r="D420" s="225">
        <v>312</v>
      </c>
      <c r="E420" s="225"/>
      <c r="F420" s="225"/>
      <c r="G420" s="225" t="s">
        <v>108</v>
      </c>
      <c r="H420" s="225" t="s">
        <v>316</v>
      </c>
      <c r="I420" s="226" t="s">
        <v>156</v>
      </c>
      <c r="J420" s="227">
        <v>0.5</v>
      </c>
      <c r="K420" s="227">
        <v>5854.84</v>
      </c>
    </row>
    <row r="421" spans="2:11" x14ac:dyDescent="0.35">
      <c r="B421" s="225" t="s">
        <v>176</v>
      </c>
      <c r="C421" s="225" t="s">
        <v>155</v>
      </c>
      <c r="D421" s="225">
        <v>312</v>
      </c>
      <c r="E421" s="225"/>
      <c r="F421" s="225"/>
      <c r="G421" s="225" t="s">
        <v>109</v>
      </c>
      <c r="H421" s="225" t="s">
        <v>316</v>
      </c>
      <c r="I421" s="226" t="s">
        <v>156</v>
      </c>
      <c r="J421" s="227">
        <v>0.4</v>
      </c>
      <c r="K421" s="227">
        <v>5855.24</v>
      </c>
    </row>
    <row r="422" spans="2:11" x14ac:dyDescent="0.35">
      <c r="B422" s="225" t="s">
        <v>176</v>
      </c>
      <c r="C422" s="225" t="s">
        <v>155</v>
      </c>
      <c r="D422" s="225">
        <v>312</v>
      </c>
      <c r="E422" s="225"/>
      <c r="F422" s="225"/>
      <c r="G422" s="225" t="s">
        <v>110</v>
      </c>
      <c r="H422" s="225" t="s">
        <v>316</v>
      </c>
      <c r="I422" s="226" t="s">
        <v>156</v>
      </c>
      <c r="J422" s="227">
        <v>0.2</v>
      </c>
      <c r="K422" s="227">
        <v>5855.44</v>
      </c>
    </row>
    <row r="423" spans="2:11" x14ac:dyDescent="0.35">
      <c r="B423" s="225" t="s">
        <v>308</v>
      </c>
      <c r="C423" s="225" t="s">
        <v>155</v>
      </c>
      <c r="D423" s="225">
        <v>313</v>
      </c>
      <c r="E423" s="225"/>
      <c r="F423" s="225"/>
      <c r="G423" s="225" t="s">
        <v>104</v>
      </c>
      <c r="H423" s="225" t="s">
        <v>317</v>
      </c>
      <c r="I423" s="226" t="s">
        <v>156</v>
      </c>
      <c r="J423" s="227">
        <v>38.590000000000003</v>
      </c>
      <c r="K423" s="227">
        <v>5894.03</v>
      </c>
    </row>
    <row r="424" spans="2:11" x14ac:dyDescent="0.35">
      <c r="B424" s="225" t="s">
        <v>308</v>
      </c>
      <c r="C424" s="225" t="s">
        <v>155</v>
      </c>
      <c r="D424" s="225">
        <v>313</v>
      </c>
      <c r="E424" s="225"/>
      <c r="F424" s="225"/>
      <c r="G424" s="225" t="s">
        <v>320</v>
      </c>
      <c r="H424" s="225" t="s">
        <v>322</v>
      </c>
      <c r="I424" s="226" t="s">
        <v>156</v>
      </c>
      <c r="J424" s="227">
        <v>38.15</v>
      </c>
      <c r="K424" s="227">
        <v>5932.18</v>
      </c>
    </row>
    <row r="425" spans="2:11" x14ac:dyDescent="0.35">
      <c r="B425" s="225" t="s">
        <v>308</v>
      </c>
      <c r="C425" s="225" t="s">
        <v>155</v>
      </c>
      <c r="D425" s="225">
        <v>313</v>
      </c>
      <c r="E425" s="225"/>
      <c r="F425" s="225"/>
      <c r="G425" s="225" t="s">
        <v>117</v>
      </c>
      <c r="H425" s="225" t="s">
        <v>313</v>
      </c>
      <c r="I425" s="226" t="s">
        <v>156</v>
      </c>
      <c r="J425" s="227">
        <v>36.71</v>
      </c>
      <c r="K425" s="227">
        <v>5968.89</v>
      </c>
    </row>
    <row r="426" spans="2:11" x14ac:dyDescent="0.35">
      <c r="B426" s="225" t="s">
        <v>308</v>
      </c>
      <c r="C426" s="225" t="s">
        <v>155</v>
      </c>
      <c r="D426" s="225">
        <v>313</v>
      </c>
      <c r="E426" s="225"/>
      <c r="F426" s="225"/>
      <c r="G426" s="225" t="s">
        <v>116</v>
      </c>
      <c r="H426" s="225" t="s">
        <v>322</v>
      </c>
      <c r="I426" s="226" t="s">
        <v>156</v>
      </c>
      <c r="J426" s="227">
        <v>34.72</v>
      </c>
      <c r="K426" s="227">
        <v>6003.61</v>
      </c>
    </row>
    <row r="427" spans="2:11" x14ac:dyDescent="0.35">
      <c r="B427" s="225" t="s">
        <v>308</v>
      </c>
      <c r="C427" s="225" t="s">
        <v>155</v>
      </c>
      <c r="D427" s="225">
        <v>313</v>
      </c>
      <c r="E427" s="225"/>
      <c r="F427" s="225"/>
      <c r="G427" s="225" t="s">
        <v>102</v>
      </c>
      <c r="H427" s="225" t="s">
        <v>317</v>
      </c>
      <c r="I427" s="226" t="s">
        <v>156</v>
      </c>
      <c r="J427" s="227">
        <v>32.159999999999997</v>
      </c>
      <c r="K427" s="227">
        <v>6035.77</v>
      </c>
    </row>
    <row r="428" spans="2:11" x14ac:dyDescent="0.35">
      <c r="B428" s="225" t="s">
        <v>308</v>
      </c>
      <c r="C428" s="225" t="s">
        <v>155</v>
      </c>
      <c r="D428" s="225">
        <v>313</v>
      </c>
      <c r="E428" s="225"/>
      <c r="F428" s="225"/>
      <c r="G428" s="225" t="s">
        <v>106</v>
      </c>
      <c r="H428" s="225" t="s">
        <v>374</v>
      </c>
      <c r="I428" s="226" t="s">
        <v>156</v>
      </c>
      <c r="J428" s="227">
        <v>27.21</v>
      </c>
      <c r="K428" s="227">
        <v>6062.98</v>
      </c>
    </row>
    <row r="429" spans="2:11" x14ac:dyDescent="0.35">
      <c r="B429" s="225" t="s">
        <v>308</v>
      </c>
      <c r="C429" s="225" t="s">
        <v>155</v>
      </c>
      <c r="D429" s="225">
        <v>313</v>
      </c>
      <c r="E429" s="225"/>
      <c r="F429" s="225"/>
      <c r="G429" s="225" t="s">
        <v>99</v>
      </c>
      <c r="H429" s="225" t="s">
        <v>352</v>
      </c>
      <c r="I429" s="226" t="s">
        <v>156</v>
      </c>
      <c r="J429" s="227">
        <v>27.05</v>
      </c>
      <c r="K429" s="227">
        <v>6090.03</v>
      </c>
    </row>
    <row r="430" spans="2:11" x14ac:dyDescent="0.35">
      <c r="B430" s="225" t="s">
        <v>308</v>
      </c>
      <c r="C430" s="225" t="s">
        <v>155</v>
      </c>
      <c r="D430" s="225">
        <v>313</v>
      </c>
      <c r="E430" s="225"/>
      <c r="F430" s="225"/>
      <c r="G430" s="225" t="s">
        <v>98</v>
      </c>
      <c r="H430" s="225" t="s">
        <v>337</v>
      </c>
      <c r="I430" s="226" t="s">
        <v>156</v>
      </c>
      <c r="J430" s="227">
        <v>25.81</v>
      </c>
      <c r="K430" s="227">
        <v>6115.84</v>
      </c>
    </row>
    <row r="431" spans="2:11" x14ac:dyDescent="0.35">
      <c r="B431" s="225" t="s">
        <v>308</v>
      </c>
      <c r="C431" s="225" t="s">
        <v>155</v>
      </c>
      <c r="D431" s="225">
        <v>313</v>
      </c>
      <c r="E431" s="225"/>
      <c r="F431" s="225"/>
      <c r="G431" s="225" t="s">
        <v>116</v>
      </c>
      <c r="H431" s="225" t="s">
        <v>313</v>
      </c>
      <c r="I431" s="226" t="s">
        <v>156</v>
      </c>
      <c r="J431" s="227">
        <v>24.19</v>
      </c>
      <c r="K431" s="227">
        <v>6140.03</v>
      </c>
    </row>
    <row r="432" spans="2:11" x14ac:dyDescent="0.35">
      <c r="B432" s="225" t="s">
        <v>308</v>
      </c>
      <c r="C432" s="225" t="s">
        <v>155</v>
      </c>
      <c r="D432" s="225">
        <v>313</v>
      </c>
      <c r="E432" s="225"/>
      <c r="F432" s="225"/>
      <c r="G432" s="225" t="s">
        <v>98</v>
      </c>
      <c r="H432" s="225" t="s">
        <v>348</v>
      </c>
      <c r="I432" s="226" t="s">
        <v>156</v>
      </c>
      <c r="J432" s="227">
        <v>24.03</v>
      </c>
      <c r="K432" s="227">
        <v>6164.06</v>
      </c>
    </row>
    <row r="433" spans="2:11" x14ac:dyDescent="0.35">
      <c r="B433" s="225" t="s">
        <v>308</v>
      </c>
      <c r="C433" s="225" t="s">
        <v>155</v>
      </c>
      <c r="D433" s="225">
        <v>313</v>
      </c>
      <c r="E433" s="225"/>
      <c r="F433" s="225"/>
      <c r="G433" s="225" t="s">
        <v>122</v>
      </c>
      <c r="H433" s="225" t="s">
        <v>313</v>
      </c>
      <c r="I433" s="226" t="s">
        <v>156</v>
      </c>
      <c r="J433" s="227">
        <v>22.53</v>
      </c>
      <c r="K433" s="227">
        <v>6186.59</v>
      </c>
    </row>
    <row r="434" spans="2:11" x14ac:dyDescent="0.35">
      <c r="B434" s="225" t="s">
        <v>308</v>
      </c>
      <c r="C434" s="225" t="s">
        <v>155</v>
      </c>
      <c r="D434" s="225">
        <v>313</v>
      </c>
      <c r="E434" s="225"/>
      <c r="F434" s="225"/>
      <c r="G434" s="225" t="s">
        <v>111</v>
      </c>
      <c r="H434" s="225" t="s">
        <v>317</v>
      </c>
      <c r="I434" s="226" t="s">
        <v>156</v>
      </c>
      <c r="J434" s="227">
        <v>21.21</v>
      </c>
      <c r="K434" s="227">
        <v>6207.8</v>
      </c>
    </row>
    <row r="435" spans="2:11" x14ac:dyDescent="0.35">
      <c r="B435" s="225" t="s">
        <v>308</v>
      </c>
      <c r="C435" s="225" t="s">
        <v>155</v>
      </c>
      <c r="D435" s="225">
        <v>313</v>
      </c>
      <c r="E435" s="225"/>
      <c r="F435" s="225"/>
      <c r="G435" s="225" t="s">
        <v>109</v>
      </c>
      <c r="H435" s="225" t="s">
        <v>374</v>
      </c>
      <c r="I435" s="226" t="s">
        <v>156</v>
      </c>
      <c r="J435" s="227">
        <v>19.96</v>
      </c>
      <c r="K435" s="227">
        <v>6227.76</v>
      </c>
    </row>
    <row r="436" spans="2:11" x14ac:dyDescent="0.35">
      <c r="B436" s="225" t="s">
        <v>308</v>
      </c>
      <c r="C436" s="225" t="s">
        <v>155</v>
      </c>
      <c r="D436" s="225">
        <v>313</v>
      </c>
      <c r="E436" s="225"/>
      <c r="F436" s="225"/>
      <c r="G436" s="225" t="s">
        <v>108</v>
      </c>
      <c r="H436" s="225" t="s">
        <v>375</v>
      </c>
      <c r="I436" s="226" t="s">
        <v>156</v>
      </c>
      <c r="J436" s="227">
        <v>17.739999999999998</v>
      </c>
      <c r="K436" s="227">
        <v>6245.5</v>
      </c>
    </row>
    <row r="437" spans="2:11" x14ac:dyDescent="0.35">
      <c r="B437" s="225" t="s">
        <v>308</v>
      </c>
      <c r="C437" s="225" t="s">
        <v>155</v>
      </c>
      <c r="D437" s="225">
        <v>313</v>
      </c>
      <c r="E437" s="225"/>
      <c r="F437" s="225"/>
      <c r="G437" s="225" t="s">
        <v>108</v>
      </c>
      <c r="H437" s="225" t="s">
        <v>317</v>
      </c>
      <c r="I437" s="226" t="s">
        <v>156</v>
      </c>
      <c r="J437" s="227">
        <v>17.68</v>
      </c>
      <c r="K437" s="227">
        <v>6263.18</v>
      </c>
    </row>
    <row r="438" spans="2:11" x14ac:dyDescent="0.35">
      <c r="B438" s="225" t="s">
        <v>308</v>
      </c>
      <c r="C438" s="225" t="s">
        <v>155</v>
      </c>
      <c r="D438" s="225">
        <v>313</v>
      </c>
      <c r="E438" s="225"/>
      <c r="F438" s="225"/>
      <c r="G438" s="225" t="s">
        <v>109</v>
      </c>
      <c r="H438" s="225" t="s">
        <v>317</v>
      </c>
      <c r="I438" s="226" t="s">
        <v>156</v>
      </c>
      <c r="J438" s="227">
        <v>14.14</v>
      </c>
      <c r="K438" s="227">
        <v>6277.32</v>
      </c>
    </row>
    <row r="439" spans="2:11" x14ac:dyDescent="0.35">
      <c r="B439" s="225" t="s">
        <v>308</v>
      </c>
      <c r="C439" s="225" t="s">
        <v>155</v>
      </c>
      <c r="D439" s="225">
        <v>313</v>
      </c>
      <c r="E439" s="225"/>
      <c r="F439" s="225"/>
      <c r="G439" s="225" t="s">
        <v>111</v>
      </c>
      <c r="H439" s="225" t="s">
        <v>317</v>
      </c>
      <c r="I439" s="226" t="s">
        <v>156</v>
      </c>
      <c r="J439" s="227">
        <v>9.65</v>
      </c>
      <c r="K439" s="227">
        <v>6286.97</v>
      </c>
    </row>
    <row r="440" spans="2:11" x14ac:dyDescent="0.35">
      <c r="B440" s="225" t="s">
        <v>308</v>
      </c>
      <c r="C440" s="225" t="s">
        <v>155</v>
      </c>
      <c r="D440" s="225">
        <v>313</v>
      </c>
      <c r="E440" s="225"/>
      <c r="F440" s="225"/>
      <c r="G440" s="225" t="s">
        <v>98</v>
      </c>
      <c r="H440" s="225" t="s">
        <v>387</v>
      </c>
      <c r="I440" s="226" t="s">
        <v>156</v>
      </c>
      <c r="J440" s="227">
        <v>8.84</v>
      </c>
      <c r="K440" s="227">
        <v>6295.81</v>
      </c>
    </row>
    <row r="441" spans="2:11" x14ac:dyDescent="0.35">
      <c r="B441" s="225" t="s">
        <v>308</v>
      </c>
      <c r="C441" s="225" t="s">
        <v>155</v>
      </c>
      <c r="D441" s="225">
        <v>313</v>
      </c>
      <c r="E441" s="225"/>
      <c r="F441" s="225"/>
      <c r="G441" s="225" t="s">
        <v>108</v>
      </c>
      <c r="H441" s="225" t="s">
        <v>317</v>
      </c>
      <c r="I441" s="226" t="s">
        <v>156</v>
      </c>
      <c r="J441" s="227">
        <v>8.0399999999999991</v>
      </c>
      <c r="K441" s="227">
        <v>6303.85</v>
      </c>
    </row>
    <row r="442" spans="2:11" x14ac:dyDescent="0.35">
      <c r="B442" s="225" t="s">
        <v>308</v>
      </c>
      <c r="C442" s="225" t="s">
        <v>155</v>
      </c>
      <c r="D442" s="225">
        <v>313</v>
      </c>
      <c r="E442" s="225"/>
      <c r="F442" s="225"/>
      <c r="G442" s="225" t="s">
        <v>122</v>
      </c>
      <c r="H442" s="225" t="s">
        <v>322</v>
      </c>
      <c r="I442" s="226" t="s">
        <v>156</v>
      </c>
      <c r="J442" s="227">
        <v>7.72</v>
      </c>
      <c r="K442" s="227">
        <v>6311.57</v>
      </c>
    </row>
    <row r="443" spans="2:11" x14ac:dyDescent="0.35">
      <c r="B443" s="225" t="s">
        <v>308</v>
      </c>
      <c r="C443" s="225" t="s">
        <v>155</v>
      </c>
      <c r="D443" s="225">
        <v>313</v>
      </c>
      <c r="E443" s="225"/>
      <c r="F443" s="225"/>
      <c r="G443" s="225" t="s">
        <v>320</v>
      </c>
      <c r="H443" s="225" t="s">
        <v>400</v>
      </c>
      <c r="I443" s="226" t="s">
        <v>156</v>
      </c>
      <c r="J443" s="227">
        <v>7.44</v>
      </c>
      <c r="K443" s="227">
        <v>6319.01</v>
      </c>
    </row>
    <row r="444" spans="2:11" x14ac:dyDescent="0.35">
      <c r="B444" s="225" t="s">
        <v>308</v>
      </c>
      <c r="C444" s="225" t="s">
        <v>155</v>
      </c>
      <c r="D444" s="225">
        <v>313</v>
      </c>
      <c r="E444" s="225"/>
      <c r="F444" s="225"/>
      <c r="G444" s="225" t="s">
        <v>110</v>
      </c>
      <c r="H444" s="225" t="s">
        <v>317</v>
      </c>
      <c r="I444" s="226" t="s">
        <v>156</v>
      </c>
      <c r="J444" s="227">
        <v>7.07</v>
      </c>
      <c r="K444" s="227">
        <v>6326.08</v>
      </c>
    </row>
    <row r="445" spans="2:11" x14ac:dyDescent="0.35">
      <c r="B445" s="225" t="s">
        <v>308</v>
      </c>
      <c r="C445" s="225" t="s">
        <v>155</v>
      </c>
      <c r="D445" s="225">
        <v>313</v>
      </c>
      <c r="E445" s="225"/>
      <c r="F445" s="225"/>
      <c r="G445" s="225" t="s">
        <v>109</v>
      </c>
      <c r="H445" s="225" t="s">
        <v>317</v>
      </c>
      <c r="I445" s="226" t="s">
        <v>156</v>
      </c>
      <c r="J445" s="227">
        <v>6.43</v>
      </c>
      <c r="K445" s="227">
        <v>6332.51</v>
      </c>
    </row>
    <row r="446" spans="2:11" x14ac:dyDescent="0.35">
      <c r="B446" s="225" t="s">
        <v>308</v>
      </c>
      <c r="C446" s="225" t="s">
        <v>155</v>
      </c>
      <c r="D446" s="225">
        <v>313</v>
      </c>
      <c r="E446" s="225"/>
      <c r="F446" s="225"/>
      <c r="G446" s="225" t="s">
        <v>116</v>
      </c>
      <c r="H446" s="225" t="s">
        <v>322</v>
      </c>
      <c r="I446" s="226" t="s">
        <v>156</v>
      </c>
      <c r="J446" s="227">
        <v>3.86</v>
      </c>
      <c r="K446" s="227">
        <v>6336.37</v>
      </c>
    </row>
    <row r="447" spans="2:11" x14ac:dyDescent="0.35">
      <c r="B447" s="225" t="s">
        <v>308</v>
      </c>
      <c r="C447" s="225" t="s">
        <v>155</v>
      </c>
      <c r="D447" s="225">
        <v>313</v>
      </c>
      <c r="E447" s="225"/>
      <c r="F447" s="225"/>
      <c r="G447" s="225" t="s">
        <v>110</v>
      </c>
      <c r="H447" s="225" t="s">
        <v>317</v>
      </c>
      <c r="I447" s="226" t="s">
        <v>156</v>
      </c>
      <c r="J447" s="227">
        <v>3.22</v>
      </c>
      <c r="K447" s="227">
        <v>6339.59</v>
      </c>
    </row>
    <row r="448" spans="2:11" x14ac:dyDescent="0.35">
      <c r="B448" s="225" t="s">
        <v>308</v>
      </c>
      <c r="C448" s="225" t="s">
        <v>155</v>
      </c>
      <c r="D448" s="225">
        <v>313</v>
      </c>
      <c r="E448" s="225"/>
      <c r="F448" s="225"/>
      <c r="G448" s="225" t="s">
        <v>122</v>
      </c>
      <c r="H448" s="225" t="s">
        <v>322</v>
      </c>
      <c r="I448" s="226" t="s">
        <v>156</v>
      </c>
      <c r="J448" s="227">
        <v>0.86</v>
      </c>
      <c r="K448" s="227">
        <v>6340.45</v>
      </c>
    </row>
    <row r="449" spans="2:11" x14ac:dyDescent="0.35">
      <c r="B449" s="225" t="s">
        <v>308</v>
      </c>
      <c r="C449" s="225" t="s">
        <v>155</v>
      </c>
      <c r="D449" s="225">
        <v>313</v>
      </c>
      <c r="E449" s="225"/>
      <c r="F449" s="225"/>
      <c r="G449" s="225" t="s">
        <v>159</v>
      </c>
      <c r="H449" s="225" t="s">
        <v>309</v>
      </c>
      <c r="I449" s="226" t="s">
        <v>156</v>
      </c>
      <c r="J449" s="227">
        <v>543.33000000000004</v>
      </c>
      <c r="K449" s="227">
        <v>6883.78</v>
      </c>
    </row>
    <row r="450" spans="2:11" x14ac:dyDescent="0.35">
      <c r="B450" s="225" t="s">
        <v>308</v>
      </c>
      <c r="C450" s="225" t="s">
        <v>155</v>
      </c>
      <c r="D450" s="225">
        <v>313</v>
      </c>
      <c r="E450" s="225"/>
      <c r="F450" s="225"/>
      <c r="G450" s="225" t="s">
        <v>320</v>
      </c>
      <c r="H450" s="225" t="s">
        <v>322</v>
      </c>
      <c r="I450" s="226" t="s">
        <v>156</v>
      </c>
      <c r="J450" s="227">
        <v>343.38</v>
      </c>
      <c r="K450" s="227">
        <v>7227.16</v>
      </c>
    </row>
    <row r="451" spans="2:11" x14ac:dyDescent="0.35">
      <c r="B451" s="225" t="s">
        <v>308</v>
      </c>
      <c r="C451" s="225" t="s">
        <v>155</v>
      </c>
      <c r="D451" s="225">
        <v>313</v>
      </c>
      <c r="E451" s="225"/>
      <c r="F451" s="225"/>
      <c r="G451" s="225" t="s">
        <v>98</v>
      </c>
      <c r="H451" s="225" t="s">
        <v>363</v>
      </c>
      <c r="I451" s="226" t="s">
        <v>156</v>
      </c>
      <c r="J451" s="227">
        <v>272.77999999999997</v>
      </c>
      <c r="K451" s="227">
        <v>7499.94</v>
      </c>
    </row>
    <row r="452" spans="2:11" x14ac:dyDescent="0.35">
      <c r="B452" s="225" t="s">
        <v>308</v>
      </c>
      <c r="C452" s="225" t="s">
        <v>155</v>
      </c>
      <c r="D452" s="225">
        <v>313</v>
      </c>
      <c r="E452" s="225"/>
      <c r="F452" s="225"/>
      <c r="G452" s="225" t="s">
        <v>102</v>
      </c>
      <c r="H452" s="225" t="s">
        <v>326</v>
      </c>
      <c r="I452" s="226" t="s">
        <v>156</v>
      </c>
      <c r="J452" s="227">
        <v>253.7</v>
      </c>
      <c r="K452" s="227">
        <v>7753.64</v>
      </c>
    </row>
    <row r="453" spans="2:11" x14ac:dyDescent="0.35">
      <c r="B453" s="225" t="s">
        <v>308</v>
      </c>
      <c r="C453" s="225" t="s">
        <v>155</v>
      </c>
      <c r="D453" s="225">
        <v>313</v>
      </c>
      <c r="E453" s="225"/>
      <c r="F453" s="225"/>
      <c r="G453" s="225" t="s">
        <v>98</v>
      </c>
      <c r="H453" s="225" t="s">
        <v>362</v>
      </c>
      <c r="I453" s="226" t="s">
        <v>156</v>
      </c>
      <c r="J453" s="227">
        <v>226.3</v>
      </c>
      <c r="K453" s="227">
        <v>7979.94</v>
      </c>
    </row>
    <row r="454" spans="2:11" x14ac:dyDescent="0.35">
      <c r="B454" s="225" t="s">
        <v>308</v>
      </c>
      <c r="C454" s="225" t="s">
        <v>155</v>
      </c>
      <c r="D454" s="225">
        <v>313</v>
      </c>
      <c r="E454" s="225"/>
      <c r="F454" s="225"/>
      <c r="G454" s="225" t="s">
        <v>104</v>
      </c>
      <c r="H454" s="225" t="s">
        <v>404</v>
      </c>
      <c r="I454" s="226" t="s">
        <v>156</v>
      </c>
      <c r="J454" s="227">
        <v>220.82</v>
      </c>
      <c r="K454" s="227">
        <v>8200.76</v>
      </c>
    </row>
    <row r="455" spans="2:11" x14ac:dyDescent="0.35">
      <c r="B455" s="225" t="s">
        <v>308</v>
      </c>
      <c r="C455" s="225" t="s">
        <v>155</v>
      </c>
      <c r="D455" s="225">
        <v>313</v>
      </c>
      <c r="E455" s="225"/>
      <c r="F455" s="225"/>
      <c r="G455" s="225" t="s">
        <v>103</v>
      </c>
      <c r="H455" s="225" t="s">
        <v>408</v>
      </c>
      <c r="I455" s="226" t="s">
        <v>156</v>
      </c>
      <c r="J455" s="227">
        <v>215.26</v>
      </c>
      <c r="K455" s="227">
        <v>8416.02</v>
      </c>
    </row>
    <row r="456" spans="2:11" x14ac:dyDescent="0.35">
      <c r="B456" s="225" t="s">
        <v>308</v>
      </c>
      <c r="C456" s="225" t="s">
        <v>155</v>
      </c>
      <c r="D456" s="225">
        <v>313</v>
      </c>
      <c r="E456" s="225"/>
      <c r="F456" s="225"/>
      <c r="G456" s="225" t="s">
        <v>166</v>
      </c>
      <c r="H456" s="225" t="s">
        <v>361</v>
      </c>
      <c r="I456" s="226" t="s">
        <v>156</v>
      </c>
      <c r="J456" s="227">
        <v>213.23</v>
      </c>
      <c r="K456" s="227">
        <v>8629.25</v>
      </c>
    </row>
    <row r="457" spans="2:11" x14ac:dyDescent="0.35">
      <c r="B457" s="225" t="s">
        <v>308</v>
      </c>
      <c r="C457" s="225" t="s">
        <v>155</v>
      </c>
      <c r="D457" s="225">
        <v>313</v>
      </c>
      <c r="E457" s="225"/>
      <c r="F457" s="225"/>
      <c r="G457" s="225" t="s">
        <v>98</v>
      </c>
      <c r="H457" s="225" t="s">
        <v>327</v>
      </c>
      <c r="I457" s="226" t="s">
        <v>156</v>
      </c>
      <c r="J457" s="227">
        <v>194.07</v>
      </c>
      <c r="K457" s="227">
        <v>8823.32</v>
      </c>
    </row>
    <row r="458" spans="2:11" x14ac:dyDescent="0.35">
      <c r="B458" s="225" t="s">
        <v>308</v>
      </c>
      <c r="C458" s="225" t="s">
        <v>155</v>
      </c>
      <c r="D458" s="225">
        <v>313</v>
      </c>
      <c r="E458" s="225"/>
      <c r="F458" s="225"/>
      <c r="G458" s="225" t="s">
        <v>102</v>
      </c>
      <c r="H458" s="225" t="s">
        <v>395</v>
      </c>
      <c r="I458" s="226" t="s">
        <v>156</v>
      </c>
      <c r="J458" s="227">
        <v>160.77000000000001</v>
      </c>
      <c r="K458" s="227">
        <v>8984.09</v>
      </c>
    </row>
    <row r="459" spans="2:11" x14ac:dyDescent="0.35">
      <c r="B459" s="225" t="s">
        <v>308</v>
      </c>
      <c r="C459" s="225" t="s">
        <v>155</v>
      </c>
      <c r="D459" s="225">
        <v>313</v>
      </c>
      <c r="E459" s="225"/>
      <c r="F459" s="225"/>
      <c r="G459" s="225" t="s">
        <v>98</v>
      </c>
      <c r="H459" s="225" t="s">
        <v>388</v>
      </c>
      <c r="I459" s="226" t="s">
        <v>156</v>
      </c>
      <c r="J459" s="227">
        <v>155.69</v>
      </c>
      <c r="K459" s="227">
        <v>9139.7800000000007</v>
      </c>
    </row>
    <row r="460" spans="2:11" x14ac:dyDescent="0.35">
      <c r="B460" s="225" t="s">
        <v>308</v>
      </c>
      <c r="C460" s="225" t="s">
        <v>155</v>
      </c>
      <c r="D460" s="225">
        <v>313</v>
      </c>
      <c r="E460" s="225"/>
      <c r="F460" s="225"/>
      <c r="G460" s="225" t="s">
        <v>105</v>
      </c>
      <c r="H460" s="225" t="s">
        <v>412</v>
      </c>
      <c r="I460" s="226" t="s">
        <v>156</v>
      </c>
      <c r="J460" s="227">
        <v>154.32</v>
      </c>
      <c r="K460" s="227">
        <v>9294.1</v>
      </c>
    </row>
    <row r="461" spans="2:11" x14ac:dyDescent="0.35">
      <c r="B461" s="225" t="s">
        <v>308</v>
      </c>
      <c r="C461" s="225" t="s">
        <v>155</v>
      </c>
      <c r="D461" s="225">
        <v>313</v>
      </c>
      <c r="E461" s="225"/>
      <c r="F461" s="225"/>
      <c r="G461" s="225" t="s">
        <v>102</v>
      </c>
      <c r="H461" s="225" t="s">
        <v>400</v>
      </c>
      <c r="I461" s="226" t="s">
        <v>156</v>
      </c>
      <c r="J461" s="227">
        <v>141.4</v>
      </c>
      <c r="K461" s="227">
        <v>9435.5</v>
      </c>
    </row>
    <row r="462" spans="2:11" x14ac:dyDescent="0.35">
      <c r="B462" s="225" t="s">
        <v>308</v>
      </c>
      <c r="C462" s="225" t="s">
        <v>155</v>
      </c>
      <c r="D462" s="225">
        <v>313</v>
      </c>
      <c r="E462" s="225"/>
      <c r="F462" s="225"/>
      <c r="G462" s="225" t="s">
        <v>112</v>
      </c>
      <c r="H462" s="225" t="s">
        <v>317</v>
      </c>
      <c r="I462" s="226" t="s">
        <v>156</v>
      </c>
      <c r="J462" s="227">
        <v>137.9</v>
      </c>
      <c r="K462" s="227">
        <v>9573.4</v>
      </c>
    </row>
    <row r="463" spans="2:11" x14ac:dyDescent="0.35">
      <c r="B463" s="225" t="s">
        <v>308</v>
      </c>
      <c r="C463" s="225" t="s">
        <v>155</v>
      </c>
      <c r="D463" s="225">
        <v>313</v>
      </c>
      <c r="E463" s="225"/>
      <c r="F463" s="225"/>
      <c r="G463" s="225" t="s">
        <v>108</v>
      </c>
      <c r="H463" s="225" t="s">
        <v>374</v>
      </c>
      <c r="I463" s="226" t="s">
        <v>156</v>
      </c>
      <c r="J463" s="227">
        <v>134.25</v>
      </c>
      <c r="K463" s="227">
        <v>9707.65</v>
      </c>
    </row>
    <row r="464" spans="2:11" x14ac:dyDescent="0.35">
      <c r="B464" s="225" t="s">
        <v>308</v>
      </c>
      <c r="C464" s="225" t="s">
        <v>155</v>
      </c>
      <c r="D464" s="225">
        <v>313</v>
      </c>
      <c r="E464" s="225"/>
      <c r="F464" s="225"/>
      <c r="G464" s="225" t="s">
        <v>101</v>
      </c>
      <c r="H464" s="225" t="s">
        <v>360</v>
      </c>
      <c r="I464" s="226" t="s">
        <v>156</v>
      </c>
      <c r="J464" s="227">
        <v>126.77</v>
      </c>
      <c r="K464" s="227">
        <v>9834.42</v>
      </c>
    </row>
    <row r="465" spans="2:11" x14ac:dyDescent="0.35">
      <c r="B465" s="225" t="s">
        <v>308</v>
      </c>
      <c r="C465" s="225" t="s">
        <v>155</v>
      </c>
      <c r="D465" s="225">
        <v>313</v>
      </c>
      <c r="E465" s="225"/>
      <c r="F465" s="225"/>
      <c r="G465" s="225" t="s">
        <v>98</v>
      </c>
      <c r="H465" s="225" t="s">
        <v>387</v>
      </c>
      <c r="I465" s="226" t="s">
        <v>156</v>
      </c>
      <c r="J465" s="227">
        <v>122.59</v>
      </c>
      <c r="K465" s="227">
        <v>9957.01</v>
      </c>
    </row>
    <row r="466" spans="2:11" x14ac:dyDescent="0.35">
      <c r="B466" s="225" t="s">
        <v>308</v>
      </c>
      <c r="C466" s="225" t="s">
        <v>155</v>
      </c>
      <c r="D466" s="225">
        <v>313</v>
      </c>
      <c r="E466" s="225"/>
      <c r="F466" s="225"/>
      <c r="G466" s="225" t="s">
        <v>117</v>
      </c>
      <c r="H466" s="225" t="s">
        <v>313</v>
      </c>
      <c r="I466" s="226" t="s">
        <v>156</v>
      </c>
      <c r="J466" s="227">
        <v>110.12</v>
      </c>
      <c r="K466" s="227">
        <v>10067.129999999999</v>
      </c>
    </row>
    <row r="467" spans="2:11" x14ac:dyDescent="0.35">
      <c r="B467" s="225" t="s">
        <v>308</v>
      </c>
      <c r="C467" s="225" t="s">
        <v>155</v>
      </c>
      <c r="D467" s="225">
        <v>313</v>
      </c>
      <c r="E467" s="225"/>
      <c r="F467" s="225"/>
      <c r="G467" s="225" t="s">
        <v>103</v>
      </c>
      <c r="H467" s="225" t="s">
        <v>404</v>
      </c>
      <c r="I467" s="226" t="s">
        <v>156</v>
      </c>
      <c r="J467" s="227">
        <v>108.76</v>
      </c>
      <c r="K467" s="227">
        <v>10175.89</v>
      </c>
    </row>
    <row r="468" spans="2:11" x14ac:dyDescent="0.35">
      <c r="B468" s="225" t="s">
        <v>308</v>
      </c>
      <c r="C468" s="225" t="s">
        <v>155</v>
      </c>
      <c r="D468" s="225">
        <v>313</v>
      </c>
      <c r="E468" s="225"/>
      <c r="F468" s="225"/>
      <c r="G468" s="225" t="s">
        <v>105</v>
      </c>
      <c r="H468" s="225" t="s">
        <v>368</v>
      </c>
      <c r="I468" s="226" t="s">
        <v>156</v>
      </c>
      <c r="J468" s="227">
        <v>106.59</v>
      </c>
      <c r="K468" s="227">
        <v>10282.48</v>
      </c>
    </row>
    <row r="469" spans="2:11" x14ac:dyDescent="0.35">
      <c r="B469" s="225" t="s">
        <v>308</v>
      </c>
      <c r="C469" s="225" t="s">
        <v>155</v>
      </c>
      <c r="D469" s="225">
        <v>313</v>
      </c>
      <c r="E469" s="225"/>
      <c r="F469" s="225"/>
      <c r="G469" s="225" t="s">
        <v>102</v>
      </c>
      <c r="H469" s="225" t="s">
        <v>394</v>
      </c>
      <c r="I469" s="226" t="s">
        <v>156</v>
      </c>
      <c r="J469" s="227">
        <v>95.56</v>
      </c>
      <c r="K469" s="227">
        <v>10378.040000000001</v>
      </c>
    </row>
    <row r="470" spans="2:11" x14ac:dyDescent="0.35">
      <c r="B470" s="225" t="s">
        <v>308</v>
      </c>
      <c r="C470" s="225" t="s">
        <v>155</v>
      </c>
      <c r="D470" s="225">
        <v>313</v>
      </c>
      <c r="E470" s="225"/>
      <c r="F470" s="225"/>
      <c r="G470" s="225" t="s">
        <v>101</v>
      </c>
      <c r="H470" s="225" t="s">
        <v>364</v>
      </c>
      <c r="I470" s="226" t="s">
        <v>156</v>
      </c>
      <c r="J470" s="227">
        <v>92.53</v>
      </c>
      <c r="K470" s="227">
        <v>10470.57</v>
      </c>
    </row>
    <row r="471" spans="2:11" x14ac:dyDescent="0.35">
      <c r="B471" s="225" t="s">
        <v>308</v>
      </c>
      <c r="C471" s="225" t="s">
        <v>155</v>
      </c>
      <c r="D471" s="225">
        <v>313</v>
      </c>
      <c r="E471" s="225"/>
      <c r="F471" s="225"/>
      <c r="G471" s="225" t="s">
        <v>98</v>
      </c>
      <c r="H471" s="225" t="s">
        <v>352</v>
      </c>
      <c r="I471" s="226" t="s">
        <v>156</v>
      </c>
      <c r="J471" s="227">
        <v>90.55</v>
      </c>
      <c r="K471" s="227">
        <v>10561.12</v>
      </c>
    </row>
    <row r="472" spans="2:11" x14ac:dyDescent="0.35">
      <c r="B472" s="225" t="s">
        <v>308</v>
      </c>
      <c r="C472" s="225" t="s">
        <v>155</v>
      </c>
      <c r="D472" s="225">
        <v>313</v>
      </c>
      <c r="E472" s="225"/>
      <c r="F472" s="225"/>
      <c r="G472" s="225" t="s">
        <v>104</v>
      </c>
      <c r="H472" s="225" t="s">
        <v>317</v>
      </c>
      <c r="I472" s="226" t="s">
        <v>156</v>
      </c>
      <c r="J472" s="227">
        <v>84.86</v>
      </c>
      <c r="K472" s="227">
        <v>10645.98</v>
      </c>
    </row>
    <row r="473" spans="2:11" x14ac:dyDescent="0.35">
      <c r="B473" s="225" t="s">
        <v>308</v>
      </c>
      <c r="C473" s="225" t="s">
        <v>155</v>
      </c>
      <c r="D473" s="225">
        <v>313</v>
      </c>
      <c r="E473" s="225"/>
      <c r="F473" s="225"/>
      <c r="G473" s="225" t="s">
        <v>100</v>
      </c>
      <c r="H473" s="225" t="s">
        <v>380</v>
      </c>
      <c r="I473" s="226" t="s">
        <v>156</v>
      </c>
      <c r="J473" s="227">
        <v>81.91</v>
      </c>
      <c r="K473" s="227">
        <v>10727.89</v>
      </c>
    </row>
    <row r="474" spans="2:11" x14ac:dyDescent="0.35">
      <c r="B474" s="225" t="s">
        <v>308</v>
      </c>
      <c r="C474" s="225" t="s">
        <v>155</v>
      </c>
      <c r="D474" s="225">
        <v>313</v>
      </c>
      <c r="E474" s="225"/>
      <c r="F474" s="225"/>
      <c r="G474" s="225" t="s">
        <v>117</v>
      </c>
      <c r="H474" s="225" t="s">
        <v>341</v>
      </c>
      <c r="I474" s="226" t="s">
        <v>156</v>
      </c>
      <c r="J474" s="227">
        <v>79.08</v>
      </c>
      <c r="K474" s="227">
        <v>10806.97</v>
      </c>
    </row>
    <row r="475" spans="2:11" x14ac:dyDescent="0.35">
      <c r="B475" s="225" t="s">
        <v>308</v>
      </c>
      <c r="C475" s="225" t="s">
        <v>155</v>
      </c>
      <c r="D475" s="225">
        <v>313</v>
      </c>
      <c r="E475" s="225"/>
      <c r="F475" s="225"/>
      <c r="G475" s="225" t="s">
        <v>99</v>
      </c>
      <c r="H475" s="225" t="s">
        <v>327</v>
      </c>
      <c r="I475" s="226" t="s">
        <v>156</v>
      </c>
      <c r="J475" s="227">
        <v>75.47</v>
      </c>
      <c r="K475" s="227">
        <v>10882.44</v>
      </c>
    </row>
    <row r="476" spans="2:11" x14ac:dyDescent="0.35">
      <c r="B476" s="225" t="s">
        <v>308</v>
      </c>
      <c r="C476" s="225" t="s">
        <v>155</v>
      </c>
      <c r="D476" s="225">
        <v>313</v>
      </c>
      <c r="E476" s="225"/>
      <c r="F476" s="225"/>
      <c r="G476" s="225" t="s">
        <v>116</v>
      </c>
      <c r="H476" s="225" t="s">
        <v>313</v>
      </c>
      <c r="I476" s="226" t="s">
        <v>156</v>
      </c>
      <c r="J476" s="227">
        <v>72.58</v>
      </c>
      <c r="K476" s="227">
        <v>10955.02</v>
      </c>
    </row>
    <row r="477" spans="2:11" x14ac:dyDescent="0.35">
      <c r="B477" s="225" t="s">
        <v>308</v>
      </c>
      <c r="C477" s="225" t="s">
        <v>155</v>
      </c>
      <c r="D477" s="225">
        <v>313</v>
      </c>
      <c r="E477" s="225"/>
      <c r="F477" s="225"/>
      <c r="G477" s="225" t="s">
        <v>102</v>
      </c>
      <c r="H477" s="225" t="s">
        <v>317</v>
      </c>
      <c r="I477" s="226" t="s">
        <v>156</v>
      </c>
      <c r="J477" s="227">
        <v>70.709999999999994</v>
      </c>
      <c r="K477" s="227">
        <v>11025.73</v>
      </c>
    </row>
    <row r="478" spans="2:11" x14ac:dyDescent="0.35">
      <c r="B478" s="225" t="s">
        <v>308</v>
      </c>
      <c r="C478" s="225" t="s">
        <v>155</v>
      </c>
      <c r="D478" s="225">
        <v>313</v>
      </c>
      <c r="E478" s="225"/>
      <c r="F478" s="225"/>
      <c r="G478" s="225" t="s">
        <v>122</v>
      </c>
      <c r="H478" s="225" t="s">
        <v>313</v>
      </c>
      <c r="I478" s="226" t="s">
        <v>156</v>
      </c>
      <c r="J478" s="227">
        <v>67.569999999999993</v>
      </c>
      <c r="K478" s="227">
        <v>11093.3</v>
      </c>
    </row>
    <row r="479" spans="2:11" x14ac:dyDescent="0.35">
      <c r="B479" s="225" t="s">
        <v>308</v>
      </c>
      <c r="C479" s="225" t="s">
        <v>155</v>
      </c>
      <c r="D479" s="225">
        <v>313</v>
      </c>
      <c r="E479" s="225"/>
      <c r="F479" s="225"/>
      <c r="G479" s="225" t="s">
        <v>100</v>
      </c>
      <c r="H479" s="225" t="s">
        <v>381</v>
      </c>
      <c r="I479" s="226" t="s">
        <v>156</v>
      </c>
      <c r="J479" s="227">
        <v>65.8</v>
      </c>
      <c r="K479" s="227">
        <v>11159.1</v>
      </c>
    </row>
    <row r="480" spans="2:11" x14ac:dyDescent="0.35">
      <c r="B480" s="225" t="s">
        <v>308</v>
      </c>
      <c r="C480" s="225" t="s">
        <v>155</v>
      </c>
      <c r="D480" s="225">
        <v>313</v>
      </c>
      <c r="E480" s="225"/>
      <c r="F480" s="225"/>
      <c r="G480" s="225" t="s">
        <v>117</v>
      </c>
      <c r="H480" s="225" t="s">
        <v>341</v>
      </c>
      <c r="I480" s="226" t="s">
        <v>156</v>
      </c>
      <c r="J480" s="227">
        <v>64.67</v>
      </c>
      <c r="K480" s="227">
        <v>11223.77</v>
      </c>
    </row>
    <row r="481" spans="1:11" x14ac:dyDescent="0.35">
      <c r="B481" s="225" t="s">
        <v>308</v>
      </c>
      <c r="C481" s="225" t="s">
        <v>155</v>
      </c>
      <c r="D481" s="225">
        <v>313</v>
      </c>
      <c r="E481" s="225"/>
      <c r="F481" s="225"/>
      <c r="G481" s="225" t="s">
        <v>106</v>
      </c>
      <c r="H481" s="225" t="s">
        <v>375</v>
      </c>
      <c r="I481" s="226" t="s">
        <v>156</v>
      </c>
      <c r="J481" s="227">
        <v>63.37</v>
      </c>
      <c r="K481" s="227">
        <v>11287.14</v>
      </c>
    </row>
    <row r="482" spans="1:11" x14ac:dyDescent="0.35">
      <c r="B482" s="225" t="s">
        <v>308</v>
      </c>
      <c r="C482" s="225" t="s">
        <v>155</v>
      </c>
      <c r="D482" s="225">
        <v>313</v>
      </c>
      <c r="E482" s="225"/>
      <c r="F482" s="225"/>
      <c r="G482" s="225" t="s">
        <v>110</v>
      </c>
      <c r="H482" s="225" t="s">
        <v>375</v>
      </c>
      <c r="I482" s="226" t="s">
        <v>156</v>
      </c>
      <c r="J482" s="227">
        <v>63.36</v>
      </c>
      <c r="K482" s="227">
        <v>11350.5</v>
      </c>
    </row>
    <row r="483" spans="1:11" x14ac:dyDescent="0.35">
      <c r="B483" s="225" t="s">
        <v>308</v>
      </c>
      <c r="C483" s="225" t="s">
        <v>155</v>
      </c>
      <c r="D483" s="225">
        <v>313</v>
      </c>
      <c r="E483" s="225"/>
      <c r="F483" s="225"/>
      <c r="G483" s="225" t="s">
        <v>109</v>
      </c>
      <c r="H483" s="225" t="s">
        <v>375</v>
      </c>
      <c r="I483" s="226" t="s">
        <v>156</v>
      </c>
      <c r="J483" s="227">
        <v>63.36</v>
      </c>
      <c r="K483" s="227">
        <v>11413.86</v>
      </c>
    </row>
    <row r="484" spans="1:11" x14ac:dyDescent="0.35">
      <c r="B484" s="225" t="s">
        <v>308</v>
      </c>
      <c r="C484" s="225" t="s">
        <v>155</v>
      </c>
      <c r="D484" s="225">
        <v>313</v>
      </c>
      <c r="E484" s="225"/>
      <c r="F484" s="225"/>
      <c r="G484" s="225" t="s">
        <v>112</v>
      </c>
      <c r="H484" s="225" t="s">
        <v>317</v>
      </c>
      <c r="I484" s="226" t="s">
        <v>156</v>
      </c>
      <c r="J484" s="227">
        <v>62.69</v>
      </c>
      <c r="K484" s="227">
        <v>11476.55</v>
      </c>
    </row>
    <row r="485" spans="1:11" x14ac:dyDescent="0.35">
      <c r="B485" s="225" t="s">
        <v>308</v>
      </c>
      <c r="C485" s="225" t="s">
        <v>155</v>
      </c>
      <c r="D485" s="225">
        <v>313</v>
      </c>
      <c r="E485" s="225"/>
      <c r="F485" s="225"/>
      <c r="G485" s="225" t="s">
        <v>121</v>
      </c>
      <c r="H485" s="225" t="s">
        <v>309</v>
      </c>
      <c r="I485" s="226" t="s">
        <v>156</v>
      </c>
      <c r="J485" s="227">
        <v>60.37</v>
      </c>
      <c r="K485" s="227">
        <v>11536.92</v>
      </c>
    </row>
    <row r="486" spans="1:11" x14ac:dyDescent="0.35">
      <c r="B486" s="225" t="s">
        <v>308</v>
      </c>
      <c r="C486" s="225" t="s">
        <v>155</v>
      </c>
      <c r="D486" s="225">
        <v>313</v>
      </c>
      <c r="E486" s="225"/>
      <c r="F486" s="225"/>
      <c r="G486" s="225" t="s">
        <v>98</v>
      </c>
      <c r="H486" s="225" t="s">
        <v>396</v>
      </c>
      <c r="I486" s="226" t="s">
        <v>156</v>
      </c>
      <c r="J486" s="227">
        <v>60.27</v>
      </c>
      <c r="K486" s="227">
        <v>11597.19</v>
      </c>
    </row>
    <row r="487" spans="1:11" x14ac:dyDescent="0.35">
      <c r="B487" s="225" t="s">
        <v>308</v>
      </c>
      <c r="C487" s="225" t="s">
        <v>155</v>
      </c>
      <c r="D487" s="225">
        <v>313</v>
      </c>
      <c r="E487" s="225"/>
      <c r="F487" s="225"/>
      <c r="G487" s="225" t="s">
        <v>107</v>
      </c>
      <c r="H487" s="225" t="s">
        <v>375</v>
      </c>
      <c r="I487" s="226" t="s">
        <v>156</v>
      </c>
      <c r="J487" s="227">
        <v>45.62</v>
      </c>
      <c r="K487" s="227">
        <v>11642.81</v>
      </c>
    </row>
    <row r="488" spans="1:11" x14ac:dyDescent="0.35">
      <c r="B488" s="225" t="s">
        <v>308</v>
      </c>
      <c r="C488" s="225" t="s">
        <v>155</v>
      </c>
      <c r="D488" s="225">
        <v>313</v>
      </c>
      <c r="E488" s="225"/>
      <c r="F488" s="225"/>
      <c r="G488" s="225" t="s">
        <v>99</v>
      </c>
      <c r="H488" s="225" t="s">
        <v>337</v>
      </c>
      <c r="I488" s="226" t="s">
        <v>156</v>
      </c>
      <c r="J488" s="227">
        <v>42.12</v>
      </c>
      <c r="K488" s="227">
        <v>11684.93</v>
      </c>
    </row>
    <row r="489" spans="1:11" x14ac:dyDescent="0.35">
      <c r="B489" s="225" t="s">
        <v>308</v>
      </c>
      <c r="C489" s="225" t="s">
        <v>155</v>
      </c>
      <c r="D489" s="225">
        <v>313</v>
      </c>
      <c r="E489" s="225"/>
      <c r="F489" s="225"/>
      <c r="G489" s="225" t="s">
        <v>99</v>
      </c>
      <c r="H489" s="225" t="s">
        <v>348</v>
      </c>
      <c r="I489" s="226" t="s">
        <v>156</v>
      </c>
      <c r="J489" s="227">
        <v>39.200000000000003</v>
      </c>
      <c r="K489" s="227">
        <v>11724.13</v>
      </c>
    </row>
    <row r="490" spans="1:11" x14ac:dyDescent="0.35">
      <c r="A490" s="224" t="s">
        <v>437</v>
      </c>
      <c r="J490" s="228">
        <v>11724.13</v>
      </c>
    </row>
    <row r="491" spans="1:11" x14ac:dyDescent="0.35">
      <c r="A491" s="224" t="s">
        <v>438</v>
      </c>
      <c r="J491" s="228">
        <v>18511.13</v>
      </c>
    </row>
    <row r="492" spans="1:11" x14ac:dyDescent="0.35">
      <c r="A492" s="224" t="s">
        <v>439</v>
      </c>
      <c r="J492" s="228">
        <v>155431.57</v>
      </c>
    </row>
    <row r="493" spans="1:11" x14ac:dyDescent="0.35">
      <c r="A493" s="224" t="s">
        <v>440</v>
      </c>
    </row>
    <row r="494" spans="1:11" x14ac:dyDescent="0.35">
      <c r="A494" s="224" t="s">
        <v>441</v>
      </c>
    </row>
    <row r="495" spans="1:11" x14ac:dyDescent="0.35">
      <c r="B495" s="225" t="s">
        <v>222</v>
      </c>
      <c r="C495" s="225" t="s">
        <v>155</v>
      </c>
      <c r="D495" s="225">
        <v>302</v>
      </c>
      <c r="E495" s="225"/>
      <c r="F495" s="225"/>
      <c r="G495" s="225" t="s">
        <v>232</v>
      </c>
      <c r="H495" s="225" t="s">
        <v>444</v>
      </c>
      <c r="I495" s="226" t="s">
        <v>156</v>
      </c>
      <c r="J495" s="227">
        <v>4000</v>
      </c>
      <c r="K495" s="227">
        <v>4000</v>
      </c>
    </row>
    <row r="496" spans="1:11" x14ac:dyDescent="0.35">
      <c r="B496" s="225" t="s">
        <v>705</v>
      </c>
      <c r="C496" s="225" t="s">
        <v>442</v>
      </c>
      <c r="D496" s="225" t="s">
        <v>706</v>
      </c>
      <c r="E496" s="225" t="s">
        <v>443</v>
      </c>
      <c r="F496" s="225"/>
      <c r="G496" s="225" t="s">
        <v>232</v>
      </c>
      <c r="H496" s="225" t="s">
        <v>707</v>
      </c>
      <c r="I496" s="225" t="s">
        <v>167</v>
      </c>
      <c r="J496" s="227">
        <v>4000</v>
      </c>
      <c r="K496" s="227">
        <v>8000</v>
      </c>
    </row>
    <row r="497" spans="1:11" x14ac:dyDescent="0.35">
      <c r="A497" s="224" t="s">
        <v>445</v>
      </c>
      <c r="J497" s="228">
        <v>8000</v>
      </c>
    </row>
    <row r="498" spans="1:11" x14ac:dyDescent="0.35">
      <c r="A498" s="224" t="s">
        <v>446</v>
      </c>
    </row>
    <row r="499" spans="1:11" x14ac:dyDescent="0.35">
      <c r="B499" s="225" t="s">
        <v>191</v>
      </c>
      <c r="C499" s="225" t="s">
        <v>287</v>
      </c>
      <c r="D499" s="225" t="s">
        <v>448</v>
      </c>
      <c r="E499" s="225" t="s">
        <v>447</v>
      </c>
      <c r="F499" s="225" t="s">
        <v>175</v>
      </c>
      <c r="G499" s="225" t="s">
        <v>304</v>
      </c>
      <c r="H499" s="225" t="s">
        <v>449</v>
      </c>
      <c r="I499" s="225" t="s">
        <v>288</v>
      </c>
      <c r="J499" s="227">
        <v>3006</v>
      </c>
      <c r="K499" s="227">
        <v>3006</v>
      </c>
    </row>
    <row r="500" spans="1:11" x14ac:dyDescent="0.35">
      <c r="A500" s="224" t="s">
        <v>708</v>
      </c>
      <c r="J500" s="228">
        <v>3006</v>
      </c>
    </row>
    <row r="501" spans="1:11" x14ac:dyDescent="0.35">
      <c r="A501" s="224" t="s">
        <v>450</v>
      </c>
    </row>
    <row r="502" spans="1:11" x14ac:dyDescent="0.35">
      <c r="B502" s="225" t="s">
        <v>201</v>
      </c>
      <c r="C502" s="225" t="s">
        <v>287</v>
      </c>
      <c r="D502" s="225">
        <v>3826</v>
      </c>
      <c r="E502" s="225" t="s">
        <v>451</v>
      </c>
      <c r="F502" s="225" t="s">
        <v>175</v>
      </c>
      <c r="G502" s="225" t="s">
        <v>320</v>
      </c>
      <c r="H502" s="225" t="s">
        <v>453</v>
      </c>
      <c r="I502" s="225" t="s">
        <v>288</v>
      </c>
      <c r="J502" s="227">
        <v>5500</v>
      </c>
      <c r="K502" s="227">
        <v>5500</v>
      </c>
    </row>
    <row r="503" spans="1:11" x14ac:dyDescent="0.35">
      <c r="B503" s="225" t="s">
        <v>161</v>
      </c>
      <c r="C503" s="225" t="s">
        <v>287</v>
      </c>
      <c r="D503" s="225">
        <v>20200301</v>
      </c>
      <c r="E503" s="225" t="s">
        <v>728</v>
      </c>
      <c r="F503" s="225" t="s">
        <v>175</v>
      </c>
      <c r="G503" s="225" t="s">
        <v>304</v>
      </c>
      <c r="H503" s="225" t="s">
        <v>455</v>
      </c>
      <c r="I503" s="225" t="s">
        <v>288</v>
      </c>
      <c r="J503" s="227">
        <v>2450</v>
      </c>
      <c r="K503" s="227">
        <v>7950</v>
      </c>
    </row>
    <row r="504" spans="1:11" x14ac:dyDescent="0.35">
      <c r="B504" s="225" t="s">
        <v>161</v>
      </c>
      <c r="C504" s="225" t="s">
        <v>287</v>
      </c>
      <c r="D504" s="225">
        <v>4</v>
      </c>
      <c r="E504" s="225" t="s">
        <v>452</v>
      </c>
      <c r="F504" s="225" t="s">
        <v>175</v>
      </c>
      <c r="G504" s="225" t="s">
        <v>320</v>
      </c>
      <c r="H504" s="225" t="s">
        <v>454</v>
      </c>
      <c r="I504" s="225" t="s">
        <v>288</v>
      </c>
      <c r="J504" s="227">
        <v>800</v>
      </c>
      <c r="K504" s="227">
        <v>8750</v>
      </c>
    </row>
    <row r="505" spans="1:11" x14ac:dyDescent="0.35">
      <c r="B505" s="225" t="s">
        <v>308</v>
      </c>
      <c r="C505" s="225" t="s">
        <v>287</v>
      </c>
      <c r="D505" s="225">
        <v>5</v>
      </c>
      <c r="E505" s="225" t="s">
        <v>452</v>
      </c>
      <c r="F505" s="225" t="s">
        <v>175</v>
      </c>
      <c r="G505" s="225" t="s">
        <v>320</v>
      </c>
      <c r="H505" s="225" t="s">
        <v>456</v>
      </c>
      <c r="I505" s="225" t="s">
        <v>288</v>
      </c>
      <c r="J505" s="227">
        <v>420</v>
      </c>
      <c r="K505" s="227">
        <v>9170</v>
      </c>
    </row>
    <row r="506" spans="1:11" x14ac:dyDescent="0.35">
      <c r="B506" s="225" t="s">
        <v>182</v>
      </c>
      <c r="C506" s="225" t="s">
        <v>287</v>
      </c>
      <c r="D506" s="225">
        <v>20200302</v>
      </c>
      <c r="E506" s="225" t="s">
        <v>728</v>
      </c>
      <c r="F506" s="225" t="s">
        <v>175</v>
      </c>
      <c r="G506" s="225" t="s">
        <v>304</v>
      </c>
      <c r="H506" s="225" t="s">
        <v>457</v>
      </c>
      <c r="I506" s="225" t="s">
        <v>288</v>
      </c>
      <c r="J506" s="227">
        <v>2450</v>
      </c>
      <c r="K506" s="227">
        <v>11620</v>
      </c>
    </row>
    <row r="507" spans="1:11" x14ac:dyDescent="0.35">
      <c r="A507" s="224" t="s">
        <v>709</v>
      </c>
      <c r="J507" s="228">
        <v>11620</v>
      </c>
    </row>
    <row r="508" spans="1:11" x14ac:dyDescent="0.35">
      <c r="A508" s="224" t="s">
        <v>458</v>
      </c>
    </row>
    <row r="509" spans="1:11" x14ac:dyDescent="0.35">
      <c r="B509" s="225" t="s">
        <v>198</v>
      </c>
      <c r="C509" s="225" t="s">
        <v>287</v>
      </c>
      <c r="D509" s="225" t="s">
        <v>462</v>
      </c>
      <c r="E509" s="225" t="s">
        <v>463</v>
      </c>
      <c r="F509" s="225"/>
      <c r="G509" s="225" t="s">
        <v>174</v>
      </c>
      <c r="H509" s="225" t="s">
        <v>464</v>
      </c>
      <c r="I509" s="225" t="s">
        <v>288</v>
      </c>
      <c r="J509" s="227">
        <v>1500</v>
      </c>
      <c r="K509" s="227">
        <v>1500</v>
      </c>
    </row>
    <row r="510" spans="1:11" x14ac:dyDescent="0.35">
      <c r="B510" s="225" t="s">
        <v>176</v>
      </c>
      <c r="C510" s="225" t="s">
        <v>287</v>
      </c>
      <c r="D510" s="225" t="s">
        <v>465</v>
      </c>
      <c r="E510" s="225" t="s">
        <v>278</v>
      </c>
      <c r="F510" s="225" t="s">
        <v>298</v>
      </c>
      <c r="G510" s="225" t="s">
        <v>102</v>
      </c>
      <c r="H510" s="225" t="s">
        <v>466</v>
      </c>
      <c r="I510" s="225" t="s">
        <v>288</v>
      </c>
      <c r="J510" s="227">
        <v>900</v>
      </c>
      <c r="K510" s="227">
        <v>2400</v>
      </c>
    </row>
    <row r="511" spans="1:11" x14ac:dyDescent="0.35">
      <c r="B511" s="225" t="s">
        <v>176</v>
      </c>
      <c r="C511" s="225" t="s">
        <v>287</v>
      </c>
      <c r="D511" s="225" t="s">
        <v>467</v>
      </c>
      <c r="E511" s="225" t="s">
        <v>459</v>
      </c>
      <c r="F511" s="225" t="s">
        <v>298</v>
      </c>
      <c r="G511" s="225" t="s">
        <v>158</v>
      </c>
      <c r="H511" s="225" t="s">
        <v>468</v>
      </c>
      <c r="I511" s="225" t="s">
        <v>288</v>
      </c>
      <c r="J511" s="227">
        <v>450</v>
      </c>
      <c r="K511" s="227">
        <v>2850</v>
      </c>
    </row>
    <row r="512" spans="1:11" x14ac:dyDescent="0.35">
      <c r="B512" s="225" t="s">
        <v>161</v>
      </c>
      <c r="C512" s="225" t="s">
        <v>287</v>
      </c>
      <c r="D512" s="225" t="s">
        <v>471</v>
      </c>
      <c r="E512" s="225" t="s">
        <v>461</v>
      </c>
      <c r="F512" s="225" t="s">
        <v>298</v>
      </c>
      <c r="G512" s="225" t="s">
        <v>168</v>
      </c>
      <c r="H512" s="225" t="s">
        <v>472</v>
      </c>
      <c r="I512" s="225" t="s">
        <v>288</v>
      </c>
      <c r="J512" s="227">
        <v>196</v>
      </c>
      <c r="K512" s="227">
        <v>3046</v>
      </c>
    </row>
    <row r="513" spans="1:11" x14ac:dyDescent="0.35">
      <c r="B513" s="225" t="s">
        <v>161</v>
      </c>
      <c r="C513" s="225" t="s">
        <v>287</v>
      </c>
      <c r="D513" s="225" t="s">
        <v>469</v>
      </c>
      <c r="E513" s="225" t="s">
        <v>460</v>
      </c>
      <c r="F513" s="225" t="s">
        <v>298</v>
      </c>
      <c r="G513" s="225" t="s">
        <v>168</v>
      </c>
      <c r="H513" s="225" t="s">
        <v>470</v>
      </c>
      <c r="I513" s="225" t="s">
        <v>288</v>
      </c>
      <c r="J513" s="227">
        <v>645</v>
      </c>
      <c r="K513" s="227">
        <v>3691</v>
      </c>
    </row>
    <row r="514" spans="1:11" x14ac:dyDescent="0.35">
      <c r="B514" s="225" t="s">
        <v>214</v>
      </c>
      <c r="C514" s="225" t="s">
        <v>287</v>
      </c>
      <c r="D514" s="225" t="s">
        <v>475</v>
      </c>
      <c r="E514" s="225" t="s">
        <v>459</v>
      </c>
      <c r="F514" s="225" t="s">
        <v>298</v>
      </c>
      <c r="G514" s="225" t="s">
        <v>103</v>
      </c>
      <c r="H514" s="225" t="s">
        <v>476</v>
      </c>
      <c r="I514" s="225" t="s">
        <v>288</v>
      </c>
      <c r="J514" s="227">
        <v>180</v>
      </c>
      <c r="K514" s="227">
        <v>3871</v>
      </c>
    </row>
    <row r="515" spans="1:11" x14ac:dyDescent="0.35">
      <c r="B515" s="225" t="s">
        <v>214</v>
      </c>
      <c r="C515" s="225" t="s">
        <v>287</v>
      </c>
      <c r="D515" s="225" t="s">
        <v>473</v>
      </c>
      <c r="E515" s="225" t="s">
        <v>278</v>
      </c>
      <c r="F515" s="225" t="s">
        <v>298</v>
      </c>
      <c r="G515" s="225" t="s">
        <v>102</v>
      </c>
      <c r="H515" s="225" t="s">
        <v>474</v>
      </c>
      <c r="I515" s="225" t="s">
        <v>288</v>
      </c>
      <c r="J515" s="227">
        <v>900</v>
      </c>
      <c r="K515" s="227">
        <v>4771</v>
      </c>
    </row>
    <row r="516" spans="1:11" x14ac:dyDescent="0.35">
      <c r="B516" s="225" t="s">
        <v>251</v>
      </c>
      <c r="C516" s="225" t="s">
        <v>287</v>
      </c>
      <c r="D516" s="225" t="s">
        <v>477</v>
      </c>
      <c r="E516" s="225" t="s">
        <v>461</v>
      </c>
      <c r="F516" s="225" t="s">
        <v>298</v>
      </c>
      <c r="G516" s="225" t="s">
        <v>168</v>
      </c>
      <c r="H516" s="225" t="s">
        <v>478</v>
      </c>
      <c r="I516" s="225" t="s">
        <v>288</v>
      </c>
      <c r="J516" s="227">
        <v>203</v>
      </c>
      <c r="K516" s="227">
        <v>4974</v>
      </c>
    </row>
    <row r="517" spans="1:11" x14ac:dyDescent="0.35">
      <c r="B517" s="225" t="s">
        <v>479</v>
      </c>
      <c r="C517" s="225" t="s">
        <v>287</v>
      </c>
      <c r="D517" s="225" t="s">
        <v>480</v>
      </c>
      <c r="E517" s="225" t="s">
        <v>460</v>
      </c>
      <c r="F517" s="225" t="s">
        <v>298</v>
      </c>
      <c r="G517" s="225" t="s">
        <v>168</v>
      </c>
      <c r="H517" s="225" t="s">
        <v>481</v>
      </c>
      <c r="I517" s="225" t="s">
        <v>288</v>
      </c>
      <c r="J517" s="227">
        <v>480</v>
      </c>
      <c r="K517" s="227">
        <v>5454</v>
      </c>
    </row>
    <row r="518" spans="1:11" x14ac:dyDescent="0.35">
      <c r="B518" s="225" t="s">
        <v>308</v>
      </c>
      <c r="C518" s="225" t="s">
        <v>287</v>
      </c>
      <c r="D518" s="225" t="s">
        <v>482</v>
      </c>
      <c r="E518" s="225" t="s">
        <v>278</v>
      </c>
      <c r="F518" s="225" t="s">
        <v>298</v>
      </c>
      <c r="G518" s="225" t="s">
        <v>103</v>
      </c>
      <c r="H518" s="225" t="s">
        <v>483</v>
      </c>
      <c r="I518" s="225" t="s">
        <v>288</v>
      </c>
      <c r="J518" s="227">
        <v>900</v>
      </c>
      <c r="K518" s="227">
        <v>6354</v>
      </c>
    </row>
    <row r="519" spans="1:11" x14ac:dyDescent="0.35">
      <c r="B519" s="225" t="s">
        <v>255</v>
      </c>
      <c r="C519" s="225" t="s">
        <v>286</v>
      </c>
      <c r="D519" s="225" t="s">
        <v>484</v>
      </c>
      <c r="E519" s="225" t="s">
        <v>485</v>
      </c>
      <c r="F519" s="225"/>
      <c r="G519" s="225" t="s">
        <v>97</v>
      </c>
      <c r="H519" s="225" t="s">
        <v>486</v>
      </c>
      <c r="I519" s="225" t="s">
        <v>167</v>
      </c>
      <c r="J519" s="227">
        <v>700</v>
      </c>
      <c r="K519" s="227">
        <v>7054</v>
      </c>
    </row>
    <row r="520" spans="1:11" x14ac:dyDescent="0.35">
      <c r="B520" s="225" t="s">
        <v>255</v>
      </c>
      <c r="C520" s="225" t="s">
        <v>286</v>
      </c>
      <c r="D520" s="225" t="s">
        <v>487</v>
      </c>
      <c r="E520" s="225" t="s">
        <v>488</v>
      </c>
      <c r="F520" s="225"/>
      <c r="G520" s="225" t="s">
        <v>97</v>
      </c>
      <c r="H520" s="225" t="s">
        <v>486</v>
      </c>
      <c r="I520" s="225" t="s">
        <v>167</v>
      </c>
      <c r="J520" s="227">
        <v>700</v>
      </c>
      <c r="K520" s="227">
        <v>7754</v>
      </c>
    </row>
    <row r="521" spans="1:11" x14ac:dyDescent="0.35">
      <c r="A521" s="224" t="s">
        <v>489</v>
      </c>
      <c r="J521" s="228">
        <v>7754</v>
      </c>
    </row>
    <row r="522" spans="1:11" x14ac:dyDescent="0.35">
      <c r="A522" s="224" t="s">
        <v>490</v>
      </c>
    </row>
    <row r="523" spans="1:11" x14ac:dyDescent="0.35">
      <c r="B523" s="225" t="s">
        <v>191</v>
      </c>
      <c r="C523" s="225" t="s">
        <v>287</v>
      </c>
      <c r="D523" s="225">
        <v>39</v>
      </c>
      <c r="E523" s="225" t="s">
        <v>491</v>
      </c>
      <c r="F523" s="225" t="s">
        <v>492</v>
      </c>
      <c r="G523" s="225" t="s">
        <v>188</v>
      </c>
      <c r="H523" s="225" t="s">
        <v>495</v>
      </c>
      <c r="I523" s="225" t="s">
        <v>288</v>
      </c>
      <c r="J523" s="227">
        <v>8500</v>
      </c>
      <c r="K523" s="227">
        <v>8500</v>
      </c>
    </row>
    <row r="524" spans="1:11" x14ac:dyDescent="0.35">
      <c r="B524" s="225" t="s">
        <v>176</v>
      </c>
      <c r="C524" s="225" t="s">
        <v>287</v>
      </c>
      <c r="D524" s="225" t="s">
        <v>496</v>
      </c>
      <c r="E524" s="225" t="s">
        <v>497</v>
      </c>
      <c r="F524" s="225" t="s">
        <v>492</v>
      </c>
      <c r="G524" s="225" t="s">
        <v>188</v>
      </c>
      <c r="H524" s="225" t="s">
        <v>498</v>
      </c>
      <c r="I524" s="225" t="s">
        <v>288</v>
      </c>
      <c r="J524" s="227">
        <v>2700</v>
      </c>
      <c r="K524" s="227">
        <v>11200</v>
      </c>
    </row>
    <row r="525" spans="1:11" x14ac:dyDescent="0.35">
      <c r="B525" s="225" t="s">
        <v>292</v>
      </c>
      <c r="C525" s="225" t="s">
        <v>287</v>
      </c>
      <c r="D525" s="225">
        <v>7</v>
      </c>
      <c r="E525" s="225" t="s">
        <v>499</v>
      </c>
      <c r="F525" s="225" t="s">
        <v>500</v>
      </c>
      <c r="G525" s="225" t="s">
        <v>122</v>
      </c>
      <c r="H525" s="225" t="s">
        <v>501</v>
      </c>
      <c r="I525" s="225" t="s">
        <v>288</v>
      </c>
      <c r="J525" s="227">
        <v>3000</v>
      </c>
      <c r="K525" s="227">
        <v>14200</v>
      </c>
    </row>
    <row r="526" spans="1:11" x14ac:dyDescent="0.35">
      <c r="B526" s="225" t="s">
        <v>251</v>
      </c>
      <c r="C526" s="225" t="s">
        <v>287</v>
      </c>
      <c r="D526" s="225"/>
      <c r="E526" s="225" t="s">
        <v>493</v>
      </c>
      <c r="F526" s="225" t="s">
        <v>175</v>
      </c>
      <c r="G526" s="225" t="s">
        <v>304</v>
      </c>
      <c r="H526" s="225" t="s">
        <v>502</v>
      </c>
      <c r="I526" s="225" t="s">
        <v>288</v>
      </c>
      <c r="J526" s="227">
        <v>1000</v>
      </c>
      <c r="K526" s="227">
        <v>15200</v>
      </c>
    </row>
    <row r="527" spans="1:11" x14ac:dyDescent="0.35">
      <c r="A527" s="224" t="s">
        <v>503</v>
      </c>
      <c r="J527" s="228">
        <v>15200</v>
      </c>
    </row>
    <row r="528" spans="1:11" x14ac:dyDescent="0.35">
      <c r="A528" s="224" t="s">
        <v>504</v>
      </c>
      <c r="J528" s="228">
        <v>45580</v>
      </c>
    </row>
    <row r="529" spans="1:11" x14ac:dyDescent="0.35">
      <c r="A529" s="224" t="s">
        <v>505</v>
      </c>
    </row>
    <row r="530" spans="1:11" x14ac:dyDescent="0.35">
      <c r="A530" s="224" t="s">
        <v>506</v>
      </c>
    </row>
    <row r="531" spans="1:11" x14ac:dyDescent="0.35">
      <c r="B531" s="225" t="s">
        <v>222</v>
      </c>
      <c r="C531" s="225" t="s">
        <v>287</v>
      </c>
      <c r="D531" s="225" t="s">
        <v>509</v>
      </c>
      <c r="E531" s="225" t="s">
        <v>510</v>
      </c>
      <c r="F531" s="225" t="s">
        <v>35</v>
      </c>
      <c r="G531" s="225" t="s">
        <v>98</v>
      </c>
      <c r="H531" s="225" t="s">
        <v>511</v>
      </c>
      <c r="I531" s="225" t="s">
        <v>288</v>
      </c>
      <c r="J531" s="227">
        <v>174.75</v>
      </c>
      <c r="K531" s="227">
        <v>174.75</v>
      </c>
    </row>
    <row r="532" spans="1:11" x14ac:dyDescent="0.35">
      <c r="A532" s="224" t="s">
        <v>512</v>
      </c>
      <c r="J532" s="228">
        <v>174.75</v>
      </c>
    </row>
    <row r="533" spans="1:11" x14ac:dyDescent="0.35">
      <c r="A533" s="224" t="s">
        <v>513</v>
      </c>
    </row>
    <row r="534" spans="1:11" x14ac:dyDescent="0.35">
      <c r="B534" s="225" t="s">
        <v>191</v>
      </c>
      <c r="C534" s="225" t="s">
        <v>287</v>
      </c>
      <c r="D534" s="225" t="s">
        <v>517</v>
      </c>
      <c r="E534" s="225" t="s">
        <v>507</v>
      </c>
      <c r="F534" s="225" t="s">
        <v>35</v>
      </c>
      <c r="G534" s="225" t="s">
        <v>102</v>
      </c>
      <c r="H534" s="225" t="s">
        <v>515</v>
      </c>
      <c r="I534" s="225" t="s">
        <v>288</v>
      </c>
      <c r="J534" s="227">
        <v>139.99</v>
      </c>
      <c r="K534" s="227">
        <v>139.99</v>
      </c>
    </row>
    <row r="535" spans="1:11" x14ac:dyDescent="0.35">
      <c r="B535" s="225" t="s">
        <v>191</v>
      </c>
      <c r="C535" s="225" t="s">
        <v>287</v>
      </c>
      <c r="D535" s="225" t="s">
        <v>519</v>
      </c>
      <c r="E535" s="225" t="s">
        <v>507</v>
      </c>
      <c r="F535" s="225" t="s">
        <v>175</v>
      </c>
      <c r="G535" s="225" t="s">
        <v>104</v>
      </c>
      <c r="H535" s="225" t="s">
        <v>508</v>
      </c>
      <c r="I535" s="225" t="s">
        <v>288</v>
      </c>
      <c r="J535" s="227">
        <v>329.9</v>
      </c>
      <c r="K535" s="227">
        <v>469.89</v>
      </c>
    </row>
    <row r="536" spans="1:11" x14ac:dyDescent="0.35">
      <c r="B536" s="225" t="s">
        <v>191</v>
      </c>
      <c r="C536" s="225" t="s">
        <v>287</v>
      </c>
      <c r="D536" s="225" t="s">
        <v>521</v>
      </c>
      <c r="E536" s="225" t="s">
        <v>507</v>
      </c>
      <c r="F536" s="225" t="s">
        <v>35</v>
      </c>
      <c r="G536" s="225" t="s">
        <v>102</v>
      </c>
      <c r="H536" s="225" t="s">
        <v>515</v>
      </c>
      <c r="I536" s="225" t="s">
        <v>288</v>
      </c>
      <c r="J536" s="227">
        <v>171.33</v>
      </c>
      <c r="K536" s="227">
        <v>641.22</v>
      </c>
    </row>
    <row r="537" spans="1:11" x14ac:dyDescent="0.35">
      <c r="B537" s="225" t="s">
        <v>191</v>
      </c>
      <c r="C537" s="225" t="s">
        <v>287</v>
      </c>
      <c r="D537" s="225" t="s">
        <v>519</v>
      </c>
      <c r="E537" s="225" t="s">
        <v>507</v>
      </c>
      <c r="F537" s="225" t="s">
        <v>175</v>
      </c>
      <c r="G537" s="225" t="s">
        <v>304</v>
      </c>
      <c r="H537" s="225" t="s">
        <v>508</v>
      </c>
      <c r="I537" s="225" t="s">
        <v>288</v>
      </c>
      <c r="J537" s="227">
        <v>56.39</v>
      </c>
      <c r="K537" s="227">
        <v>697.61</v>
      </c>
    </row>
    <row r="538" spans="1:11" x14ac:dyDescent="0.35">
      <c r="B538" s="225" t="s">
        <v>191</v>
      </c>
      <c r="C538" s="225" t="s">
        <v>287</v>
      </c>
      <c r="D538" s="225" t="s">
        <v>520</v>
      </c>
      <c r="E538" s="225" t="s">
        <v>507</v>
      </c>
      <c r="F538" s="225" t="s">
        <v>35</v>
      </c>
      <c r="G538" s="225" t="s">
        <v>102</v>
      </c>
      <c r="H538" s="225" t="s">
        <v>515</v>
      </c>
      <c r="I538" s="225" t="s">
        <v>288</v>
      </c>
      <c r="J538" s="227">
        <v>184.43</v>
      </c>
      <c r="K538" s="227">
        <v>882.04</v>
      </c>
    </row>
    <row r="539" spans="1:11" x14ac:dyDescent="0.35">
      <c r="B539" s="225" t="s">
        <v>191</v>
      </c>
      <c r="C539" s="225" t="s">
        <v>287</v>
      </c>
      <c r="D539" s="225" t="s">
        <v>518</v>
      </c>
      <c r="E539" s="225" t="s">
        <v>507</v>
      </c>
      <c r="F539" s="225" t="s">
        <v>35</v>
      </c>
      <c r="G539" s="225" t="s">
        <v>102</v>
      </c>
      <c r="H539" s="225" t="s">
        <v>515</v>
      </c>
      <c r="I539" s="225" t="s">
        <v>288</v>
      </c>
      <c r="J539" s="227">
        <v>142.56</v>
      </c>
      <c r="K539" s="227">
        <v>1024.5999999999999</v>
      </c>
    </row>
    <row r="540" spans="1:11" x14ac:dyDescent="0.35">
      <c r="B540" s="225" t="s">
        <v>191</v>
      </c>
      <c r="C540" s="225" t="s">
        <v>287</v>
      </c>
      <c r="D540" s="225" t="s">
        <v>516</v>
      </c>
      <c r="E540" s="225" t="s">
        <v>507</v>
      </c>
      <c r="F540" s="225" t="s">
        <v>175</v>
      </c>
      <c r="G540" s="225" t="s">
        <v>304</v>
      </c>
      <c r="H540" s="225" t="s">
        <v>508</v>
      </c>
      <c r="I540" s="225" t="s">
        <v>288</v>
      </c>
      <c r="J540" s="227">
        <v>32.99</v>
      </c>
      <c r="K540" s="227">
        <v>1057.5899999999999</v>
      </c>
    </row>
    <row r="541" spans="1:11" x14ac:dyDescent="0.35">
      <c r="B541" s="225" t="s">
        <v>191</v>
      </c>
      <c r="C541" s="225" t="s">
        <v>287</v>
      </c>
      <c r="D541" s="225" t="s">
        <v>523</v>
      </c>
      <c r="E541" s="225" t="s">
        <v>507</v>
      </c>
      <c r="F541" s="225" t="s">
        <v>175</v>
      </c>
      <c r="G541" s="225" t="s">
        <v>304</v>
      </c>
      <c r="H541" s="225" t="s">
        <v>508</v>
      </c>
      <c r="I541" s="225" t="s">
        <v>288</v>
      </c>
      <c r="J541" s="227">
        <v>130.46</v>
      </c>
      <c r="K541" s="227">
        <v>1188.05</v>
      </c>
    </row>
    <row r="542" spans="1:11" x14ac:dyDescent="0.35">
      <c r="B542" s="225" t="s">
        <v>191</v>
      </c>
      <c r="C542" s="225" t="s">
        <v>287</v>
      </c>
      <c r="D542" s="225" t="s">
        <v>525</v>
      </c>
      <c r="E542" s="225" t="s">
        <v>507</v>
      </c>
      <c r="F542" s="225" t="s">
        <v>175</v>
      </c>
      <c r="G542" s="225" t="s">
        <v>304</v>
      </c>
      <c r="H542" s="225" t="s">
        <v>508</v>
      </c>
      <c r="I542" s="225" t="s">
        <v>288</v>
      </c>
      <c r="J542" s="227">
        <v>42.37</v>
      </c>
      <c r="K542" s="227">
        <v>1230.42</v>
      </c>
    </row>
    <row r="543" spans="1:11" x14ac:dyDescent="0.35">
      <c r="B543" s="225" t="s">
        <v>191</v>
      </c>
      <c r="C543" s="225" t="s">
        <v>287</v>
      </c>
      <c r="D543" s="225" t="s">
        <v>522</v>
      </c>
      <c r="E543" s="225" t="s">
        <v>507</v>
      </c>
      <c r="F543" s="225" t="s">
        <v>175</v>
      </c>
      <c r="G543" s="225" t="s">
        <v>304</v>
      </c>
      <c r="H543" s="225" t="s">
        <v>508</v>
      </c>
      <c r="I543" s="225" t="s">
        <v>288</v>
      </c>
      <c r="J543" s="227">
        <v>51.79</v>
      </c>
      <c r="K543" s="227">
        <v>1282.21</v>
      </c>
    </row>
    <row r="544" spans="1:11" x14ac:dyDescent="0.35">
      <c r="B544" s="225" t="s">
        <v>191</v>
      </c>
      <c r="C544" s="225" t="s">
        <v>287</v>
      </c>
      <c r="D544" s="225" t="s">
        <v>524</v>
      </c>
      <c r="E544" s="225" t="s">
        <v>507</v>
      </c>
      <c r="F544" s="225" t="s">
        <v>175</v>
      </c>
      <c r="G544" s="225" t="s">
        <v>304</v>
      </c>
      <c r="H544" s="225" t="s">
        <v>508</v>
      </c>
      <c r="I544" s="225" t="s">
        <v>288</v>
      </c>
      <c r="J544" s="227">
        <v>29.99</v>
      </c>
      <c r="K544" s="227">
        <v>1312.2</v>
      </c>
    </row>
    <row r="545" spans="1:11" x14ac:dyDescent="0.35">
      <c r="B545" s="225" t="s">
        <v>248</v>
      </c>
      <c r="C545" s="225" t="s">
        <v>287</v>
      </c>
      <c r="D545" s="225" t="s">
        <v>526</v>
      </c>
      <c r="E545" s="225" t="s">
        <v>507</v>
      </c>
      <c r="F545" s="225" t="s">
        <v>175</v>
      </c>
      <c r="G545" s="225" t="s">
        <v>304</v>
      </c>
      <c r="H545" s="225" t="s">
        <v>508</v>
      </c>
      <c r="I545" s="225" t="s">
        <v>288</v>
      </c>
      <c r="J545" s="227">
        <v>23.18</v>
      </c>
      <c r="K545" s="227">
        <v>1335.38</v>
      </c>
    </row>
    <row r="546" spans="1:11" x14ac:dyDescent="0.35">
      <c r="B546" s="225" t="s">
        <v>248</v>
      </c>
      <c r="C546" s="225" t="s">
        <v>287</v>
      </c>
      <c r="D546" s="225" t="s">
        <v>527</v>
      </c>
      <c r="E546" s="225" t="s">
        <v>507</v>
      </c>
      <c r="F546" s="225" t="s">
        <v>175</v>
      </c>
      <c r="G546" s="225" t="s">
        <v>304</v>
      </c>
      <c r="H546" s="225" t="s">
        <v>508</v>
      </c>
      <c r="I546" s="225" t="s">
        <v>288</v>
      </c>
      <c r="J546" s="227">
        <v>172.99</v>
      </c>
      <c r="K546" s="227">
        <v>1508.37</v>
      </c>
    </row>
    <row r="547" spans="1:11" x14ac:dyDescent="0.35">
      <c r="B547" s="225" t="s">
        <v>292</v>
      </c>
      <c r="C547" s="225" t="s">
        <v>287</v>
      </c>
      <c r="D547" s="225" t="s">
        <v>528</v>
      </c>
      <c r="E547" s="225" t="s">
        <v>514</v>
      </c>
      <c r="F547" s="225"/>
      <c r="G547" s="225" t="s">
        <v>304</v>
      </c>
      <c r="H547" s="225" t="s">
        <v>529</v>
      </c>
      <c r="I547" s="225" t="s">
        <v>288</v>
      </c>
      <c r="J547" s="227">
        <v>781.09</v>
      </c>
      <c r="K547" s="227">
        <v>2289.46</v>
      </c>
    </row>
    <row r="548" spans="1:11" x14ac:dyDescent="0.35">
      <c r="A548" s="224" t="s">
        <v>710</v>
      </c>
      <c r="J548" s="228">
        <v>2289.46</v>
      </c>
    </row>
    <row r="549" spans="1:11" x14ac:dyDescent="0.35">
      <c r="A549" s="224" t="s">
        <v>530</v>
      </c>
    </row>
    <row r="550" spans="1:11" x14ac:dyDescent="0.35">
      <c r="A550" s="224" t="s">
        <v>531</v>
      </c>
    </row>
    <row r="551" spans="1:11" x14ac:dyDescent="0.35">
      <c r="B551" s="225" t="s">
        <v>191</v>
      </c>
      <c r="C551" s="225" t="s">
        <v>287</v>
      </c>
      <c r="D551" s="225" t="s">
        <v>532</v>
      </c>
      <c r="E551" s="225" t="s">
        <v>533</v>
      </c>
      <c r="F551" s="225"/>
      <c r="G551" s="225" t="s">
        <v>304</v>
      </c>
      <c r="H551" s="225" t="s">
        <v>534</v>
      </c>
      <c r="I551" s="225" t="s">
        <v>288</v>
      </c>
      <c r="J551" s="227">
        <v>724.55</v>
      </c>
      <c r="K551" s="227">
        <v>724.55</v>
      </c>
    </row>
    <row r="552" spans="1:11" x14ac:dyDescent="0.35">
      <c r="A552" s="224" t="s">
        <v>535</v>
      </c>
      <c r="J552" s="228">
        <v>724.55</v>
      </c>
    </row>
    <row r="553" spans="1:11" x14ac:dyDescent="0.35">
      <c r="A553" s="224" t="s">
        <v>536</v>
      </c>
    </row>
    <row r="554" spans="1:11" x14ac:dyDescent="0.35">
      <c r="B554" s="225" t="s">
        <v>539</v>
      </c>
      <c r="C554" s="225" t="s">
        <v>287</v>
      </c>
      <c r="D554" s="225" t="s">
        <v>540</v>
      </c>
      <c r="E554" s="225" t="s">
        <v>537</v>
      </c>
      <c r="F554" s="225" t="s">
        <v>538</v>
      </c>
      <c r="G554" s="225" t="s">
        <v>97</v>
      </c>
      <c r="H554" s="225" t="s">
        <v>541</v>
      </c>
      <c r="I554" s="225" t="s">
        <v>288</v>
      </c>
      <c r="J554" s="227">
        <v>199.56</v>
      </c>
      <c r="K554" s="227">
        <v>199.56</v>
      </c>
    </row>
    <row r="555" spans="1:11" x14ac:dyDescent="0.35">
      <c r="A555" s="224" t="s">
        <v>542</v>
      </c>
      <c r="J555" s="228">
        <v>199.56</v>
      </c>
    </row>
    <row r="556" spans="1:11" x14ac:dyDescent="0.35">
      <c r="A556" s="224" t="s">
        <v>543</v>
      </c>
      <c r="J556" s="228">
        <v>924.11</v>
      </c>
    </row>
    <row r="557" spans="1:11" x14ac:dyDescent="0.35">
      <c r="A557" s="224" t="s">
        <v>544</v>
      </c>
    </row>
    <row r="558" spans="1:11" x14ac:dyDescent="0.35">
      <c r="B558" s="225" t="s">
        <v>198</v>
      </c>
      <c r="C558" s="225" t="s">
        <v>287</v>
      </c>
      <c r="D558" s="225" t="s">
        <v>546</v>
      </c>
      <c r="E558" s="225" t="s">
        <v>545</v>
      </c>
      <c r="F558" s="225"/>
      <c r="G558" s="225" t="s">
        <v>103</v>
      </c>
      <c r="H558" s="225" t="s">
        <v>547</v>
      </c>
      <c r="I558" s="225" t="s">
        <v>288</v>
      </c>
      <c r="J558" s="227">
        <v>35.76</v>
      </c>
      <c r="K558" s="227">
        <v>35.76</v>
      </c>
    </row>
    <row r="559" spans="1:11" x14ac:dyDescent="0.35">
      <c r="B559" s="225" t="s">
        <v>201</v>
      </c>
      <c r="C559" s="225" t="s">
        <v>287</v>
      </c>
      <c r="D559" s="225" t="s">
        <v>548</v>
      </c>
      <c r="E559" s="225" t="s">
        <v>545</v>
      </c>
      <c r="F559" s="225"/>
      <c r="G559" s="225" t="s">
        <v>159</v>
      </c>
      <c r="H559" s="225" t="s">
        <v>549</v>
      </c>
      <c r="I559" s="225" t="s">
        <v>288</v>
      </c>
      <c r="J559" s="227">
        <v>36.69</v>
      </c>
      <c r="K559" s="227">
        <v>72.45</v>
      </c>
    </row>
    <row r="560" spans="1:11" x14ac:dyDescent="0.35">
      <c r="A560" s="224" t="s">
        <v>711</v>
      </c>
      <c r="J560" s="228">
        <v>72.45</v>
      </c>
    </row>
    <row r="561" spans="1:11" x14ac:dyDescent="0.35">
      <c r="A561" s="224" t="s">
        <v>550</v>
      </c>
    </row>
    <row r="562" spans="1:11" x14ac:dyDescent="0.35">
      <c r="B562" s="225" t="s">
        <v>176</v>
      </c>
      <c r="C562" s="225" t="s">
        <v>287</v>
      </c>
      <c r="D562" s="225">
        <v>5627</v>
      </c>
      <c r="E562" s="225" t="s">
        <v>551</v>
      </c>
      <c r="F562" s="225"/>
      <c r="G562" s="225" t="s">
        <v>174</v>
      </c>
      <c r="H562" s="225" t="s">
        <v>552</v>
      </c>
      <c r="I562" s="225" t="s">
        <v>288</v>
      </c>
      <c r="J562" s="227">
        <v>55</v>
      </c>
      <c r="K562" s="227">
        <v>55</v>
      </c>
    </row>
    <row r="563" spans="1:11" x14ac:dyDescent="0.35">
      <c r="B563" s="225" t="s">
        <v>161</v>
      </c>
      <c r="C563" s="225" t="s">
        <v>287</v>
      </c>
      <c r="D563" s="225">
        <v>66188</v>
      </c>
      <c r="E563" s="225" t="s">
        <v>553</v>
      </c>
      <c r="F563" s="225" t="s">
        <v>554</v>
      </c>
      <c r="G563" s="225" t="s">
        <v>232</v>
      </c>
      <c r="H563" s="225" t="s">
        <v>555</v>
      </c>
      <c r="I563" s="225" t="s">
        <v>288</v>
      </c>
      <c r="J563" s="227">
        <v>3640</v>
      </c>
      <c r="K563" s="227">
        <v>3695</v>
      </c>
    </row>
    <row r="564" spans="1:11" x14ac:dyDescent="0.35">
      <c r="A564" s="224" t="s">
        <v>556</v>
      </c>
      <c r="J564" s="228">
        <v>3695</v>
      </c>
    </row>
    <row r="565" spans="1:11" x14ac:dyDescent="0.35">
      <c r="A565" s="224" t="s">
        <v>557</v>
      </c>
    </row>
    <row r="566" spans="1:11" x14ac:dyDescent="0.35">
      <c r="B566" s="225" t="s">
        <v>176</v>
      </c>
      <c r="C566" s="225" t="s">
        <v>442</v>
      </c>
      <c r="D566" s="225" t="s">
        <v>559</v>
      </c>
      <c r="E566" s="225" t="s">
        <v>220</v>
      </c>
      <c r="F566" s="225"/>
      <c r="G566" s="225" t="s">
        <v>166</v>
      </c>
      <c r="H566" s="225" t="s">
        <v>558</v>
      </c>
      <c r="I566" s="225" t="s">
        <v>167</v>
      </c>
      <c r="J566" s="227">
        <v>15</v>
      </c>
      <c r="K566" s="227">
        <v>15</v>
      </c>
    </row>
    <row r="567" spans="1:11" x14ac:dyDescent="0.35">
      <c r="A567" s="224" t="s">
        <v>560</v>
      </c>
      <c r="J567" s="228">
        <v>15</v>
      </c>
    </row>
    <row r="568" spans="1:11" x14ac:dyDescent="0.35">
      <c r="A568" s="224" t="s">
        <v>561</v>
      </c>
      <c r="J568" s="228">
        <v>7170.77</v>
      </c>
    </row>
    <row r="569" spans="1:11" x14ac:dyDescent="0.35">
      <c r="A569" s="224" t="s">
        <v>562</v>
      </c>
    </row>
    <row r="570" spans="1:11" x14ac:dyDescent="0.35">
      <c r="A570" s="224" t="s">
        <v>563</v>
      </c>
    </row>
    <row r="571" spans="1:11" x14ac:dyDescent="0.35">
      <c r="B571" s="225" t="s">
        <v>191</v>
      </c>
      <c r="C571" s="225" t="s">
        <v>287</v>
      </c>
      <c r="D571" s="225" t="s">
        <v>567</v>
      </c>
      <c r="E571" s="225" t="s">
        <v>565</v>
      </c>
      <c r="F571" s="225" t="s">
        <v>538</v>
      </c>
      <c r="G571" s="225" t="s">
        <v>97</v>
      </c>
      <c r="H571" s="225" t="s">
        <v>568</v>
      </c>
      <c r="I571" s="225" t="s">
        <v>288</v>
      </c>
      <c r="J571" s="227">
        <v>1500</v>
      </c>
      <c r="K571" s="227">
        <v>1500</v>
      </c>
    </row>
    <row r="572" spans="1:11" x14ac:dyDescent="0.35">
      <c r="B572" s="225" t="s">
        <v>191</v>
      </c>
      <c r="C572" s="225" t="s">
        <v>287</v>
      </c>
      <c r="D572" s="225">
        <v>2058</v>
      </c>
      <c r="E572" s="225" t="s">
        <v>564</v>
      </c>
      <c r="F572" s="225"/>
      <c r="G572" s="225" t="s">
        <v>102</v>
      </c>
      <c r="H572" s="225" t="s">
        <v>566</v>
      </c>
      <c r="I572" s="225" t="s">
        <v>288</v>
      </c>
      <c r="J572" s="227">
        <v>648</v>
      </c>
      <c r="K572" s="227">
        <v>2148</v>
      </c>
    </row>
    <row r="573" spans="1:11" x14ac:dyDescent="0.35">
      <c r="A573" s="224" t="s">
        <v>569</v>
      </c>
      <c r="J573" s="228">
        <v>2148</v>
      </c>
    </row>
    <row r="574" spans="1:11" x14ac:dyDescent="0.35">
      <c r="A574" s="224" t="s">
        <v>570</v>
      </c>
    </row>
    <row r="575" spans="1:11" x14ac:dyDescent="0.35">
      <c r="B575" s="225" t="s">
        <v>201</v>
      </c>
      <c r="C575" s="225" t="s">
        <v>287</v>
      </c>
      <c r="D575" s="225">
        <v>179476</v>
      </c>
      <c r="E575" s="225" t="s">
        <v>571</v>
      </c>
      <c r="F575" s="225" t="s">
        <v>298</v>
      </c>
      <c r="G575" s="225" t="s">
        <v>304</v>
      </c>
      <c r="H575" s="225" t="s">
        <v>572</v>
      </c>
      <c r="I575" s="225" t="s">
        <v>288</v>
      </c>
      <c r="J575" s="227">
        <v>150</v>
      </c>
      <c r="K575" s="227">
        <v>150</v>
      </c>
    </row>
    <row r="576" spans="1:11" x14ac:dyDescent="0.35">
      <c r="A576" s="224" t="s">
        <v>573</v>
      </c>
      <c r="J576" s="228">
        <v>150</v>
      </c>
    </row>
    <row r="577" spans="1:11" x14ac:dyDescent="0.35">
      <c r="A577" s="224" t="s">
        <v>574</v>
      </c>
    </row>
    <row r="578" spans="1:11" x14ac:dyDescent="0.35">
      <c r="B578" s="225" t="s">
        <v>191</v>
      </c>
      <c r="C578" s="225" t="s">
        <v>287</v>
      </c>
      <c r="D578" s="225">
        <v>35017519</v>
      </c>
      <c r="E578" s="225" t="s">
        <v>575</v>
      </c>
      <c r="F578" s="225" t="s">
        <v>494</v>
      </c>
      <c r="G578" s="225" t="s">
        <v>117</v>
      </c>
      <c r="H578" s="225" t="s">
        <v>578</v>
      </c>
      <c r="I578" s="225" t="s">
        <v>288</v>
      </c>
      <c r="J578" s="227">
        <v>136.47999999999999</v>
      </c>
      <c r="K578" s="227">
        <v>136.47999999999999</v>
      </c>
    </row>
    <row r="579" spans="1:11" x14ac:dyDescent="0.35">
      <c r="B579" s="225" t="s">
        <v>539</v>
      </c>
      <c r="C579" s="225" t="s">
        <v>287</v>
      </c>
      <c r="D579" s="225">
        <v>35066366</v>
      </c>
      <c r="E579" s="225" t="s">
        <v>575</v>
      </c>
      <c r="F579" s="225" t="s">
        <v>175</v>
      </c>
      <c r="G579" s="225" t="s">
        <v>304</v>
      </c>
      <c r="H579" s="225" t="s">
        <v>576</v>
      </c>
      <c r="I579" s="225" t="s">
        <v>288</v>
      </c>
      <c r="J579" s="227">
        <v>1580.66</v>
      </c>
      <c r="K579" s="227">
        <v>1717.14</v>
      </c>
    </row>
    <row r="580" spans="1:11" x14ac:dyDescent="0.35">
      <c r="B580" s="225" t="s">
        <v>222</v>
      </c>
      <c r="C580" s="225" t="s">
        <v>287</v>
      </c>
      <c r="D580" s="225">
        <v>35080416</v>
      </c>
      <c r="E580" s="225" t="s">
        <v>575</v>
      </c>
      <c r="F580" s="225" t="s">
        <v>175</v>
      </c>
      <c r="G580" s="225" t="s">
        <v>320</v>
      </c>
      <c r="H580" s="225" t="s">
        <v>577</v>
      </c>
      <c r="I580" s="225" t="s">
        <v>288</v>
      </c>
      <c r="J580" s="227">
        <v>167.66</v>
      </c>
      <c r="K580" s="227">
        <v>1884.8</v>
      </c>
    </row>
    <row r="581" spans="1:11" x14ac:dyDescent="0.35">
      <c r="A581" s="224" t="s">
        <v>579</v>
      </c>
      <c r="J581" s="228">
        <v>1884.8</v>
      </c>
    </row>
    <row r="582" spans="1:11" x14ac:dyDescent="0.35">
      <c r="A582" s="224" t="s">
        <v>580</v>
      </c>
    </row>
    <row r="583" spans="1:11" x14ac:dyDescent="0.35">
      <c r="B583" s="225" t="s">
        <v>206</v>
      </c>
      <c r="C583" s="225" t="s">
        <v>287</v>
      </c>
      <c r="D583" s="225" t="s">
        <v>582</v>
      </c>
      <c r="E583" s="225" t="s">
        <v>581</v>
      </c>
      <c r="F583" s="225" t="s">
        <v>175</v>
      </c>
      <c r="G583" s="225" t="s">
        <v>304</v>
      </c>
      <c r="H583" s="225" t="s">
        <v>583</v>
      </c>
      <c r="I583" s="225" t="s">
        <v>288</v>
      </c>
      <c r="J583" s="227">
        <v>196.17</v>
      </c>
      <c r="K583" s="227">
        <v>196.17</v>
      </c>
    </row>
    <row r="584" spans="1:11" x14ac:dyDescent="0.35">
      <c r="A584" s="224" t="s">
        <v>584</v>
      </c>
      <c r="J584" s="228">
        <v>196.17</v>
      </c>
    </row>
    <row r="585" spans="1:11" x14ac:dyDescent="0.35">
      <c r="A585" s="224" t="s">
        <v>585</v>
      </c>
      <c r="J585" s="228">
        <v>2230.9699999999998</v>
      </c>
    </row>
    <row r="586" spans="1:11" x14ac:dyDescent="0.35">
      <c r="A586" s="224" t="s">
        <v>586</v>
      </c>
    </row>
    <row r="587" spans="1:11" x14ac:dyDescent="0.35">
      <c r="B587" s="225" t="s">
        <v>222</v>
      </c>
      <c r="C587" s="225" t="s">
        <v>287</v>
      </c>
      <c r="D587" s="225" t="s">
        <v>509</v>
      </c>
      <c r="E587" s="225" t="s">
        <v>510</v>
      </c>
      <c r="F587" s="225" t="s">
        <v>35</v>
      </c>
      <c r="G587" s="225" t="s">
        <v>98</v>
      </c>
      <c r="H587" s="225" t="s">
        <v>588</v>
      </c>
      <c r="I587" s="225" t="s">
        <v>288</v>
      </c>
      <c r="J587" s="227">
        <v>4.99</v>
      </c>
      <c r="K587" s="227">
        <v>4.99</v>
      </c>
    </row>
    <row r="588" spans="1:11" x14ac:dyDescent="0.35">
      <c r="A588" s="224" t="s">
        <v>589</v>
      </c>
      <c r="J588" s="228">
        <v>4.99</v>
      </c>
    </row>
    <row r="589" spans="1:11" x14ac:dyDescent="0.35">
      <c r="A589" s="224" t="s">
        <v>590</v>
      </c>
    </row>
    <row r="590" spans="1:11" x14ac:dyDescent="0.35">
      <c r="B590" s="225" t="s">
        <v>191</v>
      </c>
      <c r="C590" s="225" t="s">
        <v>287</v>
      </c>
      <c r="D590" s="225">
        <v>3201467</v>
      </c>
      <c r="E590" s="225" t="s">
        <v>591</v>
      </c>
      <c r="F590" s="225" t="s">
        <v>175</v>
      </c>
      <c r="G590" s="225" t="s">
        <v>304</v>
      </c>
      <c r="H590" s="225" t="s">
        <v>592</v>
      </c>
      <c r="I590" s="225" t="s">
        <v>288</v>
      </c>
      <c r="J590" s="227">
        <v>105</v>
      </c>
      <c r="K590" s="227">
        <v>105</v>
      </c>
    </row>
    <row r="591" spans="1:11" x14ac:dyDescent="0.35">
      <c r="B591" s="225" t="s">
        <v>191</v>
      </c>
      <c r="C591" s="225" t="s">
        <v>287</v>
      </c>
      <c r="D591" s="225">
        <v>3201464</v>
      </c>
      <c r="E591" s="225" t="s">
        <v>591</v>
      </c>
      <c r="F591" s="225" t="s">
        <v>35</v>
      </c>
      <c r="G591" s="225" t="s">
        <v>304</v>
      </c>
      <c r="H591" s="225" t="s">
        <v>596</v>
      </c>
      <c r="I591" s="225" t="s">
        <v>288</v>
      </c>
      <c r="J591" s="227">
        <v>45</v>
      </c>
      <c r="K591" s="227">
        <v>150</v>
      </c>
    </row>
    <row r="592" spans="1:11" x14ac:dyDescent="0.35">
      <c r="B592" s="225" t="s">
        <v>191</v>
      </c>
      <c r="C592" s="225" t="s">
        <v>287</v>
      </c>
      <c r="D592" s="225">
        <v>3201468</v>
      </c>
      <c r="E592" s="225" t="s">
        <v>591</v>
      </c>
      <c r="F592" s="225" t="s">
        <v>175</v>
      </c>
      <c r="G592" s="225" t="s">
        <v>304</v>
      </c>
      <c r="H592" s="225" t="s">
        <v>594</v>
      </c>
      <c r="I592" s="225" t="s">
        <v>288</v>
      </c>
      <c r="J592" s="227">
        <v>45</v>
      </c>
      <c r="K592" s="227">
        <v>195</v>
      </c>
    </row>
    <row r="593" spans="1:11" x14ac:dyDescent="0.35">
      <c r="B593" s="225" t="s">
        <v>191</v>
      </c>
      <c r="C593" s="225" t="s">
        <v>287</v>
      </c>
      <c r="D593" s="225">
        <v>3201466</v>
      </c>
      <c r="E593" s="225" t="s">
        <v>591</v>
      </c>
      <c r="F593" s="225" t="s">
        <v>298</v>
      </c>
      <c r="G593" s="225" t="s">
        <v>304</v>
      </c>
      <c r="H593" s="225" t="s">
        <v>593</v>
      </c>
      <c r="I593" s="225" t="s">
        <v>288</v>
      </c>
      <c r="J593" s="227">
        <v>105</v>
      </c>
      <c r="K593" s="227">
        <v>300</v>
      </c>
    </row>
    <row r="594" spans="1:11" x14ac:dyDescent="0.35">
      <c r="B594" s="225" t="s">
        <v>191</v>
      </c>
      <c r="C594" s="225" t="s">
        <v>287</v>
      </c>
      <c r="D594" s="225">
        <v>3201465</v>
      </c>
      <c r="E594" s="225" t="s">
        <v>591</v>
      </c>
      <c r="F594" s="225" t="s">
        <v>35</v>
      </c>
      <c r="G594" s="225" t="s">
        <v>304</v>
      </c>
      <c r="H594" s="225" t="s">
        <v>595</v>
      </c>
      <c r="I594" s="225" t="s">
        <v>288</v>
      </c>
      <c r="J594" s="227">
        <v>105</v>
      </c>
      <c r="K594" s="227">
        <v>405</v>
      </c>
    </row>
    <row r="595" spans="1:11" x14ac:dyDescent="0.35">
      <c r="B595" s="225" t="s">
        <v>201</v>
      </c>
      <c r="C595" s="225" t="s">
        <v>287</v>
      </c>
      <c r="D595" s="225">
        <v>179492</v>
      </c>
      <c r="E595" s="225" t="s">
        <v>571</v>
      </c>
      <c r="F595" s="225" t="s">
        <v>35</v>
      </c>
      <c r="G595" s="225" t="s">
        <v>98</v>
      </c>
      <c r="H595" s="225" t="s">
        <v>597</v>
      </c>
      <c r="I595" s="225" t="s">
        <v>288</v>
      </c>
      <c r="J595" s="227">
        <v>345</v>
      </c>
      <c r="K595" s="227">
        <v>750</v>
      </c>
    </row>
    <row r="596" spans="1:11" x14ac:dyDescent="0.35">
      <c r="B596" s="225" t="s">
        <v>201</v>
      </c>
      <c r="C596" s="225" t="s">
        <v>287</v>
      </c>
      <c r="D596" s="225">
        <v>179478</v>
      </c>
      <c r="E596" s="225" t="s">
        <v>571</v>
      </c>
      <c r="F596" s="225" t="s">
        <v>35</v>
      </c>
      <c r="G596" s="225" t="s">
        <v>98</v>
      </c>
      <c r="H596" s="225" t="s">
        <v>599</v>
      </c>
      <c r="I596" s="225" t="s">
        <v>288</v>
      </c>
      <c r="J596" s="227">
        <v>296.85000000000002</v>
      </c>
      <c r="K596" s="227">
        <v>1046.8499999999999</v>
      </c>
    </row>
    <row r="597" spans="1:11" x14ac:dyDescent="0.35">
      <c r="B597" s="225" t="s">
        <v>201</v>
      </c>
      <c r="C597" s="225" t="s">
        <v>287</v>
      </c>
      <c r="D597" s="225">
        <v>179491</v>
      </c>
      <c r="E597" s="225" t="s">
        <v>571</v>
      </c>
      <c r="F597" s="225" t="s">
        <v>35</v>
      </c>
      <c r="G597" s="225" t="s">
        <v>98</v>
      </c>
      <c r="H597" s="225" t="s">
        <v>598</v>
      </c>
      <c r="I597" s="225" t="s">
        <v>288</v>
      </c>
      <c r="J597" s="227">
        <v>197</v>
      </c>
      <c r="K597" s="227">
        <v>1243.8499999999999</v>
      </c>
    </row>
    <row r="598" spans="1:11" x14ac:dyDescent="0.35">
      <c r="B598" s="225" t="s">
        <v>201</v>
      </c>
      <c r="C598" s="225" t="s">
        <v>287</v>
      </c>
      <c r="D598" s="225">
        <v>179477</v>
      </c>
      <c r="E598" s="225" t="s">
        <v>571</v>
      </c>
      <c r="F598" s="225" t="s">
        <v>35</v>
      </c>
      <c r="G598" s="225" t="s">
        <v>98</v>
      </c>
      <c r="H598" s="225" t="s">
        <v>600</v>
      </c>
      <c r="I598" s="225" t="s">
        <v>288</v>
      </c>
      <c r="J598" s="227">
        <v>340</v>
      </c>
      <c r="K598" s="227">
        <v>1583.85</v>
      </c>
    </row>
    <row r="599" spans="1:11" x14ac:dyDescent="0.35">
      <c r="A599" s="224" t="s">
        <v>601</v>
      </c>
      <c r="J599" s="228">
        <v>1583.85</v>
      </c>
    </row>
    <row r="600" spans="1:11" x14ac:dyDescent="0.35">
      <c r="A600" s="224" t="s">
        <v>602</v>
      </c>
    </row>
    <row r="601" spans="1:11" x14ac:dyDescent="0.35">
      <c r="B601" s="225" t="s">
        <v>191</v>
      </c>
      <c r="C601" s="225" t="s">
        <v>287</v>
      </c>
      <c r="D601" s="225">
        <v>212647</v>
      </c>
      <c r="E601" s="225" t="s">
        <v>603</v>
      </c>
      <c r="F601" s="225" t="s">
        <v>538</v>
      </c>
      <c r="G601" s="225" t="s">
        <v>97</v>
      </c>
      <c r="H601" s="225" t="s">
        <v>605</v>
      </c>
      <c r="I601" s="225" t="s">
        <v>288</v>
      </c>
      <c r="J601" s="227">
        <v>174</v>
      </c>
      <c r="K601" s="227">
        <v>174</v>
      </c>
    </row>
    <row r="602" spans="1:11" x14ac:dyDescent="0.35">
      <c r="B602" s="225" t="s">
        <v>191</v>
      </c>
      <c r="C602" s="225" t="s">
        <v>287</v>
      </c>
      <c r="D602" s="225">
        <v>212646</v>
      </c>
      <c r="E602" s="225" t="s">
        <v>603</v>
      </c>
      <c r="F602" s="225" t="s">
        <v>35</v>
      </c>
      <c r="G602" s="225" t="s">
        <v>304</v>
      </c>
      <c r="H602" s="225" t="s">
        <v>604</v>
      </c>
      <c r="I602" s="225" t="s">
        <v>288</v>
      </c>
      <c r="J602" s="227">
        <v>422</v>
      </c>
      <c r="K602" s="227">
        <v>596</v>
      </c>
    </row>
    <row r="603" spans="1:11" x14ac:dyDescent="0.35">
      <c r="A603" s="224" t="s">
        <v>606</v>
      </c>
      <c r="J603" s="228">
        <v>596</v>
      </c>
    </row>
    <row r="604" spans="1:11" x14ac:dyDescent="0.35">
      <c r="A604" s="224" t="s">
        <v>607</v>
      </c>
    </row>
    <row r="605" spans="1:11" x14ac:dyDescent="0.35">
      <c r="B605" s="225" t="s">
        <v>176</v>
      </c>
      <c r="C605" s="225" t="s">
        <v>287</v>
      </c>
      <c r="D605" s="225">
        <v>115083</v>
      </c>
      <c r="E605" s="225" t="s">
        <v>277</v>
      </c>
      <c r="F605" s="225" t="s">
        <v>175</v>
      </c>
      <c r="G605" s="225" t="s">
        <v>304</v>
      </c>
      <c r="H605" s="225" t="s">
        <v>608</v>
      </c>
      <c r="I605" s="225" t="s">
        <v>288</v>
      </c>
      <c r="J605" s="227">
        <v>355</v>
      </c>
      <c r="K605" s="227">
        <v>355</v>
      </c>
    </row>
    <row r="606" spans="1:11" x14ac:dyDescent="0.35">
      <c r="A606" s="224" t="s">
        <v>609</v>
      </c>
      <c r="J606" s="228">
        <v>355</v>
      </c>
    </row>
    <row r="607" spans="1:11" x14ac:dyDescent="0.35">
      <c r="A607" s="224" t="s">
        <v>610</v>
      </c>
      <c r="J607" s="228">
        <v>2539.84</v>
      </c>
    </row>
    <row r="608" spans="1:11" x14ac:dyDescent="0.35">
      <c r="A608" s="224" t="s">
        <v>611</v>
      </c>
    </row>
    <row r="609" spans="1:11" x14ac:dyDescent="0.35">
      <c r="B609" s="225" t="s">
        <v>201</v>
      </c>
      <c r="C609" s="225" t="s">
        <v>442</v>
      </c>
      <c r="D609" s="225" t="s">
        <v>614</v>
      </c>
      <c r="E609" s="225" t="s">
        <v>612</v>
      </c>
      <c r="F609" s="225"/>
      <c r="G609" s="225" t="s">
        <v>304</v>
      </c>
      <c r="H609" s="225" t="s">
        <v>613</v>
      </c>
      <c r="I609" s="225" t="s">
        <v>167</v>
      </c>
      <c r="J609" s="227">
        <v>1835.16</v>
      </c>
      <c r="K609" s="227">
        <v>1835.16</v>
      </c>
    </row>
    <row r="610" spans="1:11" x14ac:dyDescent="0.35">
      <c r="A610" s="224" t="s">
        <v>712</v>
      </c>
      <c r="J610" s="228">
        <v>1835.16</v>
      </c>
    </row>
    <row r="611" spans="1:11" x14ac:dyDescent="0.35">
      <c r="A611" s="224" t="s">
        <v>729</v>
      </c>
    </row>
    <row r="612" spans="1:11" x14ac:dyDescent="0.35">
      <c r="B612" s="225" t="s">
        <v>180</v>
      </c>
      <c r="C612" s="225" t="s">
        <v>155</v>
      </c>
      <c r="D612" s="225">
        <v>215</v>
      </c>
      <c r="E612" s="225"/>
      <c r="F612" s="225"/>
      <c r="G612" s="225" t="s">
        <v>304</v>
      </c>
      <c r="H612" s="225" t="s">
        <v>730</v>
      </c>
      <c r="I612" s="226" t="s">
        <v>156</v>
      </c>
      <c r="J612" s="227">
        <v>4654</v>
      </c>
      <c r="K612" s="227">
        <v>4654</v>
      </c>
    </row>
    <row r="613" spans="1:11" x14ac:dyDescent="0.35">
      <c r="A613" s="224" t="s">
        <v>731</v>
      </c>
      <c r="J613" s="228">
        <v>4654</v>
      </c>
    </row>
    <row r="614" spans="1:11" x14ac:dyDescent="0.35">
      <c r="A614" s="224" t="s">
        <v>615</v>
      </c>
      <c r="J614" s="228">
        <v>13407.97</v>
      </c>
    </row>
    <row r="615" spans="1:11" x14ac:dyDescent="0.35">
      <c r="A615" s="224" t="s">
        <v>616</v>
      </c>
    </row>
    <row r="616" spans="1:11" x14ac:dyDescent="0.35">
      <c r="A616" s="224" t="s">
        <v>617</v>
      </c>
    </row>
    <row r="617" spans="1:11" x14ac:dyDescent="0.35">
      <c r="B617" s="225" t="s">
        <v>191</v>
      </c>
      <c r="C617" s="225" t="s">
        <v>287</v>
      </c>
      <c r="D617" s="225">
        <v>11354</v>
      </c>
      <c r="E617" s="225" t="s">
        <v>618</v>
      </c>
      <c r="F617" s="225"/>
      <c r="G617" s="225" t="s">
        <v>102</v>
      </c>
      <c r="H617" s="225" t="s">
        <v>620</v>
      </c>
      <c r="I617" s="225" t="s">
        <v>288</v>
      </c>
      <c r="J617" s="227">
        <v>150</v>
      </c>
      <c r="K617" s="227">
        <v>150</v>
      </c>
    </row>
    <row r="618" spans="1:11" x14ac:dyDescent="0.35">
      <c r="B618" s="225" t="s">
        <v>621</v>
      </c>
      <c r="C618" s="225" t="s">
        <v>287</v>
      </c>
      <c r="D618" s="225" t="s">
        <v>622</v>
      </c>
      <c r="E618" s="225" t="s">
        <v>619</v>
      </c>
      <c r="F618" s="225" t="s">
        <v>175</v>
      </c>
      <c r="G618" s="225" t="s">
        <v>102</v>
      </c>
      <c r="H618" s="225" t="s">
        <v>623</v>
      </c>
      <c r="I618" s="225" t="s">
        <v>288</v>
      </c>
      <c r="J618" s="227">
        <v>68.09</v>
      </c>
      <c r="K618" s="227">
        <v>218.09</v>
      </c>
    </row>
    <row r="619" spans="1:11" x14ac:dyDescent="0.35">
      <c r="B619" s="225" t="s">
        <v>201</v>
      </c>
      <c r="C619" s="225" t="s">
        <v>287</v>
      </c>
      <c r="D619" s="225" t="s">
        <v>624</v>
      </c>
      <c r="E619" s="225" t="s">
        <v>625</v>
      </c>
      <c r="F619" s="225"/>
      <c r="G619" s="225" t="s">
        <v>102</v>
      </c>
      <c r="H619" s="225" t="s">
        <v>626</v>
      </c>
      <c r="I619" s="225" t="s">
        <v>288</v>
      </c>
      <c r="J619" s="227">
        <v>15.12</v>
      </c>
      <c r="K619" s="227">
        <v>233.21</v>
      </c>
    </row>
    <row r="620" spans="1:11" x14ac:dyDescent="0.35">
      <c r="B620" s="225" t="s">
        <v>222</v>
      </c>
      <c r="C620" s="225" t="s">
        <v>287</v>
      </c>
      <c r="D620" s="225" t="s">
        <v>509</v>
      </c>
      <c r="E620" s="225" t="s">
        <v>510</v>
      </c>
      <c r="F620" s="225" t="s">
        <v>35</v>
      </c>
      <c r="G620" s="225" t="s">
        <v>98</v>
      </c>
      <c r="H620" s="225" t="s">
        <v>627</v>
      </c>
      <c r="I620" s="225" t="s">
        <v>288</v>
      </c>
      <c r="J620" s="227">
        <v>124.3</v>
      </c>
      <c r="K620" s="227">
        <v>357.51</v>
      </c>
    </row>
    <row r="621" spans="1:11" x14ac:dyDescent="0.35">
      <c r="A621" s="224" t="s">
        <v>628</v>
      </c>
      <c r="J621" s="228">
        <v>357.51</v>
      </c>
    </row>
    <row r="622" spans="1:11" x14ac:dyDescent="0.35">
      <c r="A622" s="224" t="s">
        <v>629</v>
      </c>
    </row>
    <row r="623" spans="1:11" x14ac:dyDescent="0.35">
      <c r="B623" s="225" t="s">
        <v>176</v>
      </c>
      <c r="C623" s="225" t="s">
        <v>287</v>
      </c>
      <c r="D623" s="225" t="s">
        <v>630</v>
      </c>
      <c r="E623" s="225" t="s">
        <v>631</v>
      </c>
      <c r="F623" s="225" t="s">
        <v>175</v>
      </c>
      <c r="G623" s="225" t="s">
        <v>159</v>
      </c>
      <c r="H623" s="225" t="s">
        <v>632</v>
      </c>
      <c r="I623" s="225" t="s">
        <v>288</v>
      </c>
      <c r="J623" s="227">
        <v>499</v>
      </c>
      <c r="K623" s="227">
        <v>499</v>
      </c>
    </row>
    <row r="624" spans="1:11" x14ac:dyDescent="0.35">
      <c r="B624" s="225" t="s">
        <v>222</v>
      </c>
      <c r="C624" s="225" t="s">
        <v>287</v>
      </c>
      <c r="D624" s="225" t="s">
        <v>509</v>
      </c>
      <c r="E624" s="225" t="s">
        <v>510</v>
      </c>
      <c r="F624" s="225" t="s">
        <v>35</v>
      </c>
      <c r="G624" s="225" t="s">
        <v>98</v>
      </c>
      <c r="H624" s="225" t="s">
        <v>633</v>
      </c>
      <c r="I624" s="225" t="s">
        <v>288</v>
      </c>
      <c r="J624" s="227">
        <v>72.86</v>
      </c>
      <c r="K624" s="227">
        <v>571.86</v>
      </c>
    </row>
    <row r="625" spans="1:11" x14ac:dyDescent="0.35">
      <c r="A625" s="224" t="s">
        <v>634</v>
      </c>
      <c r="J625" s="228">
        <v>571.86</v>
      </c>
    </row>
    <row r="626" spans="1:11" x14ac:dyDescent="0.35">
      <c r="A626" s="224" t="s">
        <v>635</v>
      </c>
      <c r="J626" s="228">
        <v>929.37</v>
      </c>
    </row>
    <row r="627" spans="1:11" x14ac:dyDescent="0.35">
      <c r="A627" s="224" t="s">
        <v>636</v>
      </c>
    </row>
    <row r="628" spans="1:11" x14ac:dyDescent="0.35">
      <c r="A628" s="224" t="s">
        <v>637</v>
      </c>
    </row>
    <row r="629" spans="1:11" x14ac:dyDescent="0.35">
      <c r="B629" s="225" t="s">
        <v>222</v>
      </c>
      <c r="C629" s="225" t="s">
        <v>287</v>
      </c>
      <c r="D629" s="225" t="s">
        <v>639</v>
      </c>
      <c r="E629" s="225" t="s">
        <v>510</v>
      </c>
      <c r="F629" s="225" t="s">
        <v>35</v>
      </c>
      <c r="G629" s="225" t="s">
        <v>101</v>
      </c>
      <c r="H629" s="225" t="s">
        <v>640</v>
      </c>
      <c r="I629" s="225" t="s">
        <v>288</v>
      </c>
      <c r="J629" s="227">
        <v>6.98</v>
      </c>
      <c r="K629" s="227">
        <v>6.98</v>
      </c>
    </row>
    <row r="630" spans="1:11" x14ac:dyDescent="0.35">
      <c r="B630" s="225" t="s">
        <v>292</v>
      </c>
      <c r="C630" s="225" t="s">
        <v>287</v>
      </c>
      <c r="D630" s="225">
        <v>5406199</v>
      </c>
      <c r="E630" s="225" t="s">
        <v>638</v>
      </c>
      <c r="F630" s="225" t="s">
        <v>35</v>
      </c>
      <c r="G630" s="225" t="s">
        <v>98</v>
      </c>
      <c r="H630" s="225" t="s">
        <v>641</v>
      </c>
      <c r="I630" s="225" t="s">
        <v>288</v>
      </c>
      <c r="J630" s="227">
        <v>1036.67</v>
      </c>
      <c r="K630" s="227">
        <v>1043.6500000000001</v>
      </c>
    </row>
    <row r="631" spans="1:11" x14ac:dyDescent="0.35">
      <c r="A631" s="224" t="s">
        <v>642</v>
      </c>
      <c r="J631" s="228">
        <v>1043.6500000000001</v>
      </c>
    </row>
    <row r="632" spans="1:11" x14ac:dyDescent="0.35">
      <c r="A632" s="224" t="s">
        <v>643</v>
      </c>
    </row>
    <row r="633" spans="1:11" x14ac:dyDescent="0.35">
      <c r="B633" s="225" t="s">
        <v>644</v>
      </c>
      <c r="C633" s="225" t="s">
        <v>287</v>
      </c>
      <c r="D633" s="225">
        <v>3734397</v>
      </c>
      <c r="E633" s="225" t="s">
        <v>645</v>
      </c>
      <c r="F633" s="225"/>
      <c r="G633" s="225"/>
      <c r="H633" s="225" t="s">
        <v>646</v>
      </c>
      <c r="I633" s="225" t="s">
        <v>288</v>
      </c>
      <c r="J633" s="227">
        <v>827.81</v>
      </c>
      <c r="K633" s="227">
        <v>827.81</v>
      </c>
    </row>
    <row r="634" spans="1:11" x14ac:dyDescent="0.35">
      <c r="A634" s="224" t="s">
        <v>647</v>
      </c>
      <c r="J634" s="228">
        <v>827.81</v>
      </c>
    </row>
    <row r="635" spans="1:11" x14ac:dyDescent="0.35">
      <c r="A635" s="224" t="s">
        <v>648</v>
      </c>
    </row>
    <row r="636" spans="1:11" x14ac:dyDescent="0.35">
      <c r="B636" s="225" t="s">
        <v>191</v>
      </c>
      <c r="C636" s="225" t="s">
        <v>287</v>
      </c>
      <c r="D636" s="225">
        <v>9613</v>
      </c>
      <c r="E636" s="225" t="s">
        <v>649</v>
      </c>
      <c r="F636" s="225" t="s">
        <v>175</v>
      </c>
      <c r="G636" s="225" t="s">
        <v>102</v>
      </c>
      <c r="H636" s="225" t="s">
        <v>650</v>
      </c>
      <c r="I636" s="225" t="s">
        <v>288</v>
      </c>
      <c r="J636" s="227">
        <v>780</v>
      </c>
      <c r="K636" s="227">
        <v>780</v>
      </c>
    </row>
    <row r="637" spans="1:11" x14ac:dyDescent="0.35">
      <c r="B637" s="225" t="s">
        <v>191</v>
      </c>
      <c r="C637" s="225" t="s">
        <v>287</v>
      </c>
      <c r="D637" s="225">
        <v>2132020</v>
      </c>
      <c r="E637" s="225" t="s">
        <v>651</v>
      </c>
      <c r="F637" s="225"/>
      <c r="G637" s="225" t="s">
        <v>102</v>
      </c>
      <c r="H637" s="225" t="s">
        <v>652</v>
      </c>
      <c r="I637" s="225" t="s">
        <v>288</v>
      </c>
      <c r="J637" s="227">
        <v>2520</v>
      </c>
      <c r="K637" s="227">
        <v>3300</v>
      </c>
    </row>
    <row r="638" spans="1:11" x14ac:dyDescent="0.35">
      <c r="A638" s="224" t="s">
        <v>653</v>
      </c>
      <c r="J638" s="228">
        <v>3300</v>
      </c>
    </row>
    <row r="639" spans="1:11" x14ac:dyDescent="0.35">
      <c r="A639" s="224" t="s">
        <v>654</v>
      </c>
    </row>
    <row r="640" spans="1:11" x14ac:dyDescent="0.35">
      <c r="B640" s="225" t="s">
        <v>201</v>
      </c>
      <c r="C640" s="225" t="s">
        <v>287</v>
      </c>
      <c r="D640" s="225">
        <v>12920829</v>
      </c>
      <c r="E640" s="225" t="s">
        <v>655</v>
      </c>
      <c r="F640" s="225" t="s">
        <v>35</v>
      </c>
      <c r="G640" s="225" t="s">
        <v>334</v>
      </c>
      <c r="H640" s="225" t="s">
        <v>656</v>
      </c>
      <c r="I640" s="225" t="s">
        <v>288</v>
      </c>
      <c r="J640" s="227">
        <v>4722.3</v>
      </c>
      <c r="K640" s="227">
        <v>4722.3</v>
      </c>
    </row>
    <row r="641" spans="1:11" x14ac:dyDescent="0.35">
      <c r="A641" s="224" t="s">
        <v>657</v>
      </c>
      <c r="J641" s="228">
        <v>4722.3</v>
      </c>
    </row>
    <row r="642" spans="1:11" x14ac:dyDescent="0.35">
      <c r="A642" s="224" t="s">
        <v>658</v>
      </c>
    </row>
    <row r="643" spans="1:11" x14ac:dyDescent="0.35">
      <c r="B643" s="225" t="s">
        <v>479</v>
      </c>
      <c r="C643" s="225" t="s">
        <v>287</v>
      </c>
      <c r="D643" s="225" t="s">
        <v>659</v>
      </c>
      <c r="E643" s="225" t="s">
        <v>660</v>
      </c>
      <c r="F643" s="225"/>
      <c r="G643" s="225" t="s">
        <v>105</v>
      </c>
      <c r="H643" s="225" t="s">
        <v>661</v>
      </c>
      <c r="I643" s="225" t="s">
        <v>288</v>
      </c>
      <c r="J643" s="227">
        <v>50</v>
      </c>
      <c r="K643" s="227">
        <v>50</v>
      </c>
    </row>
    <row r="644" spans="1:11" x14ac:dyDescent="0.35">
      <c r="A644" s="224" t="s">
        <v>662</v>
      </c>
      <c r="J644" s="228">
        <v>50</v>
      </c>
    </row>
    <row r="645" spans="1:11" x14ac:dyDescent="0.35">
      <c r="A645" s="224" t="s">
        <v>713</v>
      </c>
      <c r="J645" s="228">
        <v>9943.76</v>
      </c>
    </row>
    <row r="646" spans="1:11" x14ac:dyDescent="0.35">
      <c r="A646" s="224" t="s">
        <v>663</v>
      </c>
    </row>
    <row r="647" spans="1:11" x14ac:dyDescent="0.35">
      <c r="A647" s="224" t="s">
        <v>664</v>
      </c>
    </row>
    <row r="648" spans="1:11" x14ac:dyDescent="0.35">
      <c r="B648" s="225" t="s">
        <v>198</v>
      </c>
      <c r="C648" s="225" t="s">
        <v>442</v>
      </c>
      <c r="D648" s="225" t="s">
        <v>666</v>
      </c>
      <c r="E648" s="225" t="s">
        <v>220</v>
      </c>
      <c r="F648" s="225"/>
      <c r="G648" s="225" t="s">
        <v>100</v>
      </c>
      <c r="H648" s="225" t="s">
        <v>665</v>
      </c>
      <c r="I648" s="225" t="s">
        <v>167</v>
      </c>
      <c r="J648" s="227">
        <v>160.84</v>
      </c>
      <c r="K648" s="227">
        <v>160.84</v>
      </c>
    </row>
    <row r="649" spans="1:11" x14ac:dyDescent="0.35">
      <c r="B649" s="225" t="s">
        <v>248</v>
      </c>
      <c r="C649" s="225" t="s">
        <v>165</v>
      </c>
      <c r="D649" s="225"/>
      <c r="E649" s="225" t="s">
        <v>249</v>
      </c>
      <c r="F649" s="225"/>
      <c r="G649" s="225" t="s">
        <v>247</v>
      </c>
      <c r="H649" s="225" t="s">
        <v>667</v>
      </c>
      <c r="I649" s="225" t="s">
        <v>167</v>
      </c>
      <c r="J649" s="227">
        <v>11.3</v>
      </c>
      <c r="K649" s="227">
        <v>172.14</v>
      </c>
    </row>
    <row r="650" spans="1:11" x14ac:dyDescent="0.35">
      <c r="B650" s="225" t="s">
        <v>214</v>
      </c>
      <c r="C650" s="225" t="s">
        <v>165</v>
      </c>
      <c r="D650" s="225"/>
      <c r="E650" s="225" t="s">
        <v>233</v>
      </c>
      <c r="F650" s="225"/>
      <c r="G650" s="225" t="s">
        <v>219</v>
      </c>
      <c r="H650" s="225" t="s">
        <v>668</v>
      </c>
      <c r="I650" s="225" t="s">
        <v>167</v>
      </c>
      <c r="J650" s="227">
        <v>0.85</v>
      </c>
      <c r="K650" s="227">
        <v>172.99</v>
      </c>
    </row>
    <row r="651" spans="1:11" x14ac:dyDescent="0.35">
      <c r="B651" s="225" t="s">
        <v>251</v>
      </c>
      <c r="C651" s="225" t="s">
        <v>165</v>
      </c>
      <c r="D651" s="225"/>
      <c r="E651" s="225" t="s">
        <v>252</v>
      </c>
      <c r="F651" s="225"/>
      <c r="G651" s="225" t="s">
        <v>247</v>
      </c>
      <c r="H651" s="225" t="s">
        <v>669</v>
      </c>
      <c r="I651" s="225" t="s">
        <v>167</v>
      </c>
      <c r="J651" s="227">
        <v>11.3</v>
      </c>
      <c r="K651" s="227">
        <v>184.29</v>
      </c>
    </row>
    <row r="652" spans="1:11" x14ac:dyDescent="0.35">
      <c r="B652" s="225" t="s">
        <v>242</v>
      </c>
      <c r="C652" s="225" t="s">
        <v>165</v>
      </c>
      <c r="D652" s="225"/>
      <c r="E652" s="225"/>
      <c r="F652" s="225"/>
      <c r="G652" s="225" t="s">
        <v>219</v>
      </c>
      <c r="H652" s="225" t="s">
        <v>670</v>
      </c>
      <c r="I652" s="225" t="s">
        <v>167</v>
      </c>
      <c r="J652" s="227">
        <v>22.05</v>
      </c>
      <c r="K652" s="227">
        <v>206.34</v>
      </c>
    </row>
    <row r="653" spans="1:11" x14ac:dyDescent="0.35">
      <c r="B653" s="225" t="s">
        <v>244</v>
      </c>
      <c r="C653" s="225" t="s">
        <v>165</v>
      </c>
      <c r="D653" s="225"/>
      <c r="E653" s="225"/>
      <c r="F653" s="225"/>
      <c r="G653" s="225" t="s">
        <v>219</v>
      </c>
      <c r="H653" s="225" t="s">
        <v>671</v>
      </c>
      <c r="I653" s="225" t="s">
        <v>167</v>
      </c>
      <c r="J653" s="227">
        <v>0.85</v>
      </c>
      <c r="K653" s="227">
        <v>207.19</v>
      </c>
    </row>
    <row r="654" spans="1:11" x14ac:dyDescent="0.35">
      <c r="B654" s="225" t="s">
        <v>255</v>
      </c>
      <c r="C654" s="225" t="s">
        <v>165</v>
      </c>
      <c r="D654" s="225"/>
      <c r="E654" s="225"/>
      <c r="F654" s="225"/>
      <c r="G654" s="225" t="s">
        <v>219</v>
      </c>
      <c r="H654" s="225" t="s">
        <v>672</v>
      </c>
      <c r="I654" s="225" t="s">
        <v>167</v>
      </c>
      <c r="J654" s="227">
        <v>11.3</v>
      </c>
      <c r="K654" s="227">
        <v>218.49</v>
      </c>
    </row>
    <row r="655" spans="1:11" x14ac:dyDescent="0.35">
      <c r="A655" s="224" t="s">
        <v>673</v>
      </c>
      <c r="J655" s="228">
        <v>218.49</v>
      </c>
    </row>
    <row r="656" spans="1:11" x14ac:dyDescent="0.35">
      <c r="A656" s="224" t="s">
        <v>714</v>
      </c>
      <c r="J656" s="228">
        <v>218.49</v>
      </c>
    </row>
    <row r="657" spans="1:11" x14ac:dyDescent="0.35">
      <c r="A657" s="224" t="s">
        <v>674</v>
      </c>
    </row>
    <row r="658" spans="1:11" x14ac:dyDescent="0.35">
      <c r="A658" s="224" t="s">
        <v>675</v>
      </c>
    </row>
    <row r="659" spans="1:11" x14ac:dyDescent="0.35">
      <c r="B659" s="225" t="s">
        <v>161</v>
      </c>
      <c r="C659" s="225" t="s">
        <v>287</v>
      </c>
      <c r="D659" s="225">
        <v>1679</v>
      </c>
      <c r="E659" s="225" t="s">
        <v>587</v>
      </c>
      <c r="F659" s="225" t="s">
        <v>677</v>
      </c>
      <c r="G659" s="225" t="s">
        <v>678</v>
      </c>
      <c r="H659" s="225" t="s">
        <v>679</v>
      </c>
      <c r="I659" s="225" t="s">
        <v>288</v>
      </c>
      <c r="J659" s="227">
        <v>14805</v>
      </c>
      <c r="K659" s="227">
        <v>14805</v>
      </c>
    </row>
    <row r="660" spans="1:11" x14ac:dyDescent="0.35">
      <c r="B660" s="225" t="s">
        <v>292</v>
      </c>
      <c r="C660" s="225" t="s">
        <v>287</v>
      </c>
      <c r="D660" s="225">
        <v>7012</v>
      </c>
      <c r="E660" s="225" t="s">
        <v>676</v>
      </c>
      <c r="F660" s="225" t="s">
        <v>677</v>
      </c>
      <c r="G660" s="225" t="s">
        <v>122</v>
      </c>
      <c r="H660" s="225" t="s">
        <v>680</v>
      </c>
      <c r="I660" s="225" t="s">
        <v>288</v>
      </c>
      <c r="J660" s="227">
        <v>100</v>
      </c>
      <c r="K660" s="227">
        <v>14905</v>
      </c>
    </row>
    <row r="661" spans="1:11" x14ac:dyDescent="0.35">
      <c r="B661" s="225" t="s">
        <v>479</v>
      </c>
      <c r="C661" s="225" t="s">
        <v>287</v>
      </c>
      <c r="D661" s="225" t="s">
        <v>681</v>
      </c>
      <c r="E661" s="225" t="s">
        <v>682</v>
      </c>
      <c r="F661" s="225" t="s">
        <v>500</v>
      </c>
      <c r="G661" s="225" t="s">
        <v>122</v>
      </c>
      <c r="H661" s="225" t="s">
        <v>683</v>
      </c>
      <c r="I661" s="225" t="s">
        <v>288</v>
      </c>
      <c r="J661" s="227">
        <v>200</v>
      </c>
      <c r="K661" s="227">
        <v>15105</v>
      </c>
    </row>
    <row r="662" spans="1:11" x14ac:dyDescent="0.35">
      <c r="A662" s="224" t="s">
        <v>684</v>
      </c>
      <c r="J662" s="228">
        <v>15105</v>
      </c>
    </row>
    <row r="663" spans="1:11" x14ac:dyDescent="0.35">
      <c r="A663" s="224" t="s">
        <v>685</v>
      </c>
    </row>
    <row r="664" spans="1:11" x14ac:dyDescent="0.35">
      <c r="A664" s="224" t="s">
        <v>686</v>
      </c>
    </row>
    <row r="665" spans="1:11" x14ac:dyDescent="0.35">
      <c r="B665" s="225" t="s">
        <v>198</v>
      </c>
      <c r="C665" s="225" t="s">
        <v>442</v>
      </c>
      <c r="D665" s="225" t="s">
        <v>689</v>
      </c>
      <c r="E665" s="225" t="s">
        <v>230</v>
      </c>
      <c r="F665" s="225" t="s">
        <v>500</v>
      </c>
      <c r="G665" s="225" t="s">
        <v>122</v>
      </c>
      <c r="H665" s="225" t="s">
        <v>690</v>
      </c>
      <c r="I665" s="225" t="s">
        <v>167</v>
      </c>
      <c r="J665" s="227">
        <v>916.08</v>
      </c>
      <c r="K665" s="227">
        <v>916.08</v>
      </c>
    </row>
    <row r="666" spans="1:11" x14ac:dyDescent="0.35">
      <c r="B666" s="225" t="s">
        <v>201</v>
      </c>
      <c r="C666" s="225" t="s">
        <v>442</v>
      </c>
      <c r="D666" s="225" t="s">
        <v>614</v>
      </c>
      <c r="E666" s="225" t="s">
        <v>612</v>
      </c>
      <c r="F666" s="225"/>
      <c r="G666" s="225" t="s">
        <v>122</v>
      </c>
      <c r="H666" s="225" t="s">
        <v>688</v>
      </c>
      <c r="I666" s="225" t="s">
        <v>167</v>
      </c>
      <c r="J666" s="227">
        <v>1663.62</v>
      </c>
      <c r="K666" s="227">
        <v>2579.6999999999998</v>
      </c>
    </row>
    <row r="667" spans="1:11" x14ac:dyDescent="0.35">
      <c r="B667" s="225" t="s">
        <v>644</v>
      </c>
      <c r="C667" s="225" t="s">
        <v>442</v>
      </c>
      <c r="D667" s="225" t="s">
        <v>691</v>
      </c>
      <c r="E667" s="225" t="s">
        <v>612</v>
      </c>
      <c r="F667" s="225"/>
      <c r="G667" s="225" t="s">
        <v>122</v>
      </c>
      <c r="H667" s="225" t="s">
        <v>687</v>
      </c>
      <c r="I667" s="225" t="s">
        <v>167</v>
      </c>
      <c r="J667" s="227">
        <v>261.66000000000003</v>
      </c>
      <c r="K667" s="227">
        <v>2841.36</v>
      </c>
    </row>
    <row r="668" spans="1:11" x14ac:dyDescent="0.35">
      <c r="A668" s="224" t="s">
        <v>692</v>
      </c>
      <c r="J668" s="228">
        <v>2841.36</v>
      </c>
    </row>
    <row r="669" spans="1:11" x14ac:dyDescent="0.35">
      <c r="A669" s="224" t="s">
        <v>693</v>
      </c>
      <c r="J669" s="228">
        <v>2841.36</v>
      </c>
    </row>
    <row r="670" spans="1:11" x14ac:dyDescent="0.35">
      <c r="A670" s="224" t="s">
        <v>694</v>
      </c>
      <c r="J670" s="228">
        <v>17946.36</v>
      </c>
    </row>
    <row r="671" spans="1:11" x14ac:dyDescent="0.35">
      <c r="A671" s="224" t="s">
        <v>695</v>
      </c>
      <c r="J671" s="228">
        <v>250798.29</v>
      </c>
    </row>
    <row r="672" spans="1:11" x14ac:dyDescent="0.35">
      <c r="A672" s="224" t="s">
        <v>696</v>
      </c>
      <c r="J672" s="228">
        <v>-122915.05</v>
      </c>
    </row>
    <row r="675" spans="1:11" x14ac:dyDescent="0.35">
      <c r="A675" s="251" t="s">
        <v>732</v>
      </c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</row>
  </sheetData>
  <mergeCells count="4">
    <mergeCell ref="A1:K1"/>
    <mergeCell ref="A2:K2"/>
    <mergeCell ref="A3:K3"/>
    <mergeCell ref="A675:K6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Test</vt:lpstr>
      <vt:lpstr>March</vt:lpstr>
      <vt:lpstr>Accounts</vt:lpstr>
      <vt:lpstr>PL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Ward</dc:creator>
  <cp:lastModifiedBy>Peter Schmitt</cp:lastModifiedBy>
  <cp:lastPrinted>2020-02-12T21:53:04Z</cp:lastPrinted>
  <dcterms:created xsi:type="dcterms:W3CDTF">2020-02-03T22:00:44Z</dcterms:created>
  <dcterms:modified xsi:type="dcterms:W3CDTF">2020-04-03T13:15:49Z</dcterms:modified>
</cp:coreProperties>
</file>